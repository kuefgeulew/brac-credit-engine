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0.xml" ContentType="application/vnd.openxmlformats-officedocument.drawing+xml"/>
  <Override PartName="/xl/charts/chart1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6.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7.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8.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9.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2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2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2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25.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26.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27.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2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29.xml" ContentType="application/vnd.openxmlformats-officedocument.drawingml.chart+xml"/>
  <Override PartName="/xl/drawings/drawing39.xml" ContentType="application/vnd.openxmlformats-officedocument.drawingml.chartshapes+xml"/>
  <Override PartName="/xl/drawings/drawing40.xml" ContentType="application/vnd.openxmlformats-officedocument.drawing+xml"/>
  <Override PartName="/xl/charts/chart3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31.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32.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33.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34.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codeName="ThisWorkbook" defaultThemeVersion="124226"/>
  <xr:revisionPtr revIDLastSave="0" documentId="13_ncr:1_{1D9AA2F2-12C2-4A8F-9963-1B4AE1D09E79}" xr6:coauthVersionLast="47" xr6:coauthVersionMax="47" xr10:uidLastSave="{00000000-0000-0000-0000-000000000000}"/>
  <workbookProtection workbookPassword="D6FE" lockStructure="1"/>
  <bookViews>
    <workbookView xWindow="-110" yWindow="-110" windowWidth="19420" windowHeight="11500" tabRatio="833" firstSheet="7" activeTab="7" xr2:uid="{00000000-000D-0000-FFFF-FFFF00000000}"/>
  </bookViews>
  <sheets>
    <sheet name="Title" sheetId="52" r:id="rId1"/>
    <sheet name="Author" sheetId="53" r:id="rId2"/>
    <sheet name="1. Index" sheetId="19" r:id="rId3"/>
    <sheet name="2. Instructions" sheetId="14" state="hidden" r:id="rId4"/>
    <sheet name="Basic Bullets" sheetId="13" state="hidden" r:id="rId5"/>
    <sheet name="2. Top Page" sheetId="11" r:id="rId6"/>
    <sheet name="3. Input-BS " sheetId="6" r:id="rId7"/>
    <sheet name="4. Input P&amp;L" sheetId="2" r:id="rId8"/>
    <sheet name="5. Input-CF" sheetId="3" r:id="rId9"/>
    <sheet name="6. Output-BS" sheetId="1" r:id="rId10"/>
    <sheet name="7. Output IS" sheetId="7" r:id="rId11"/>
    <sheet name="8. Output CF" sheetId="8" r:id="rId12"/>
    <sheet name="Final Graph" sheetId="30" state="hidden" r:id="rId13"/>
    <sheet name="Graph" sheetId="27" state="hidden" r:id="rId14"/>
    <sheet name="9. Inputs-Analysis" sheetId="10" state="hidden" r:id="rId15"/>
    <sheet name="9. Quantitative Analysis" sheetId="56" r:id="rId16"/>
    <sheet name="10. Qualitative Analysis" sheetId="17" r:id="rId17"/>
    <sheet name="11. Detail Managment Report" sheetId="18" r:id="rId18"/>
    <sheet name="12. Executive Summary" sheetId="20" r:id="rId19"/>
    <sheet name="Annex Eligible Collateral" sheetId="58" r:id="rId20"/>
    <sheet name="Annex rating maping" sheetId="57" r:id="rId21"/>
    <sheet name="Drop DOwn" sheetId="29" state="hidden" r:id="rId22"/>
    <sheet name="1. RMG" sheetId="36" state="hidden" r:id="rId23"/>
    <sheet name="2.  Textile " sheetId="35" state="hidden" r:id="rId24"/>
    <sheet name="3. Food and Allied" sheetId="34" state="hidden" r:id="rId25"/>
    <sheet name="4. Pharmaceutical" sheetId="33" state="hidden" r:id="rId26"/>
    <sheet name="5. Chemical" sheetId="32" state="hidden" r:id="rId27"/>
    <sheet name="6. Fertilizer" sheetId="31" state="hidden" r:id="rId28"/>
    <sheet name="7.Cement" sheetId="37" state="hidden" r:id="rId29"/>
    <sheet name="8. Ceramic" sheetId="38" state="hidden" r:id="rId30"/>
    <sheet name="9. Ship Building" sheetId="39" state="hidden" r:id="rId31"/>
    <sheet name="10. Ship Breaking" sheetId="40" state="hidden" r:id="rId32"/>
    <sheet name="11. Jute Mills" sheetId="41" state="hidden" r:id="rId33"/>
    <sheet name="12. Steel Engineering " sheetId="42" state="hidden" r:id="rId34"/>
    <sheet name="13.Power and gas" sheetId="45" state="hidden" r:id="rId35"/>
    <sheet name="14. Industry_Others" sheetId="44" state="hidden" r:id="rId36"/>
    <sheet name="B. Trade and commerce" sheetId="43" state="hidden" r:id="rId37"/>
    <sheet name="C. Agro" sheetId="47" state="hidden" r:id="rId38"/>
    <sheet name="1. Service_Housing&amp;Cnst" sheetId="46" state="hidden" r:id="rId39"/>
    <sheet name="2. Service_Telecom" sheetId="48" state="hidden" r:id="rId40"/>
    <sheet name="3. Servic_Hospitals&amp;Clinics" sheetId="49" state="hidden" r:id="rId41"/>
    <sheet name="3. Service_ Others " sheetId="50" state="hidden" r:id="rId42"/>
    <sheet name="rough" sheetId="24" state="hidden" r:id="rId43"/>
  </sheets>
  <externalReferences>
    <externalReference r:id="rId44"/>
    <externalReference r:id="rId45"/>
    <externalReference r:id="rId46"/>
  </externalReferences>
  <definedNames>
    <definedName name="ABC" localSheetId="21">'Drop DOwn'!$E$2:$E$23</definedName>
    <definedName name="ABC">'Basic Bullets'!$E$1:$E$20</definedName>
    <definedName name="aggregatescore">[1]Sheet2!$N$12</definedName>
    <definedName name="auditstatus" localSheetId="21">'Drop DOwn'!$I$14:$I$15</definedName>
    <definedName name="auditstatus">'Basic Bullets'!$I$12:$I$13</definedName>
    <definedName name="BS" localSheetId="22">'3. Input-BS '!#REF!</definedName>
    <definedName name="BS" localSheetId="38">'3. Input-BS '!#REF!</definedName>
    <definedName name="BS" localSheetId="31">'3. Input-BS '!#REF!</definedName>
    <definedName name="BS" localSheetId="32">'3. Input-BS '!#REF!</definedName>
    <definedName name="BS" localSheetId="33">'3. Input-BS '!#REF!</definedName>
    <definedName name="BS" localSheetId="34">'3. Input-BS '!#REF!</definedName>
    <definedName name="BS" localSheetId="35">'3. Input-BS '!#REF!</definedName>
    <definedName name="BS" localSheetId="39">'3. Input-BS '!#REF!</definedName>
    <definedName name="BS" localSheetId="23">'3. Input-BS '!#REF!</definedName>
    <definedName name="BS" localSheetId="24">'3. Input-BS '!#REF!</definedName>
    <definedName name="BS" localSheetId="40">'3. Input-BS '!#REF!</definedName>
    <definedName name="BS" localSheetId="41">'3. Input-BS '!#REF!</definedName>
    <definedName name="BS" localSheetId="25">'3. Input-BS '!#REF!</definedName>
    <definedName name="BS" localSheetId="26">'3. Input-BS '!#REF!</definedName>
    <definedName name="BS" localSheetId="27">'3. Input-BS '!#REF!</definedName>
    <definedName name="BS" localSheetId="28">'3. Input-BS '!#REF!</definedName>
    <definedName name="BS" localSheetId="29">'3. Input-BS '!#REF!</definedName>
    <definedName name="BS" localSheetId="15">'3. Input-BS '!#REF!</definedName>
    <definedName name="BS" localSheetId="30">'3. Input-BS '!#REF!</definedName>
    <definedName name="BS" localSheetId="1">'3. Input-BS '!#REF!</definedName>
    <definedName name="BS" localSheetId="36">'3. Input-BS '!#REF!</definedName>
    <definedName name="BS" localSheetId="37">'3. Input-BS '!#REF!</definedName>
    <definedName name="BS" localSheetId="21">'3. Input-BS '!#REF!</definedName>
    <definedName name="BS" localSheetId="12">'3. Input-BS '!#REF!</definedName>
    <definedName name="BS" localSheetId="13">'3. Input-BS '!#REF!</definedName>
    <definedName name="BS" localSheetId="42">'3. Input-BS '!#REF!</definedName>
    <definedName name="BS" localSheetId="0">'3. Input-BS '!#REF!</definedName>
    <definedName name="BS">'3. Input-BS '!#REF!</definedName>
    <definedName name="cement">'7.Cement'!$K$45</definedName>
    <definedName name="ceramic">'8. Ceramic'!$H$44</definedName>
    <definedName name="chemical">'5. Chemical'!$E$8</definedName>
    <definedName name="cibstatus" localSheetId="21">'Drop DOwn'!$K$2:$K$6</definedName>
    <definedName name="cibstatus">'Basic Bullets'!$K$1:$K$4</definedName>
    <definedName name="fertilizer">'6. Fertilizer'!$N$38</definedName>
    <definedName name="food">'3. Food and Allied'!$I$44</definedName>
    <definedName name="InBS" localSheetId="22">'3. Input-BS '!#REF!</definedName>
    <definedName name="InBS" localSheetId="38">'3. Input-BS '!#REF!</definedName>
    <definedName name="InBS" localSheetId="31">'3. Input-BS '!#REF!</definedName>
    <definedName name="InBS" localSheetId="32">'3. Input-BS '!#REF!</definedName>
    <definedName name="InBS" localSheetId="33">'3. Input-BS '!#REF!</definedName>
    <definedName name="InBS" localSheetId="34">'3. Input-BS '!#REF!</definedName>
    <definedName name="InBS" localSheetId="35">'3. Input-BS '!#REF!</definedName>
    <definedName name="InBS" localSheetId="39">'3. Input-BS '!#REF!</definedName>
    <definedName name="InBS" localSheetId="23">'3. Input-BS '!#REF!</definedName>
    <definedName name="InBS" localSheetId="24">'3. Input-BS '!#REF!</definedName>
    <definedName name="InBS" localSheetId="40">'3. Input-BS '!#REF!</definedName>
    <definedName name="InBS" localSheetId="41">'3. Input-BS '!#REF!</definedName>
    <definedName name="InBS" localSheetId="25">'3. Input-BS '!#REF!</definedName>
    <definedName name="InBS" localSheetId="26">'3. Input-BS '!#REF!</definedName>
    <definedName name="InBS" localSheetId="27">'3. Input-BS '!#REF!</definedName>
    <definedName name="InBS" localSheetId="28">'3. Input-BS '!#REF!</definedName>
    <definedName name="InBS" localSheetId="29">'3. Input-BS '!#REF!</definedName>
    <definedName name="InBS" localSheetId="15">'3. Input-BS '!#REF!</definedName>
    <definedName name="InBS" localSheetId="30">'3. Input-BS '!#REF!</definedName>
    <definedName name="InBS" localSheetId="1">'3. Input-BS '!#REF!</definedName>
    <definedName name="InBS" localSheetId="36">'3. Input-BS '!#REF!</definedName>
    <definedName name="InBS" localSheetId="37">'3. Input-BS '!#REF!</definedName>
    <definedName name="InBS" localSheetId="21">'3. Input-BS '!#REF!</definedName>
    <definedName name="InBS" localSheetId="12">'3. Input-BS '!#REF!</definedName>
    <definedName name="InBS" localSheetId="13">'3. Input-BS '!#REF!</definedName>
    <definedName name="InBS" localSheetId="42">'3. Input-BS '!#REF!</definedName>
    <definedName name="InBS" localSheetId="0">'3. Input-BS '!#REF!</definedName>
    <definedName name="InBS">'3. Input-BS '!#REF!</definedName>
    <definedName name="INCF">'5. Input-CF'!$C$4</definedName>
    <definedName name="index" localSheetId="1">Author!#REF!</definedName>
    <definedName name="index" localSheetId="0">Title!#REF!</definedName>
    <definedName name="index">'1. Index'!$B$1</definedName>
    <definedName name="INIS">'4. Input P&amp;L'!$E$11</definedName>
    <definedName name="INPUTBS">'3. Input-BS '!$1:$1048576</definedName>
    <definedName name="INPUTCF">'5. Input-CF'!$1:$1048576</definedName>
    <definedName name="INPUTIS">'4. Input P&amp;L'!$1:$1048576</definedName>
    <definedName name="instructions">'2. Instructions'!$A$1</definedName>
    <definedName name="OLE_LINK1" localSheetId="1">Author!$B$30</definedName>
    <definedName name="ownership" localSheetId="21">'Drop DOwn'!$I$2:$I$5</definedName>
    <definedName name="ownership">'Basic Bullets'!$I$1:$I$3</definedName>
    <definedName name="pharma" localSheetId="15">'9. Quantitative Analysis'!$I$26</definedName>
    <definedName name="pharma">'4. Pharmaceutical'!$I$45</definedName>
    <definedName name="pharmaceutical">'3. Input-BS '!#REF!</definedName>
    <definedName name="_xlnm.Print_Area" localSheetId="2">'1. Index'!$B$1:$J$22</definedName>
    <definedName name="_xlnm.Print_Area" localSheetId="22">'1. RMG'!$A$1:$E$142</definedName>
    <definedName name="_xlnm.Print_Area" localSheetId="38">'1. Service_Housing&amp;Cnst'!$A$1:$E$142</definedName>
    <definedName name="_xlnm.Print_Area" localSheetId="16">'10. Qualitative Analysis'!$B$1:$G$114</definedName>
    <definedName name="_xlnm.Print_Area" localSheetId="31">'10. Ship Breaking'!$A$1:$E$142</definedName>
    <definedName name="_xlnm.Print_Area" localSheetId="17">'11. Detail Managment Report'!$B$1:$H$71</definedName>
    <definedName name="_xlnm.Print_Area" localSheetId="32">'11. Jute Mills'!$A$1:$E$142</definedName>
    <definedName name="_xlnm.Print_Area" localSheetId="18">'12. Executive Summary'!$B$1:$G$31</definedName>
    <definedName name="_xlnm.Print_Area" localSheetId="33">'12. Steel Engineering '!$A$1:$E$142</definedName>
    <definedName name="_xlnm.Print_Area" localSheetId="34">'13.Power and gas'!$A$1:$E$142</definedName>
    <definedName name="_xlnm.Print_Area" localSheetId="35">'14. Industry_Others'!$A$1:$E$142</definedName>
    <definedName name="_xlnm.Print_Area" localSheetId="39">'2. Service_Telecom'!$A$1:$E$142</definedName>
    <definedName name="_xlnm.Print_Area" localSheetId="5">'2. Top Page'!$B$1:$D$42</definedName>
    <definedName name="_xlnm.Print_Area" localSheetId="23">'2.  Textile '!$A$1:$E$142</definedName>
    <definedName name="_xlnm.Print_Area" localSheetId="24">'3. Food and Allied'!$A$1:$E$142</definedName>
    <definedName name="_xlnm.Print_Area" localSheetId="6">'3. Input-BS '!$C$4:$G$103</definedName>
    <definedName name="_xlnm.Print_Area" localSheetId="40">'3. Servic_Hospitals&amp;Clinics'!$A$1:$E$142</definedName>
    <definedName name="_xlnm.Print_Area" localSheetId="41">'3. Service_ Others '!$A$1:$E$142</definedName>
    <definedName name="_xlnm.Print_Area" localSheetId="7">'4. Input P&amp;L'!$C$1:$G$51</definedName>
    <definedName name="_xlnm.Print_Area" localSheetId="25">'4. Pharmaceutical'!$A$1:$E$142</definedName>
    <definedName name="_xlnm.Print_Area" localSheetId="26">'5. Chemical'!$A$1:$E$142</definedName>
    <definedName name="_xlnm.Print_Area" localSheetId="8">'5. Input-CF'!$C$1:$G$19</definedName>
    <definedName name="_xlnm.Print_Area" localSheetId="27">'6. Fertilizer'!$A$1:$E$142</definedName>
    <definedName name="_xlnm.Print_Area" localSheetId="9">'6. Output-BS'!$C$2:$G$100</definedName>
    <definedName name="_xlnm.Print_Area" localSheetId="10">'7. Output IS'!$C$1:$G$46</definedName>
    <definedName name="_xlnm.Print_Area" localSheetId="28">'7.Cement'!$A$1:$E$142</definedName>
    <definedName name="_xlnm.Print_Area" localSheetId="29">'8. Ceramic'!$A$1:$E$142</definedName>
    <definedName name="_xlnm.Print_Area" localSheetId="11">'8. Output CF'!$C$1:$G$16</definedName>
    <definedName name="_xlnm.Print_Area" localSheetId="14">'9. Inputs-Analysis'!$B$2:$F$57</definedName>
    <definedName name="_xlnm.Print_Area" localSheetId="15">'9. Quantitative Analysis'!$A$1:$E$55</definedName>
    <definedName name="_xlnm.Print_Area" localSheetId="30">'9. Ship Building'!$A$1:$E$142</definedName>
    <definedName name="_xlnm.Print_Area" localSheetId="19">'Annex Eligible Collateral'!$G$3:$P$15</definedName>
    <definedName name="_xlnm.Print_Area" localSheetId="20">'Annex rating maping'!$E$7:$N$25</definedName>
    <definedName name="_xlnm.Print_Area" localSheetId="1">Author!$B$1:$J$43</definedName>
    <definedName name="_xlnm.Print_Area" localSheetId="36">'B. Trade and commerce'!$A$1:$E$142</definedName>
    <definedName name="_xlnm.Print_Area" localSheetId="4">'Basic Bullets'!$E$1:$K$21</definedName>
    <definedName name="_xlnm.Print_Area" localSheetId="37">'C. Agro'!$A$1:$E$142</definedName>
    <definedName name="_xlnm.Print_Area" localSheetId="21">'Drop DOwn'!$E$1:$K$24</definedName>
    <definedName name="_xlnm.Print_Area" localSheetId="12">'Final Graph'!$B$2:$F$57</definedName>
    <definedName name="_xlnm.Print_Area" localSheetId="13">Graph!$B$2:$F$57</definedName>
    <definedName name="_xlnm.Print_Area" localSheetId="42">rough!$A$18:$E$105</definedName>
    <definedName name="_xlnm.Print_Area" localSheetId="0">Title!$B$1:$J$45</definedName>
    <definedName name="q">'[2]Basic Bullets'!$I$13:$I$14</definedName>
    <definedName name="rmg">'1. RMG'!$I$22</definedName>
    <definedName name="text">'2.  Textile '!$G$43</definedName>
    <definedName name="top">'2. Top Page'!$D$17</definedName>
    <definedName name="toppage">'2. Top Page'!$1:$1048576</definedName>
    <definedName name="VVVV">'[2]Basic Bullets'!$E$5:$E$21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2" l="1"/>
  <c r="F14" i="2"/>
  <c r="G14" i="2"/>
  <c r="E54" i="6"/>
  <c r="F54" i="6"/>
  <c r="F59" i="6"/>
  <c r="G49" i="6"/>
  <c r="F16" i="6"/>
  <c r="G16" i="6"/>
  <c r="H14" i="2" l="1"/>
  <c r="H18" i="2"/>
  <c r="H12" i="2"/>
  <c r="H16" i="2"/>
  <c r="H17" i="2"/>
  <c r="H19" i="2"/>
  <c r="H20" i="2"/>
  <c r="H22" i="2"/>
  <c r="H24" i="2"/>
  <c r="H25" i="2"/>
  <c r="H26" i="2"/>
  <c r="H27" i="2"/>
  <c r="H28" i="2"/>
  <c r="H29" i="2"/>
  <c r="H30" i="2"/>
  <c r="H31" i="2"/>
  <c r="H32" i="2"/>
  <c r="H33" i="2"/>
  <c r="H34" i="2"/>
  <c r="H35" i="2"/>
  <c r="H36" i="2"/>
  <c r="H38" i="2"/>
  <c r="H40" i="2"/>
  <c r="H41" i="2"/>
  <c r="H42" i="2"/>
  <c r="H45" i="2"/>
  <c r="H46" i="2"/>
  <c r="H11" i="2"/>
  <c r="E94" i="1" l="1"/>
  <c r="E93" i="1"/>
  <c r="G15" i="8" l="1"/>
  <c r="F15" i="8"/>
  <c r="D8" i="18" l="1"/>
  <c r="C54" i="56"/>
  <c r="B3" i="20" l="1"/>
  <c r="C141" i="36"/>
  <c r="E99" i="6" l="1"/>
  <c r="E74" i="6"/>
  <c r="F50" i="6" l="1"/>
  <c r="G50" i="6"/>
  <c r="E29" i="6"/>
  <c r="F29" i="6"/>
  <c r="G29" i="6"/>
  <c r="E50" i="6"/>
  <c r="F74" i="6"/>
  <c r="G74" i="6"/>
  <c r="E85" i="6"/>
  <c r="E86" i="6" s="1"/>
  <c r="E101" i="6" s="1"/>
  <c r="F85" i="6"/>
  <c r="G85" i="6"/>
  <c r="F99" i="6"/>
  <c r="G99" i="6"/>
  <c r="F86" i="6" l="1"/>
  <c r="F101" i="6" s="1"/>
  <c r="G86" i="6"/>
  <c r="G101" i="6" s="1"/>
  <c r="E51" i="6"/>
  <c r="H29" i="6" s="1"/>
  <c r="F51" i="6"/>
  <c r="G51" i="6"/>
  <c r="F17" i="18"/>
  <c r="F36" i="18"/>
  <c r="F59" i="18"/>
  <c r="F61" i="18"/>
  <c r="C45" i="18"/>
  <c r="F43" i="18"/>
  <c r="F42" i="18"/>
  <c r="F41" i="18"/>
  <c r="F44" i="18"/>
  <c r="F49" i="18"/>
  <c r="F54" i="18"/>
  <c r="F27" i="18"/>
  <c r="F23" i="18"/>
  <c r="F20" i="18"/>
  <c r="E102" i="6" l="1"/>
  <c r="H56" i="6"/>
  <c r="H64" i="6"/>
  <c r="H72" i="6"/>
  <c r="H80" i="6"/>
  <c r="H88" i="6"/>
  <c r="H96" i="6"/>
  <c r="H16" i="6"/>
  <c r="H24" i="6"/>
  <c r="H32" i="6"/>
  <c r="H40" i="6"/>
  <c r="H48" i="6"/>
  <c r="H70" i="6"/>
  <c r="H86" i="6"/>
  <c r="H94" i="6"/>
  <c r="H22" i="6"/>
  <c r="H38" i="6"/>
  <c r="H46" i="6"/>
  <c r="H85" i="6"/>
  <c r="H21" i="6"/>
  <c r="H37" i="6"/>
  <c r="H67" i="6"/>
  <c r="H99" i="6"/>
  <c r="H43" i="6"/>
  <c r="H74" i="6"/>
  <c r="H18" i="6"/>
  <c r="H34" i="6"/>
  <c r="H57" i="6"/>
  <c r="H89" i="6"/>
  <c r="H25" i="6"/>
  <c r="H49" i="6"/>
  <c r="H55" i="6"/>
  <c r="H63" i="6"/>
  <c r="H71" i="6"/>
  <c r="H79" i="6"/>
  <c r="H87" i="6"/>
  <c r="H95" i="6"/>
  <c r="H15" i="6"/>
  <c r="H23" i="6"/>
  <c r="H31" i="6"/>
  <c r="H39" i="6"/>
  <c r="H47" i="6"/>
  <c r="H54" i="6"/>
  <c r="H62" i="6"/>
  <c r="H78" i="6"/>
  <c r="H53" i="6"/>
  <c r="H30" i="6"/>
  <c r="H77" i="6"/>
  <c r="H101" i="6"/>
  <c r="H45" i="6"/>
  <c r="H83" i="6"/>
  <c r="H19" i="6"/>
  <c r="H51" i="6"/>
  <c r="H66" i="6"/>
  <c r="H98" i="6"/>
  <c r="H50" i="6"/>
  <c r="H81" i="6"/>
  <c r="H33" i="6"/>
  <c r="H61" i="6"/>
  <c r="H69" i="6"/>
  <c r="H93" i="6"/>
  <c r="H75" i="6"/>
  <c r="H27" i="6"/>
  <c r="H58" i="6"/>
  <c r="H90" i="6"/>
  <c r="H42" i="6"/>
  <c r="H65" i="6"/>
  <c r="H97" i="6"/>
  <c r="H41" i="6"/>
  <c r="H60" i="6"/>
  <c r="H68" i="6"/>
  <c r="H76" i="6"/>
  <c r="H84" i="6"/>
  <c r="H92" i="6"/>
  <c r="H100" i="6"/>
  <c r="H20" i="6"/>
  <c r="H28" i="6"/>
  <c r="H36" i="6"/>
  <c r="H44" i="6"/>
  <c r="H14" i="6"/>
  <c r="H59" i="6"/>
  <c r="H91" i="6"/>
  <c r="H35" i="6"/>
  <c r="H82" i="6"/>
  <c r="H26" i="6"/>
  <c r="H73" i="6"/>
  <c r="H17" i="6"/>
  <c r="F102" i="6"/>
  <c r="G102" i="6"/>
  <c r="F40" i="18"/>
  <c r="F39" i="18" s="1"/>
  <c r="D12" i="11"/>
  <c r="C141" i="50"/>
  <c r="C141" i="49"/>
  <c r="C141" i="48"/>
  <c r="C141" i="47"/>
  <c r="C141" i="46"/>
  <c r="C141" i="44"/>
  <c r="C141" i="43"/>
  <c r="C141" i="42"/>
  <c r="C141" i="40"/>
  <c r="C141" i="39"/>
  <c r="C141" i="38"/>
  <c r="C141" i="37"/>
  <c r="C141" i="35"/>
  <c r="C141" i="34"/>
  <c r="C141" i="33"/>
  <c r="C141" i="32"/>
  <c r="C141" i="31"/>
  <c r="G58" i="30"/>
  <c r="C38" i="18" l="1"/>
  <c r="A53" i="56" s="1"/>
  <c r="C37" i="18"/>
  <c r="A51" i="56" s="1"/>
  <c r="C35" i="18"/>
  <c r="A49" i="56" s="1"/>
  <c r="C34" i="18"/>
  <c r="A47" i="56" s="1"/>
  <c r="C33" i="18"/>
  <c r="A45" i="56" s="1"/>
  <c r="C31" i="18"/>
  <c r="A42" i="56" s="1"/>
  <c r="C30" i="18"/>
  <c r="A40" i="56" s="1"/>
  <c r="C29" i="18"/>
  <c r="A38" i="56" s="1"/>
  <c r="C28" i="18"/>
  <c r="A36" i="56" s="1"/>
  <c r="C26" i="18"/>
  <c r="A33" i="56" s="1"/>
  <c r="C25" i="18"/>
  <c r="A31" i="56" s="1"/>
  <c r="C24" i="18"/>
  <c r="A29" i="56" s="1"/>
  <c r="C22" i="18"/>
  <c r="A26" i="56" s="1"/>
  <c r="C21" i="18"/>
  <c r="A24" i="56" s="1"/>
  <c r="C19" i="18"/>
  <c r="A21" i="56" s="1"/>
  <c r="C18" i="18"/>
  <c r="A19" i="56" s="1"/>
  <c r="G43" i="2"/>
  <c r="F43" i="2"/>
  <c r="E43" i="2"/>
  <c r="H43" i="2" s="1"/>
  <c r="G21" i="2"/>
  <c r="G13" i="2"/>
  <c r="F13" i="2"/>
  <c r="E13" i="2"/>
  <c r="H13" i="2" s="1"/>
  <c r="E14" i="3" l="1"/>
  <c r="E16" i="3" s="1"/>
  <c r="G15" i="2"/>
  <c r="F15" i="2"/>
  <c r="F21" i="2"/>
  <c r="A69" i="42"/>
  <c r="A69" i="50"/>
  <c r="A69" i="34"/>
  <c r="A69" i="46"/>
  <c r="A69" i="36"/>
  <c r="A69" i="32"/>
  <c r="A69" i="41"/>
  <c r="A69" i="35"/>
  <c r="A69" i="43"/>
  <c r="A69" i="45"/>
  <c r="A69" i="49"/>
  <c r="A69" i="47"/>
  <c r="A69" i="37"/>
  <c r="A69" i="33"/>
  <c r="A69" i="40"/>
  <c r="A69" i="38"/>
  <c r="A69" i="48"/>
  <c r="A69" i="44"/>
  <c r="A69" i="39"/>
  <c r="A69" i="31"/>
  <c r="A130" i="49"/>
  <c r="A130" i="43"/>
  <c r="A130" i="39"/>
  <c r="A130" i="33"/>
  <c r="A130" i="50"/>
  <c r="A130" i="44"/>
  <c r="A130" i="41"/>
  <c r="A130" i="38"/>
  <c r="A130" i="34"/>
  <c r="A130" i="42"/>
  <c r="A130" i="46"/>
  <c r="A130" i="32"/>
  <c r="A130" i="45"/>
  <c r="A130" i="35"/>
  <c r="A130" i="31"/>
  <c r="A130" i="36"/>
  <c r="A130" i="47"/>
  <c r="A130" i="40"/>
  <c r="A130" i="37"/>
  <c r="A130" i="48"/>
  <c r="A53" i="50"/>
  <c r="A53" i="48"/>
  <c r="A53" i="44"/>
  <c r="A53" i="41"/>
  <c r="A53" i="38"/>
  <c r="A53" i="34"/>
  <c r="A53" i="40"/>
  <c r="A53" i="45"/>
  <c r="A53" i="39"/>
  <c r="A53" i="35"/>
  <c r="A53" i="31"/>
  <c r="A53" i="43"/>
  <c r="A53" i="42"/>
  <c r="A53" i="46"/>
  <c r="A53" i="36"/>
  <c r="A53" i="32"/>
  <c r="A53" i="49"/>
  <c r="A53" i="47"/>
  <c r="A53" i="37"/>
  <c r="A53" i="33"/>
  <c r="A45" i="42"/>
  <c r="A45" i="39"/>
  <c r="A45" i="35"/>
  <c r="A45" i="31"/>
  <c r="A45" i="44"/>
  <c r="A45" i="38"/>
  <c r="A45" i="40"/>
  <c r="A45" i="36"/>
  <c r="A45" i="46"/>
  <c r="A45" i="32"/>
  <c r="A45" i="34"/>
  <c r="A45" i="43"/>
  <c r="A45" i="33"/>
  <c r="A45" i="45"/>
  <c r="A45" i="49"/>
  <c r="A45" i="47"/>
  <c r="A45" i="37"/>
  <c r="A45" i="50"/>
  <c r="A45" i="48"/>
  <c r="A45" i="41"/>
  <c r="A107" i="49"/>
  <c r="A107" i="43"/>
  <c r="A107" i="40"/>
  <c r="A107" i="33"/>
  <c r="A107" i="32"/>
  <c r="A107" i="50"/>
  <c r="A107" i="41"/>
  <c r="A107" i="39"/>
  <c r="A107" i="44"/>
  <c r="A107" i="38"/>
  <c r="A107" i="34"/>
  <c r="A107" i="48"/>
  <c r="A107" i="42"/>
  <c r="A107" i="35"/>
  <c r="A107" i="31"/>
  <c r="A107" i="46"/>
  <c r="A107" i="45"/>
  <c r="A107" i="47"/>
  <c r="A107" i="37"/>
  <c r="A107" i="36"/>
  <c r="A37" i="43"/>
  <c r="A37" i="42"/>
  <c r="A37" i="47"/>
  <c r="A37" i="37"/>
  <c r="A37" i="33"/>
  <c r="A37" i="49"/>
  <c r="A37" i="39"/>
  <c r="A37" i="50"/>
  <c r="A37" i="48"/>
  <c r="A37" i="44"/>
  <c r="A37" i="41"/>
  <c r="A37" i="38"/>
  <c r="A37" i="34"/>
  <c r="A37" i="35"/>
  <c r="A37" i="36"/>
  <c r="A37" i="32"/>
  <c r="A37" i="40"/>
  <c r="A37" i="45"/>
  <c r="A37" i="31"/>
  <c r="A37" i="46"/>
  <c r="A100" i="44"/>
  <c r="A100" i="38"/>
  <c r="A100" i="35"/>
  <c r="A100" i="34"/>
  <c r="A100" i="42"/>
  <c r="A100" i="31"/>
  <c r="A100" i="49"/>
  <c r="A100" i="48"/>
  <c r="A100" i="46"/>
  <c r="A100" i="45"/>
  <c r="A100" i="32"/>
  <c r="A100" i="47"/>
  <c r="A100" i="37"/>
  <c r="A100" i="36"/>
  <c r="A100" i="43"/>
  <c r="A100" i="39"/>
  <c r="A100" i="50"/>
  <c r="A100" i="41"/>
  <c r="A100" i="40"/>
  <c r="A100" i="33"/>
  <c r="A29" i="50"/>
  <c r="A29" i="49"/>
  <c r="A29" i="48"/>
  <c r="A29" i="41"/>
  <c r="A29" i="44"/>
  <c r="A29" i="40"/>
  <c r="A29" i="38"/>
  <c r="A29" i="34"/>
  <c r="A29" i="43"/>
  <c r="A29" i="42"/>
  <c r="A29" i="39"/>
  <c r="A29" i="35"/>
  <c r="A29" i="31"/>
  <c r="A29" i="36"/>
  <c r="A29" i="33"/>
  <c r="A29" i="45"/>
  <c r="A29" i="46"/>
  <c r="A29" i="32"/>
  <c r="A29" i="47"/>
  <c r="A29" i="37"/>
  <c r="A93" i="46"/>
  <c r="A93" i="32"/>
  <c r="A93" i="39"/>
  <c r="A93" i="36"/>
  <c r="A93" i="44"/>
  <c r="A93" i="38"/>
  <c r="A93" i="31"/>
  <c r="A93" i="47"/>
  <c r="A93" i="37"/>
  <c r="A93" i="42"/>
  <c r="A93" i="49"/>
  <c r="A93" i="48"/>
  <c r="A93" i="43"/>
  <c r="A93" i="33"/>
  <c r="A93" i="50"/>
  <c r="A93" i="41"/>
  <c r="A93" i="40"/>
  <c r="A93" i="34"/>
  <c r="A93" i="45"/>
  <c r="A93" i="35"/>
  <c r="A122" i="35"/>
  <c r="A122" i="31"/>
  <c r="A122" i="42"/>
  <c r="A122" i="45"/>
  <c r="A122" i="46"/>
  <c r="A122" i="32"/>
  <c r="A122" i="33"/>
  <c r="A122" i="34"/>
  <c r="A122" i="48"/>
  <c r="A122" i="36"/>
  <c r="A122" i="39"/>
  <c r="A122" i="44"/>
  <c r="A122" i="38"/>
  <c r="A122" i="47"/>
  <c r="A122" i="40"/>
  <c r="A122" i="37"/>
  <c r="A122" i="50"/>
  <c r="A122" i="49"/>
  <c r="A122" i="43"/>
  <c r="A122" i="41"/>
  <c r="A115" i="46"/>
  <c r="A115" i="36"/>
  <c r="A115" i="32"/>
  <c r="A115" i="31"/>
  <c r="A115" i="48"/>
  <c r="A115" i="47"/>
  <c r="A115" i="40"/>
  <c r="A115" i="37"/>
  <c r="A115" i="33"/>
  <c r="A115" i="42"/>
  <c r="A115" i="49"/>
  <c r="A115" i="43"/>
  <c r="A115" i="39"/>
  <c r="A115" i="50"/>
  <c r="A115" i="44"/>
  <c r="A115" i="41"/>
  <c r="A115" i="38"/>
  <c r="A115" i="34"/>
  <c r="A115" i="45"/>
  <c r="A115" i="35"/>
  <c r="A19" i="45"/>
  <c r="A19" i="42"/>
  <c r="A19" i="39"/>
  <c r="A19" i="35"/>
  <c r="A19" i="49"/>
  <c r="A19" i="46"/>
  <c r="A19" i="43"/>
  <c r="A19" i="36"/>
  <c r="A19" i="32"/>
  <c r="A19" i="40"/>
  <c r="A19" i="31"/>
  <c r="A19" i="47"/>
  <c r="A19" i="37"/>
  <c r="A19" i="33"/>
  <c r="A19" i="50"/>
  <c r="A19" i="48"/>
  <c r="A19" i="44"/>
  <c r="A19" i="41"/>
  <c r="A19" i="38"/>
  <c r="A19" i="34"/>
  <c r="A83" i="48"/>
  <c r="A83" i="43"/>
  <c r="A83" i="45"/>
  <c r="A83" i="50"/>
  <c r="A83" i="49"/>
  <c r="A83" i="41"/>
  <c r="A83" i="40"/>
  <c r="A83" i="33"/>
  <c r="A83" i="46"/>
  <c r="A83" i="47"/>
  <c r="A83" i="37"/>
  <c r="A83" i="39"/>
  <c r="A83" i="36"/>
  <c r="A83" i="44"/>
  <c r="A83" i="38"/>
  <c r="A83" i="35"/>
  <c r="A83" i="34"/>
  <c r="A83" i="32"/>
  <c r="A83" i="42"/>
  <c r="A83" i="31"/>
  <c r="A62" i="49"/>
  <c r="A62" i="47"/>
  <c r="A62" i="37"/>
  <c r="A62" i="33"/>
  <c r="A62" i="36"/>
  <c r="A62" i="50"/>
  <c r="A62" i="48"/>
  <c r="A62" i="41"/>
  <c r="A62" i="45"/>
  <c r="A62" i="44"/>
  <c r="A62" i="40"/>
  <c r="A62" i="38"/>
  <c r="A62" i="34"/>
  <c r="A62" i="39"/>
  <c r="A62" i="35"/>
  <c r="A62" i="31"/>
  <c r="A62" i="43"/>
  <c r="A62" i="46"/>
  <c r="A62" i="42"/>
  <c r="A62" i="32"/>
  <c r="A76" i="44"/>
  <c r="A76" i="39"/>
  <c r="A76" i="38"/>
  <c r="A76" i="34"/>
  <c r="A76" i="43"/>
  <c r="A76" i="37"/>
  <c r="A76" i="35"/>
  <c r="A76" i="31"/>
  <c r="A76" i="50"/>
  <c r="A76" i="45"/>
  <c r="A76" i="42"/>
  <c r="A76" i="46"/>
  <c r="A76" i="32"/>
  <c r="A76" i="41"/>
  <c r="A76" i="36"/>
  <c r="A76" i="47"/>
  <c r="A76" i="49"/>
  <c r="A76" i="48"/>
  <c r="A76" i="33"/>
  <c r="A76" i="40"/>
  <c r="A137" i="46"/>
  <c r="A137" i="32"/>
  <c r="A137" i="48"/>
  <c r="A137" i="33"/>
  <c r="A137" i="45"/>
  <c r="A137" i="49"/>
  <c r="A137" i="47"/>
  <c r="A137" i="43"/>
  <c r="A137" i="40"/>
  <c r="A137" i="37"/>
  <c r="A137" i="44"/>
  <c r="A137" i="39"/>
  <c r="A137" i="38"/>
  <c r="A137" i="34"/>
  <c r="A137" i="50"/>
  <c r="A137" i="41"/>
  <c r="A137" i="42"/>
  <c r="A137" i="36"/>
  <c r="A137" i="35"/>
  <c r="A137" i="31"/>
  <c r="E21" i="2"/>
  <c r="H21" i="2" s="1"/>
  <c r="E15" i="2"/>
  <c r="H15" i="2" s="1"/>
  <c r="F14" i="3"/>
  <c r="F16" i="3" s="1"/>
  <c r="G14" i="3"/>
  <c r="G16" i="3" s="1"/>
  <c r="F23" i="2" l="1"/>
  <c r="F37" i="2" s="1"/>
  <c r="F39" i="2" s="1"/>
  <c r="F44" i="2" s="1"/>
  <c r="G23" i="2"/>
  <c r="E23" i="2"/>
  <c r="E37" i="2" l="1"/>
  <c r="H23" i="2"/>
  <c r="G37" i="2"/>
  <c r="G39" i="2" s="1"/>
  <c r="G44" i="2" s="1"/>
  <c r="G76" i="17"/>
  <c r="E55" i="18" s="1"/>
  <c r="G55" i="18" s="1"/>
  <c r="H55" i="18" s="1"/>
  <c r="G81" i="17"/>
  <c r="E56" i="18" s="1"/>
  <c r="G56" i="18" s="1"/>
  <c r="H56" i="18" s="1"/>
  <c r="G86" i="17"/>
  <c r="E57" i="18" s="1"/>
  <c r="G57" i="18" s="1"/>
  <c r="H57" i="18" s="1"/>
  <c r="G92" i="17"/>
  <c r="E58" i="18" s="1"/>
  <c r="G58" i="18" s="1"/>
  <c r="H58" i="18" s="1"/>
  <c r="G99" i="17"/>
  <c r="E60" i="18" s="1"/>
  <c r="G105" i="17"/>
  <c r="E62" i="18" s="1"/>
  <c r="G108" i="17"/>
  <c r="E63" i="18" s="1"/>
  <c r="G63" i="18" s="1"/>
  <c r="H63" i="18" s="1"/>
  <c r="G72" i="17"/>
  <c r="E53" i="18" s="1"/>
  <c r="G53" i="18" s="1"/>
  <c r="H53" i="18" s="1"/>
  <c r="G68" i="17"/>
  <c r="E52" i="18" s="1"/>
  <c r="G52" i="18" s="1"/>
  <c r="H52" i="18" s="1"/>
  <c r="G63" i="17"/>
  <c r="E51" i="18" s="1"/>
  <c r="G51" i="18" s="1"/>
  <c r="H51" i="18" s="1"/>
  <c r="G58" i="17"/>
  <c r="E50" i="18" s="1"/>
  <c r="G52" i="17"/>
  <c r="E48" i="18" s="1"/>
  <c r="G48" i="18" s="1"/>
  <c r="H48" i="18" s="1"/>
  <c r="G47" i="17"/>
  <c r="E47" i="18" s="1"/>
  <c r="G47" i="18" s="1"/>
  <c r="H47" i="18" s="1"/>
  <c r="G41" i="17"/>
  <c r="E46" i="18" s="1"/>
  <c r="G46" i="18" s="1"/>
  <c r="H46" i="18" s="1"/>
  <c r="G35" i="17"/>
  <c r="E45" i="18" s="1"/>
  <c r="G45" i="18" s="1"/>
  <c r="H45" i="18" s="1"/>
  <c r="G31" i="17"/>
  <c r="E43" i="18" s="1"/>
  <c r="G43" i="18" s="1"/>
  <c r="H43" i="18" s="1"/>
  <c r="G25" i="17"/>
  <c r="E42" i="18" s="1"/>
  <c r="G42" i="18" s="1"/>
  <c r="H42" i="18" s="1"/>
  <c r="G19" i="17"/>
  <c r="E41" i="18" s="1"/>
  <c r="G41" i="18" s="1"/>
  <c r="H41" i="18" s="1"/>
  <c r="E92" i="24"/>
  <c r="E88" i="24"/>
  <c r="E83" i="24"/>
  <c r="E75" i="24"/>
  <c r="E61" i="24" s="1"/>
  <c r="E47" i="24"/>
  <c r="E46" i="24" s="1"/>
  <c r="E41" i="24"/>
  <c r="E33" i="24"/>
  <c r="E28" i="24"/>
  <c r="E21" i="24"/>
  <c r="C103" i="24"/>
  <c r="E96" i="24"/>
  <c r="E39" i="2" l="1"/>
  <c r="H37" i="2"/>
  <c r="G50" i="18"/>
  <c r="H50" i="18" s="1"/>
  <c r="E49" i="18"/>
  <c r="G49" i="18" s="1"/>
  <c r="H49" i="18" s="1"/>
  <c r="G62" i="18"/>
  <c r="H62" i="18" s="1"/>
  <c r="E61" i="18"/>
  <c r="G61" i="18" s="1"/>
  <c r="H61" i="18" s="1"/>
  <c r="E59" i="18"/>
  <c r="G59" i="18" s="1"/>
  <c r="H59" i="18" s="1"/>
  <c r="G60" i="18"/>
  <c r="H60" i="18" s="1"/>
  <c r="E82" i="24"/>
  <c r="E32" i="24"/>
  <c r="E20" i="24"/>
  <c r="E44" i="2" l="1"/>
  <c r="H44" i="2" s="1"/>
  <c r="H39" i="2"/>
  <c r="E103" i="24"/>
  <c r="D5" i="24" s="1"/>
  <c r="D7" i="24" s="1"/>
  <c r="D11" i="17" l="1"/>
  <c r="B3" i="17"/>
  <c r="B4" i="17"/>
  <c r="B5" i="17"/>
  <c r="B6" i="17"/>
  <c r="B7" i="17"/>
  <c r="B8" i="17"/>
  <c r="B9" i="17"/>
  <c r="B10" i="17"/>
  <c r="B11" i="17"/>
  <c r="B12" i="17"/>
  <c r="B13" i="17"/>
  <c r="B2" i="17"/>
  <c r="E11" i="8"/>
  <c r="F11" i="8"/>
  <c r="G11" i="8"/>
  <c r="C11" i="1"/>
  <c r="F27" i="1"/>
  <c r="E27" i="1"/>
  <c r="C13" i="1"/>
  <c r="C14" i="1"/>
  <c r="C15" i="1"/>
  <c r="C16" i="1"/>
  <c r="C17" i="1"/>
  <c r="C18" i="1"/>
  <c r="C19" i="1"/>
  <c r="C20" i="1"/>
  <c r="C21" i="1"/>
  <c r="C22" i="1"/>
  <c r="C23" i="1"/>
  <c r="C24" i="1"/>
  <c r="C25" i="1"/>
  <c r="C26" i="1"/>
  <c r="E13" i="1"/>
  <c r="F13" i="1"/>
  <c r="G13" i="1"/>
  <c r="E14" i="1"/>
  <c r="F14" i="1"/>
  <c r="G14" i="1"/>
  <c r="E15" i="1"/>
  <c r="F15" i="1"/>
  <c r="G15" i="1"/>
  <c r="E16" i="1"/>
  <c r="F16" i="1"/>
  <c r="G16" i="1"/>
  <c r="E17" i="1"/>
  <c r="F17" i="1"/>
  <c r="G17" i="1"/>
  <c r="E18" i="1"/>
  <c r="F18" i="1"/>
  <c r="G18" i="1"/>
  <c r="E19" i="1"/>
  <c r="F19" i="1"/>
  <c r="G19" i="1"/>
  <c r="E20" i="1"/>
  <c r="F20" i="1"/>
  <c r="G20" i="1"/>
  <c r="E21" i="1"/>
  <c r="F21" i="1"/>
  <c r="G21" i="1"/>
  <c r="E22" i="1"/>
  <c r="F22" i="1"/>
  <c r="G22" i="1"/>
  <c r="E23" i="1"/>
  <c r="F23" i="1"/>
  <c r="G23" i="1"/>
  <c r="E24" i="1"/>
  <c r="F24" i="1"/>
  <c r="G24" i="1"/>
  <c r="E25" i="1"/>
  <c r="F25" i="1"/>
  <c r="G25" i="1"/>
  <c r="E26" i="1"/>
  <c r="F26" i="1"/>
  <c r="G26" i="1"/>
  <c r="E28" i="1"/>
  <c r="F28" i="1"/>
  <c r="G28" i="1"/>
  <c r="E29" i="1"/>
  <c r="F29" i="1"/>
  <c r="G29" i="1"/>
  <c r="E30" i="1"/>
  <c r="F30" i="1"/>
  <c r="G30" i="1"/>
  <c r="E31" i="1"/>
  <c r="F31" i="1"/>
  <c r="G31" i="1"/>
  <c r="E32" i="1"/>
  <c r="F32" i="1"/>
  <c r="G32" i="1"/>
  <c r="E33" i="1"/>
  <c r="F33" i="1"/>
  <c r="G33" i="1"/>
  <c r="E34" i="1"/>
  <c r="F34" i="1"/>
  <c r="G34" i="1"/>
  <c r="E35" i="1"/>
  <c r="F35" i="1"/>
  <c r="G35" i="1"/>
  <c r="E36" i="1"/>
  <c r="F36" i="1"/>
  <c r="G36" i="1"/>
  <c r="E37" i="1"/>
  <c r="F37" i="1"/>
  <c r="G37" i="1"/>
  <c r="E38" i="1"/>
  <c r="F38" i="1"/>
  <c r="G38" i="1"/>
  <c r="E39" i="1"/>
  <c r="F39" i="1"/>
  <c r="G39" i="1"/>
  <c r="E40" i="1"/>
  <c r="F40" i="1"/>
  <c r="G40" i="1"/>
  <c r="E41" i="1"/>
  <c r="F41" i="1"/>
  <c r="G41" i="1"/>
  <c r="E42" i="1"/>
  <c r="F42" i="1"/>
  <c r="G42" i="1"/>
  <c r="E43" i="1"/>
  <c r="F43" i="1"/>
  <c r="G43" i="1"/>
  <c r="E44" i="1"/>
  <c r="F44" i="1"/>
  <c r="G44" i="1"/>
  <c r="E45" i="1"/>
  <c r="F45" i="1"/>
  <c r="G45" i="1"/>
  <c r="E46" i="1"/>
  <c r="F46" i="1"/>
  <c r="G46" i="1"/>
  <c r="E47" i="1"/>
  <c r="F47" i="1"/>
  <c r="G47" i="1"/>
  <c r="E51" i="1"/>
  <c r="F51" i="1"/>
  <c r="G51" i="1"/>
  <c r="E52" i="1"/>
  <c r="F52" i="1"/>
  <c r="G52" i="1"/>
  <c r="E53" i="1"/>
  <c r="F53" i="1"/>
  <c r="G53" i="1"/>
  <c r="E54" i="1"/>
  <c r="F54" i="1"/>
  <c r="G54" i="1"/>
  <c r="E55" i="1"/>
  <c r="F55" i="1"/>
  <c r="G55" i="1"/>
  <c r="E56" i="1"/>
  <c r="F56" i="1"/>
  <c r="G56" i="1"/>
  <c r="E57" i="1"/>
  <c r="F57" i="1"/>
  <c r="G57" i="1"/>
  <c r="E58" i="1"/>
  <c r="F58" i="1"/>
  <c r="G58" i="1"/>
  <c r="E59" i="1"/>
  <c r="F59" i="1"/>
  <c r="G59" i="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E71" i="1"/>
  <c r="F71" i="1"/>
  <c r="G71" i="1"/>
  <c r="E74" i="1"/>
  <c r="F74" i="1"/>
  <c r="G74" i="1"/>
  <c r="E75" i="1"/>
  <c r="F75" i="1"/>
  <c r="G75" i="1"/>
  <c r="E76" i="1"/>
  <c r="F76" i="1"/>
  <c r="G76" i="1"/>
  <c r="E77" i="1"/>
  <c r="F77" i="1"/>
  <c r="G77" i="1"/>
  <c r="E78" i="1"/>
  <c r="F78" i="1"/>
  <c r="G78" i="1"/>
  <c r="E79" i="1"/>
  <c r="F79" i="1"/>
  <c r="G79" i="1"/>
  <c r="E80" i="1"/>
  <c r="F80" i="1"/>
  <c r="G80" i="1"/>
  <c r="E81" i="1"/>
  <c r="F81" i="1"/>
  <c r="G81" i="1"/>
  <c r="E82" i="1"/>
  <c r="F82" i="1"/>
  <c r="G82" i="1"/>
  <c r="E86" i="1"/>
  <c r="F86" i="1"/>
  <c r="G86" i="1"/>
  <c r="E87" i="1"/>
  <c r="F87" i="1"/>
  <c r="G87" i="1"/>
  <c r="E88" i="1"/>
  <c r="F88" i="1"/>
  <c r="G88" i="1"/>
  <c r="E89" i="1"/>
  <c r="F89" i="1"/>
  <c r="G89" i="1"/>
  <c r="E90" i="1"/>
  <c r="F90" i="1"/>
  <c r="G90" i="1"/>
  <c r="E91" i="1"/>
  <c r="F91" i="1"/>
  <c r="G91" i="1"/>
  <c r="E92" i="1"/>
  <c r="F92" i="1"/>
  <c r="G92" i="1"/>
  <c r="F93" i="1"/>
  <c r="G93" i="1"/>
  <c r="F94" i="1"/>
  <c r="G94" i="1"/>
  <c r="E95" i="1"/>
  <c r="F95" i="1"/>
  <c r="G95" i="1"/>
  <c r="E96" i="1"/>
  <c r="F96" i="1"/>
  <c r="G96" i="1"/>
  <c r="E98" i="1"/>
  <c r="F98" i="1"/>
  <c r="G98" i="1"/>
  <c r="F12" i="1"/>
  <c r="E37" i="10" s="1"/>
  <c r="G12" i="1"/>
  <c r="F37" i="10" s="1"/>
  <c r="E12" i="1"/>
  <c r="D37" i="10" s="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12" i="1"/>
  <c r="C29" i="1"/>
  <c r="C30" i="1"/>
  <c r="C31" i="1"/>
  <c r="C12" i="1"/>
  <c r="H20" i="17"/>
  <c r="D12" i="27" l="1"/>
  <c r="H12" i="27" s="1"/>
  <c r="D12" i="30"/>
  <c r="D31" i="27"/>
  <c r="D8" i="27"/>
  <c r="E12" i="10"/>
  <c r="E12" i="30"/>
  <c r="E12" i="27"/>
  <c r="F37" i="27"/>
  <c r="F37" i="30"/>
  <c r="E31" i="27"/>
  <c r="E8" i="27"/>
  <c r="G8" i="27" s="1"/>
  <c r="F12" i="10"/>
  <c r="F12" i="27"/>
  <c r="F12" i="30"/>
  <c r="D5" i="30"/>
  <c r="F8" i="27"/>
  <c r="F31" i="27"/>
  <c r="E13" i="10"/>
  <c r="E13" i="30"/>
  <c r="E13" i="27"/>
  <c r="E5" i="30"/>
  <c r="D40" i="30"/>
  <c r="D40" i="27"/>
  <c r="D34" i="30"/>
  <c r="D32" i="30"/>
  <c r="H32" i="30" s="1"/>
  <c r="D32" i="27"/>
  <c r="H32" i="27" s="1"/>
  <c r="D34" i="27"/>
  <c r="F5" i="30"/>
  <c r="D37" i="30"/>
  <c r="D37" i="27"/>
  <c r="E40" i="10"/>
  <c r="E40" i="30"/>
  <c r="E40" i="27"/>
  <c r="D13" i="30"/>
  <c r="D13" i="27"/>
  <c r="E34" i="30"/>
  <c r="E32" i="27"/>
  <c r="G32" i="27" s="1"/>
  <c r="E32" i="30"/>
  <c r="G32" i="30" s="1"/>
  <c r="E34" i="27"/>
  <c r="E37" i="30"/>
  <c r="E37" i="27"/>
  <c r="F40" i="10"/>
  <c r="F40" i="30"/>
  <c r="F40" i="27"/>
  <c r="F32" i="30"/>
  <c r="F32" i="27"/>
  <c r="F34" i="27"/>
  <c r="F34" i="30"/>
  <c r="E32" i="10"/>
  <c r="E34" i="10"/>
  <c r="F5" i="10"/>
  <c r="D5" i="10"/>
  <c r="D31" i="10" s="1"/>
  <c r="F34" i="10"/>
  <c r="F32" i="10"/>
  <c r="E5" i="10"/>
  <c r="D13" i="10"/>
  <c r="D40" i="10"/>
  <c r="G27" i="1"/>
  <c r="D12" i="10"/>
  <c r="D14" i="7"/>
  <c r="D53" i="1"/>
  <c r="F30" i="27" l="1"/>
  <c r="G103" i="6"/>
  <c r="F103" i="6"/>
  <c r="H13" i="30"/>
  <c r="H13" i="27"/>
  <c r="H12" i="30"/>
  <c r="F8" i="30"/>
  <c r="F31" i="30"/>
  <c r="F30" i="30" s="1"/>
  <c r="E30" i="27"/>
  <c r="G30" i="27" s="1"/>
  <c r="G31" i="27"/>
  <c r="H8" i="27"/>
  <c r="G37" i="27"/>
  <c r="G34" i="30"/>
  <c r="E46" i="30"/>
  <c r="D30" i="27"/>
  <c r="H30" i="27" s="1"/>
  <c r="H31" i="27"/>
  <c r="H37" i="30"/>
  <c r="H37" i="27"/>
  <c r="D46" i="30"/>
  <c r="H34" i="30"/>
  <c r="H40" i="30"/>
  <c r="G34" i="27"/>
  <c r="E46" i="27"/>
  <c r="G13" i="30"/>
  <c r="G12" i="30"/>
  <c r="F13" i="10"/>
  <c r="F13" i="30"/>
  <c r="F13" i="27"/>
  <c r="F46" i="27"/>
  <c r="G40" i="30"/>
  <c r="G13" i="27"/>
  <c r="G12" i="27"/>
  <c r="H40" i="27"/>
  <c r="F46" i="30"/>
  <c r="G37" i="30"/>
  <c r="G40" i="27"/>
  <c r="D46" i="27"/>
  <c r="H34" i="27"/>
  <c r="E8" i="30"/>
  <c r="G5" i="30"/>
  <c r="E31" i="30"/>
  <c r="D31" i="30"/>
  <c r="H5" i="30"/>
  <c r="D8" i="30"/>
  <c r="E8" i="10"/>
  <c r="E31" i="10"/>
  <c r="E30" i="10" s="1"/>
  <c r="E46" i="10"/>
  <c r="F46" i="10"/>
  <c r="D8" i="10"/>
  <c r="F8" i="10"/>
  <c r="F31" i="10"/>
  <c r="F30" i="10" s="1"/>
  <c r="B4" i="20"/>
  <c r="B5" i="20"/>
  <c r="B6" i="20"/>
  <c r="B7" i="20"/>
  <c r="B8" i="20"/>
  <c r="B9" i="20"/>
  <c r="B10" i="20"/>
  <c r="B11" i="20"/>
  <c r="B12" i="20"/>
  <c r="B2" i="20"/>
  <c r="D13" i="18"/>
  <c r="B14" i="56" s="1"/>
  <c r="D12" i="18"/>
  <c r="B13" i="56" s="1"/>
  <c r="D10" i="18"/>
  <c r="B11" i="56" s="1"/>
  <c r="D9" i="18"/>
  <c r="B10" i="56" s="1"/>
  <c r="B9" i="56"/>
  <c r="D7" i="18"/>
  <c r="B8" i="56" s="1"/>
  <c r="D6" i="18"/>
  <c r="B7" i="56" s="1"/>
  <c r="D5" i="18"/>
  <c r="D4" i="18"/>
  <c r="B5" i="56" s="1"/>
  <c r="D3" i="18"/>
  <c r="B4" i="56" s="1"/>
  <c r="D2" i="18"/>
  <c r="B3" i="56" s="1"/>
  <c r="E54" i="18"/>
  <c r="G54" i="18" s="1"/>
  <c r="H54" i="18" s="1"/>
  <c r="D53" i="18"/>
  <c r="F35" i="18" l="1"/>
  <c r="F33" i="18"/>
  <c r="B6" i="56"/>
  <c r="F34" i="18"/>
  <c r="G46" i="27"/>
  <c r="B7" i="50"/>
  <c r="B7" i="48"/>
  <c r="B7" i="44"/>
  <c r="B7" i="41"/>
  <c r="B7" i="38"/>
  <c r="B7" i="34"/>
  <c r="B7" i="40"/>
  <c r="B7" i="31"/>
  <c r="B7" i="45"/>
  <c r="B7" i="42"/>
  <c r="B7" i="39"/>
  <c r="B7" i="35"/>
  <c r="B7" i="43"/>
  <c r="B7" i="49"/>
  <c r="B7" i="46"/>
  <c r="B7" i="36"/>
  <c r="B7" i="32"/>
  <c r="B7" i="47"/>
  <c r="B7" i="37"/>
  <c r="B7" i="33"/>
  <c r="G8" i="30"/>
  <c r="H46" i="30"/>
  <c r="G46" i="30"/>
  <c r="E30" i="30"/>
  <c r="G30" i="30" s="1"/>
  <c r="G31" i="30"/>
  <c r="B8" i="49"/>
  <c r="B8" i="50"/>
  <c r="B8" i="48"/>
  <c r="B8" i="44"/>
  <c r="B8" i="41"/>
  <c r="B8" i="38"/>
  <c r="B8" i="34"/>
  <c r="B8" i="46"/>
  <c r="B8" i="40"/>
  <c r="B8" i="31"/>
  <c r="B8" i="32"/>
  <c r="B8" i="45"/>
  <c r="B8" i="42"/>
  <c r="B8" i="39"/>
  <c r="B8" i="35"/>
  <c r="B8" i="36"/>
  <c r="B8" i="47"/>
  <c r="B8" i="37"/>
  <c r="B8" i="43"/>
  <c r="B8" i="33"/>
  <c r="B5" i="40"/>
  <c r="B5" i="31"/>
  <c r="B5" i="45"/>
  <c r="B5" i="42"/>
  <c r="B5" i="39"/>
  <c r="B5" i="35"/>
  <c r="B5" i="47"/>
  <c r="B5" i="33"/>
  <c r="B5" i="50"/>
  <c r="B5" i="44"/>
  <c r="B5" i="41"/>
  <c r="B5" i="43"/>
  <c r="B5" i="48"/>
  <c r="B5" i="38"/>
  <c r="B5" i="46"/>
  <c r="B5" i="36"/>
  <c r="B5" i="32"/>
  <c r="B5" i="34"/>
  <c r="B5" i="37"/>
  <c r="B5" i="49"/>
  <c r="B14" i="43"/>
  <c r="B14" i="45"/>
  <c r="B14" i="46"/>
  <c r="B14" i="36"/>
  <c r="B14" i="32"/>
  <c r="B14" i="42"/>
  <c r="B14" i="50"/>
  <c r="B14" i="48"/>
  <c r="B14" i="44"/>
  <c r="B14" i="38"/>
  <c r="B14" i="39"/>
  <c r="B14" i="47"/>
  <c r="B14" i="37"/>
  <c r="B14" i="33"/>
  <c r="B14" i="41"/>
  <c r="B14" i="34"/>
  <c r="B14" i="49"/>
  <c r="B14" i="40"/>
  <c r="B14" i="31"/>
  <c r="B14" i="35"/>
  <c r="B4" i="45"/>
  <c r="B4" i="42"/>
  <c r="B4" i="39"/>
  <c r="B4" i="35"/>
  <c r="B4" i="43"/>
  <c r="B4" i="46"/>
  <c r="B4" i="36"/>
  <c r="B4" i="32"/>
  <c r="B4" i="49"/>
  <c r="B4" i="40"/>
  <c r="B4" i="47"/>
  <c r="B4" i="37"/>
  <c r="B4" i="33"/>
  <c r="B4" i="50"/>
  <c r="B4" i="48"/>
  <c r="B4" i="44"/>
  <c r="B4" i="41"/>
  <c r="B4" i="38"/>
  <c r="B4" i="34"/>
  <c r="B4" i="31"/>
  <c r="B13" i="46"/>
  <c r="B13" i="36"/>
  <c r="B13" i="32"/>
  <c r="B13" i="47"/>
  <c r="B13" i="37"/>
  <c r="B13" i="33"/>
  <c r="B13" i="31"/>
  <c r="B13" i="43"/>
  <c r="B13" i="49"/>
  <c r="B13" i="50"/>
  <c r="B13" i="48"/>
  <c r="B13" i="44"/>
  <c r="B13" i="41"/>
  <c r="B13" i="38"/>
  <c r="B13" i="34"/>
  <c r="B13" i="40"/>
  <c r="B13" i="45"/>
  <c r="B13" i="42"/>
  <c r="B13" i="39"/>
  <c r="B13" i="35"/>
  <c r="B3" i="43"/>
  <c r="B3" i="39"/>
  <c r="B3" i="46"/>
  <c r="B3" i="36"/>
  <c r="B3" i="32"/>
  <c r="B3" i="50"/>
  <c r="B3" i="48"/>
  <c r="B3" i="44"/>
  <c r="B3" i="38"/>
  <c r="B3" i="34"/>
  <c r="B3" i="41"/>
  <c r="B3" i="42"/>
  <c r="B3" i="47"/>
  <c r="B3" i="37"/>
  <c r="B3" i="33"/>
  <c r="B3" i="49"/>
  <c r="B3" i="45"/>
  <c r="B3" i="35"/>
  <c r="B3" i="40"/>
  <c r="B3" i="31"/>
  <c r="B11" i="36"/>
  <c r="B11" i="47"/>
  <c r="B11" i="37"/>
  <c r="B11" i="33"/>
  <c r="B11" i="45"/>
  <c r="B11" i="49"/>
  <c r="B11" i="35"/>
  <c r="B11" i="50"/>
  <c r="B11" i="48"/>
  <c r="B11" i="44"/>
  <c r="B11" i="41"/>
  <c r="B11" i="38"/>
  <c r="B11" i="34"/>
  <c r="B11" i="39"/>
  <c r="B11" i="46"/>
  <c r="B11" i="40"/>
  <c r="B11" i="31"/>
  <c r="B11" i="42"/>
  <c r="B11" i="43"/>
  <c r="B11" i="32"/>
  <c r="D30" i="30"/>
  <c r="H30" i="30" s="1"/>
  <c r="H31" i="30"/>
  <c r="B10" i="47"/>
  <c r="B10" i="37"/>
  <c r="B10" i="33"/>
  <c r="B10" i="43"/>
  <c r="B10" i="49"/>
  <c r="B10" i="50"/>
  <c r="B10" i="48"/>
  <c r="B10" i="44"/>
  <c r="B10" i="41"/>
  <c r="B10" i="38"/>
  <c r="B10" i="34"/>
  <c r="B10" i="40"/>
  <c r="B10" i="31"/>
  <c r="B10" i="45"/>
  <c r="B10" i="42"/>
  <c r="B10" i="39"/>
  <c r="B10" i="35"/>
  <c r="B10" i="46"/>
  <c r="B10" i="36"/>
  <c r="B10" i="32"/>
  <c r="H8" i="30"/>
  <c r="H46" i="27"/>
  <c r="B6" i="47"/>
  <c r="B6" i="41"/>
  <c r="B6" i="40"/>
  <c r="B6" i="39"/>
  <c r="B6" i="35"/>
  <c r="B6" i="46"/>
  <c r="B6" i="49"/>
  <c r="B6" i="48"/>
  <c r="B6" i="44"/>
  <c r="B6" i="42"/>
  <c r="B6" i="36"/>
  <c r="B6" i="32"/>
  <c r="B6" i="31"/>
  <c r="B6" i="50"/>
  <c r="B6" i="38"/>
  <c r="B6" i="45"/>
  <c r="B6" i="37"/>
  <c r="B6" i="33"/>
  <c r="B6" i="43"/>
  <c r="B6" i="34"/>
  <c r="B9" i="49"/>
  <c r="B9" i="50"/>
  <c r="B9" i="47"/>
  <c r="B9" i="48"/>
  <c r="B9" i="45"/>
  <c r="B9" i="46"/>
  <c r="B9" i="43"/>
  <c r="B9" i="44"/>
  <c r="B9" i="41"/>
  <c r="B9" i="42"/>
  <c r="B9" i="39"/>
  <c r="B9" i="40"/>
  <c r="B9" i="37"/>
  <c r="B9" i="38"/>
  <c r="B9" i="35"/>
  <c r="B9" i="36"/>
  <c r="B9" i="33"/>
  <c r="B9" i="34"/>
  <c r="B9" i="31"/>
  <c r="B9" i="32"/>
  <c r="B10" i="24"/>
  <c r="B8" i="24"/>
  <c r="B14" i="24"/>
  <c r="B13" i="24"/>
  <c r="B3" i="24"/>
  <c r="B11" i="24"/>
  <c r="B5" i="24"/>
  <c r="B7" i="24"/>
  <c r="B6" i="24"/>
  <c r="B4" i="24"/>
  <c r="B9" i="24"/>
  <c r="D8" i="20"/>
  <c r="D8" i="17"/>
  <c r="D12" i="20"/>
  <c r="D13" i="17"/>
  <c r="D9" i="20"/>
  <c r="D9" i="17"/>
  <c r="D2" i="20"/>
  <c r="D2" i="17"/>
  <c r="D6" i="20"/>
  <c r="D6" i="17"/>
  <c r="D10" i="20"/>
  <c r="D10" i="17"/>
  <c r="D4" i="20"/>
  <c r="D4" i="17"/>
  <c r="D5" i="20"/>
  <c r="D5" i="17"/>
  <c r="D3" i="17"/>
  <c r="D7" i="20"/>
  <c r="D7" i="17"/>
  <c r="D11" i="20"/>
  <c r="D12" i="17"/>
  <c r="G104" i="17"/>
  <c r="G98" i="17"/>
  <c r="G75" i="17"/>
  <c r="G57" i="17"/>
  <c r="G34" i="17"/>
  <c r="G17" i="17"/>
  <c r="F32" i="18" l="1"/>
  <c r="F16" i="18" s="1"/>
  <c r="G111" i="17"/>
  <c r="E104" i="17"/>
  <c r="E98" i="17"/>
  <c r="E57" i="17"/>
  <c r="E34" i="17"/>
  <c r="E17" i="17"/>
  <c r="D29" i="20"/>
  <c r="E75" i="17"/>
  <c r="D63" i="18"/>
  <c r="D62" i="18"/>
  <c r="D60" i="18"/>
  <c r="D58" i="18"/>
  <c r="D57" i="18"/>
  <c r="D56" i="18"/>
  <c r="D55" i="18"/>
  <c r="D52" i="18"/>
  <c r="D51" i="18"/>
  <c r="D50" i="18"/>
  <c r="C48" i="18"/>
  <c r="D48" i="18"/>
  <c r="D47" i="18"/>
  <c r="D46" i="18"/>
  <c r="D45" i="18"/>
  <c r="C43" i="18"/>
  <c r="D43" i="18"/>
  <c r="D42" i="18"/>
  <c r="D41" i="18"/>
  <c r="C42" i="18"/>
  <c r="C41" i="18"/>
  <c r="J8" i="17" l="1"/>
  <c r="K8" i="17" s="1"/>
  <c r="E111" i="17"/>
  <c r="G113" i="17" s="1"/>
  <c r="E40" i="18"/>
  <c r="G40" i="18" s="1"/>
  <c r="H40" i="18" s="1"/>
  <c r="E27" i="20" l="1"/>
  <c r="E29" i="20"/>
  <c r="F29" i="20" s="1"/>
  <c r="G29" i="20" s="1"/>
  <c r="E25" i="20"/>
  <c r="D25" i="20"/>
  <c r="E7" i="2"/>
  <c r="E7" i="8" s="1"/>
  <c r="C4" i="6"/>
  <c r="E44" i="18"/>
  <c r="D27" i="20"/>
  <c r="D28" i="20"/>
  <c r="D30" i="20"/>
  <c r="F27" i="20" l="1"/>
  <c r="G27" i="20" s="1"/>
  <c r="D26" i="20"/>
  <c r="G44" i="18"/>
  <c r="H44" i="18" s="1"/>
  <c r="F25" i="20"/>
  <c r="G25" i="20" s="1"/>
  <c r="E30" i="20"/>
  <c r="F30" i="20" s="1"/>
  <c r="G30" i="20" s="1"/>
  <c r="E26" i="20"/>
  <c r="E28" i="20"/>
  <c r="F28" i="20" s="1"/>
  <c r="G28" i="20" s="1"/>
  <c r="E39" i="18"/>
  <c r="F26" i="20" l="1"/>
  <c r="G26" i="20" s="1"/>
  <c r="D24" i="20"/>
  <c r="G9" i="18"/>
  <c r="G39" i="18"/>
  <c r="H39" i="18" s="1"/>
  <c r="E24" i="20"/>
  <c r="C4" i="8"/>
  <c r="G10" i="18" l="1"/>
  <c r="H9" i="18" s="1"/>
  <c r="F24" i="20"/>
  <c r="F10" i="3"/>
  <c r="F10" i="8" s="1"/>
  <c r="G10" i="3"/>
  <c r="G10" i="8" s="1"/>
  <c r="E10" i="3"/>
  <c r="E10" i="8" s="1"/>
  <c r="F7" i="3"/>
  <c r="G7" i="3"/>
  <c r="E7" i="3"/>
  <c r="F7" i="2"/>
  <c r="F7" i="8" s="1"/>
  <c r="G7" i="2"/>
  <c r="G7" i="8" s="1"/>
  <c r="E6" i="6"/>
  <c r="I7" i="20" l="1"/>
  <c r="J7" i="20" s="1"/>
  <c r="G24" i="20"/>
  <c r="E4" i="8"/>
  <c r="C5" i="8"/>
  <c r="C6" i="8"/>
  <c r="C7" i="8"/>
  <c r="C8" i="8"/>
  <c r="F6" i="3"/>
  <c r="F6" i="8" s="1"/>
  <c r="G6" i="3"/>
  <c r="G6" i="8" s="1"/>
  <c r="E6" i="3"/>
  <c r="E6" i="8" s="1"/>
  <c r="F9" i="2"/>
  <c r="G9" i="2"/>
  <c r="E9" i="2"/>
  <c r="F6" i="2"/>
  <c r="F6" i="7" s="1"/>
  <c r="G6" i="2"/>
  <c r="G6" i="7" s="1"/>
  <c r="E6" i="2"/>
  <c r="E6" i="7" s="1"/>
  <c r="C45" i="7" l="1"/>
  <c r="C46" i="7"/>
  <c r="D45" i="7"/>
  <c r="E45" i="7"/>
  <c r="F45" i="7"/>
  <c r="G45" i="7"/>
  <c r="D46" i="7"/>
  <c r="E12" i="7"/>
  <c r="F12" i="7"/>
  <c r="G12" i="7"/>
  <c r="E14" i="7"/>
  <c r="F14" i="7"/>
  <c r="G14" i="7"/>
  <c r="E16" i="7"/>
  <c r="F16" i="7"/>
  <c r="G16" i="7"/>
  <c r="E17" i="7"/>
  <c r="F17" i="7"/>
  <c r="G17" i="7"/>
  <c r="E18" i="7"/>
  <c r="F18" i="7"/>
  <c r="G18" i="7"/>
  <c r="E19" i="7"/>
  <c r="F19" i="7"/>
  <c r="G19" i="7"/>
  <c r="E20" i="7"/>
  <c r="F20" i="7"/>
  <c r="G20" i="7"/>
  <c r="E22" i="7"/>
  <c r="F22" i="7"/>
  <c r="G22" i="7"/>
  <c r="E24" i="7"/>
  <c r="F24" i="7"/>
  <c r="G24" i="7"/>
  <c r="E25" i="7"/>
  <c r="F25" i="7"/>
  <c r="G25" i="7"/>
  <c r="E26" i="7"/>
  <c r="F26" i="7"/>
  <c r="G26" i="7"/>
  <c r="E27" i="7"/>
  <c r="F27" i="7"/>
  <c r="G27" i="7"/>
  <c r="E28" i="7"/>
  <c r="F28" i="7"/>
  <c r="G28" i="7"/>
  <c r="E29" i="7"/>
  <c r="F29" i="7"/>
  <c r="G29" i="7"/>
  <c r="E30" i="7"/>
  <c r="F30" i="7"/>
  <c r="G30" i="7"/>
  <c r="E31" i="7"/>
  <c r="F31" i="7"/>
  <c r="G31" i="7"/>
  <c r="E32" i="7"/>
  <c r="F32" i="7"/>
  <c r="G32" i="7"/>
  <c r="E33" i="7"/>
  <c r="F33" i="7"/>
  <c r="G33" i="7"/>
  <c r="E34" i="7"/>
  <c r="F34" i="7"/>
  <c r="G34" i="7"/>
  <c r="E35" i="7"/>
  <c r="F35" i="7"/>
  <c r="G35" i="7"/>
  <c r="E37" i="7"/>
  <c r="F37" i="7"/>
  <c r="G37" i="7"/>
  <c r="E39" i="7"/>
  <c r="F39" i="7"/>
  <c r="G39" i="7"/>
  <c r="E40" i="7"/>
  <c r="F40" i="7"/>
  <c r="G40" i="7"/>
  <c r="E41" i="7"/>
  <c r="F41" i="7"/>
  <c r="G41" i="7"/>
  <c r="E44" i="7"/>
  <c r="F44" i="7"/>
  <c r="G44" i="7"/>
  <c r="E11" i="7"/>
  <c r="F11" i="7"/>
  <c r="G11" i="7"/>
  <c r="D12" i="7"/>
  <c r="D13"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11" i="7"/>
  <c r="D84" i="1"/>
  <c r="C50" i="1"/>
  <c r="D51" i="1"/>
  <c r="D52"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5" i="1"/>
  <c r="D86" i="1"/>
  <c r="D87" i="1"/>
  <c r="D88" i="1"/>
  <c r="D89" i="1"/>
  <c r="D90" i="1"/>
  <c r="D91" i="1"/>
  <c r="D92" i="1"/>
  <c r="D93" i="1"/>
  <c r="D94" i="1"/>
  <c r="D95" i="1"/>
  <c r="D96" i="1"/>
  <c r="D97" i="1"/>
  <c r="D98" i="1"/>
  <c r="D99" i="1"/>
  <c r="C32" i="1"/>
  <c r="C33" i="1"/>
  <c r="C34" i="1"/>
  <c r="C35" i="1"/>
  <c r="C36" i="1"/>
  <c r="C37" i="1"/>
  <c r="C38" i="1"/>
  <c r="C39" i="1"/>
  <c r="C40" i="1"/>
  <c r="C41" i="1"/>
  <c r="C42" i="1"/>
  <c r="C43" i="1"/>
  <c r="C44" i="1"/>
  <c r="C45" i="1"/>
  <c r="C46" i="1"/>
  <c r="C47" i="1"/>
  <c r="C51" i="1"/>
  <c r="C52" i="1"/>
  <c r="C53" i="1"/>
  <c r="C54" i="1"/>
  <c r="C55" i="1"/>
  <c r="C56" i="1"/>
  <c r="C57" i="1"/>
  <c r="C58" i="1"/>
  <c r="C59" i="1"/>
  <c r="C60" i="1"/>
  <c r="C61" i="1"/>
  <c r="C62" i="1"/>
  <c r="C63" i="1"/>
  <c r="C64" i="1"/>
  <c r="C65" i="1"/>
  <c r="C66" i="1"/>
  <c r="C67" i="1"/>
  <c r="C68" i="1"/>
  <c r="C69" i="1"/>
  <c r="C70" i="1"/>
  <c r="C71" i="1"/>
  <c r="C74" i="1"/>
  <c r="C75" i="1"/>
  <c r="C76" i="1"/>
  <c r="C77" i="1"/>
  <c r="C78" i="1"/>
  <c r="C79" i="1"/>
  <c r="C80" i="1"/>
  <c r="C81" i="1"/>
  <c r="C82" i="1"/>
  <c r="C86" i="1"/>
  <c r="C87" i="1"/>
  <c r="C88" i="1"/>
  <c r="C89" i="1"/>
  <c r="C90" i="1"/>
  <c r="C91" i="1"/>
  <c r="C92" i="1"/>
  <c r="C93" i="1"/>
  <c r="C94" i="1"/>
  <c r="C95" i="1"/>
  <c r="C96" i="1"/>
  <c r="C98" i="1"/>
  <c r="E9" i="1"/>
  <c r="D3" i="30" s="1"/>
  <c r="H3" i="30" s="1"/>
  <c r="F9" i="1"/>
  <c r="E3" i="30" s="1"/>
  <c r="G3" i="30" s="1"/>
  <c r="C2" i="1"/>
  <c r="C3" i="1"/>
  <c r="C4" i="1"/>
  <c r="E4" i="1"/>
  <c r="E5" i="1"/>
  <c r="C6" i="1"/>
  <c r="E6" i="1"/>
  <c r="F6" i="1"/>
  <c r="G6" i="1"/>
  <c r="C7" i="1"/>
  <c r="E7" i="1"/>
  <c r="F7" i="1"/>
  <c r="G7" i="1"/>
  <c r="C8" i="1"/>
  <c r="E8" i="1"/>
  <c r="F8" i="1"/>
  <c r="G8" i="1"/>
  <c r="C9" i="1"/>
  <c r="G9" i="1"/>
  <c r="F3" i="30" s="1"/>
  <c r="E42" i="7"/>
  <c r="F42" i="7"/>
  <c r="G42" i="7"/>
  <c r="E21" i="7"/>
  <c r="E83" i="1"/>
  <c r="E26" i="30" l="1"/>
  <c r="G26" i="30" s="1"/>
  <c r="E26" i="27"/>
  <c r="G26" i="27" s="1"/>
  <c r="E29" i="30"/>
  <c r="E29" i="27"/>
  <c r="D38" i="27"/>
  <c r="D38" i="30"/>
  <c r="D26" i="27"/>
  <c r="H26" i="27" s="1"/>
  <c r="D26" i="30"/>
  <c r="H26" i="30" s="1"/>
  <c r="D29" i="30"/>
  <c r="D29" i="27"/>
  <c r="E38" i="10"/>
  <c r="E36" i="10" s="1"/>
  <c r="E38" i="30"/>
  <c r="E38" i="27"/>
  <c r="F38" i="10"/>
  <c r="F36" i="10" s="1"/>
  <c r="F38" i="30"/>
  <c r="F36" i="30" s="1"/>
  <c r="F38" i="27"/>
  <c r="F36" i="27" s="1"/>
  <c r="F26" i="30"/>
  <c r="F26" i="27"/>
  <c r="F29" i="27"/>
  <c r="F35" i="27" s="1"/>
  <c r="F33" i="27" s="1"/>
  <c r="F29" i="30"/>
  <c r="F35" i="30" s="1"/>
  <c r="F33" i="30" s="1"/>
  <c r="F26" i="10"/>
  <c r="F29" i="10"/>
  <c r="F35" i="10" s="1"/>
  <c r="F33" i="10" s="1"/>
  <c r="E26" i="10"/>
  <c r="E29" i="10"/>
  <c r="E35" i="10" s="1"/>
  <c r="E33" i="10" s="1"/>
  <c r="D38" i="10"/>
  <c r="D36" i="10" s="1"/>
  <c r="F3" i="10"/>
  <c r="F3" i="27"/>
  <c r="E3" i="10"/>
  <c r="E3" i="27"/>
  <c r="G3" i="27" s="1"/>
  <c r="D3" i="10"/>
  <c r="D3" i="27"/>
  <c r="H3" i="27" s="1"/>
  <c r="D26" i="10"/>
  <c r="D29" i="10"/>
  <c r="D35" i="10" s="1"/>
  <c r="E47" i="2"/>
  <c r="H47" i="2" s="1"/>
  <c r="F12" i="8"/>
  <c r="F9" i="7"/>
  <c r="G9" i="7"/>
  <c r="E9" i="7"/>
  <c r="C9" i="7"/>
  <c r="F7" i="7"/>
  <c r="G7" i="7"/>
  <c r="E7" i="7"/>
  <c r="C5" i="7"/>
  <c r="C6" i="7"/>
  <c r="C7" i="7"/>
  <c r="C8" i="7"/>
  <c r="C4" i="7"/>
  <c r="C3" i="7"/>
  <c r="F21" i="7"/>
  <c r="G21" i="7"/>
  <c r="G13" i="7"/>
  <c r="E48" i="1"/>
  <c r="F72" i="1"/>
  <c r="G72" i="1"/>
  <c r="F83" i="1"/>
  <c r="G83" i="1"/>
  <c r="F97" i="1"/>
  <c r="G97" i="1"/>
  <c r="D107" i="46" l="1"/>
  <c r="D45" i="56"/>
  <c r="E6" i="10"/>
  <c r="E4" i="10" s="1"/>
  <c r="E6" i="30"/>
  <c r="E6" i="27"/>
  <c r="G6" i="27" s="1"/>
  <c r="E9" i="27"/>
  <c r="D107" i="48"/>
  <c r="D107" i="47"/>
  <c r="E107" i="47" s="1"/>
  <c r="D107" i="37"/>
  <c r="E107" i="37" s="1"/>
  <c r="D107" i="36"/>
  <c r="E107" i="36" s="1"/>
  <c r="D107" i="49"/>
  <c r="D107" i="43"/>
  <c r="E107" i="43" s="1"/>
  <c r="D107" i="40"/>
  <c r="E107" i="40" s="1"/>
  <c r="D107" i="33"/>
  <c r="E107" i="33" s="1"/>
  <c r="D107" i="50"/>
  <c r="D107" i="41"/>
  <c r="E107" i="41" s="1"/>
  <c r="D107" i="39"/>
  <c r="E107" i="39" s="1"/>
  <c r="D107" i="44"/>
  <c r="E107" i="44" s="1"/>
  <c r="D107" i="38"/>
  <c r="E107" i="38" s="1"/>
  <c r="D107" i="34"/>
  <c r="E107" i="34" s="1"/>
  <c r="D107" i="45"/>
  <c r="E107" i="45" s="1"/>
  <c r="D107" i="42"/>
  <c r="E107" i="42" s="1"/>
  <c r="D107" i="35"/>
  <c r="E107" i="35" s="1"/>
  <c r="D107" i="31"/>
  <c r="E107" i="31" s="1"/>
  <c r="D107" i="32"/>
  <c r="E107" i="32" s="1"/>
  <c r="D35" i="30"/>
  <c r="H29" i="30"/>
  <c r="F41" i="30"/>
  <c r="F41" i="27"/>
  <c r="F17" i="27"/>
  <c r="F17" i="30"/>
  <c r="G38" i="30"/>
  <c r="E36" i="30"/>
  <c r="G36" i="30" s="1"/>
  <c r="G29" i="27"/>
  <c r="E35" i="27"/>
  <c r="G38" i="27"/>
  <c r="E36" i="27"/>
  <c r="G36" i="27" s="1"/>
  <c r="H38" i="27"/>
  <c r="D36" i="27"/>
  <c r="H36" i="27" s="1"/>
  <c r="F14" i="10"/>
  <c r="F10" i="10" s="1"/>
  <c r="F14" i="27"/>
  <c r="F14" i="30"/>
  <c r="H38" i="30"/>
  <c r="D36" i="30"/>
  <c r="H36" i="30" s="1"/>
  <c r="F6" i="10"/>
  <c r="F4" i="10" s="1"/>
  <c r="F6" i="30"/>
  <c r="F4" i="30" s="1"/>
  <c r="F6" i="27"/>
  <c r="F9" i="27"/>
  <c r="F7" i="27" s="1"/>
  <c r="E14" i="10"/>
  <c r="E10" i="10" s="1"/>
  <c r="E14" i="27"/>
  <c r="E14" i="30"/>
  <c r="H29" i="27"/>
  <c r="D35" i="27"/>
  <c r="E35" i="30"/>
  <c r="G29" i="30"/>
  <c r="F17" i="10"/>
  <c r="F41" i="10"/>
  <c r="G48" i="1"/>
  <c r="F48" i="1"/>
  <c r="F15" i="7"/>
  <c r="F13" i="7"/>
  <c r="E15" i="7"/>
  <c r="E13" i="7"/>
  <c r="E103" i="6"/>
  <c r="F49" i="1"/>
  <c r="G49" i="1"/>
  <c r="G84" i="1"/>
  <c r="G15" i="7"/>
  <c r="F84" i="1"/>
  <c r="E97" i="1"/>
  <c r="D6" i="10" s="1"/>
  <c r="E72" i="1"/>
  <c r="C12" i="8"/>
  <c r="D12" i="8"/>
  <c r="E12" i="8"/>
  <c r="G12" i="8"/>
  <c r="C13" i="8"/>
  <c r="D13" i="8"/>
  <c r="E13" i="8"/>
  <c r="F13" i="8"/>
  <c r="G13" i="8"/>
  <c r="C14" i="8"/>
  <c r="D14" i="8"/>
  <c r="F14" i="8"/>
  <c r="F16" i="8" s="1"/>
  <c r="G14" i="8"/>
  <c r="G16" i="8" s="1"/>
  <c r="C15" i="8"/>
  <c r="D15" i="8"/>
  <c r="E15" i="8"/>
  <c r="D11" i="8"/>
  <c r="C11" i="8"/>
  <c r="E5" i="8"/>
  <c r="C2" i="8"/>
  <c r="E5" i="3"/>
  <c r="E4" i="3"/>
  <c r="C2" i="3"/>
  <c r="E5" i="2"/>
  <c r="E5" i="7" s="1"/>
  <c r="E4" i="2"/>
  <c r="E4" i="7" s="1"/>
  <c r="C2" i="2"/>
  <c r="C2" i="7" s="1"/>
  <c r="E7" i="6"/>
  <c r="F11" i="10" l="1"/>
  <c r="E11" i="10"/>
  <c r="E33" i="18"/>
  <c r="E45" i="56" s="1"/>
  <c r="D33" i="18"/>
  <c r="D14" i="30"/>
  <c r="D14" i="27"/>
  <c r="D17" i="30"/>
  <c r="H17" i="30" s="1"/>
  <c r="D41" i="27"/>
  <c r="D17" i="27"/>
  <c r="H17" i="27" s="1"/>
  <c r="D41" i="30"/>
  <c r="G14" i="30"/>
  <c r="E10" i="30"/>
  <c r="G10" i="30" s="1"/>
  <c r="E11" i="30"/>
  <c r="G11" i="30" s="1"/>
  <c r="G35" i="27"/>
  <c r="E33" i="27"/>
  <c r="G33" i="27" s="1"/>
  <c r="G6" i="30"/>
  <c r="E4" i="30"/>
  <c r="G4" i="30" s="1"/>
  <c r="D6" i="27"/>
  <c r="H6" i="27" s="1"/>
  <c r="D6" i="30"/>
  <c r="D9" i="27"/>
  <c r="F43" i="27"/>
  <c r="F47" i="27"/>
  <c r="F45" i="27" s="1"/>
  <c r="F39" i="27"/>
  <c r="E7" i="27"/>
  <c r="G7" i="27" s="1"/>
  <c r="G9" i="27"/>
  <c r="H35" i="27"/>
  <c r="D33" i="27"/>
  <c r="H33" i="27" s="1"/>
  <c r="F9" i="30"/>
  <c r="F7" i="30" s="1"/>
  <c r="F20" i="27"/>
  <c r="F44" i="27" s="1"/>
  <c r="F56" i="30"/>
  <c r="F23" i="27"/>
  <c r="F56" i="27"/>
  <c r="F23" i="30"/>
  <c r="F20" i="30"/>
  <c r="F44" i="30" s="1"/>
  <c r="F49" i="27"/>
  <c r="F49" i="30"/>
  <c r="G35" i="30"/>
  <c r="E33" i="30"/>
  <c r="G33" i="30" s="1"/>
  <c r="E23" i="27"/>
  <c r="G23" i="27" s="1"/>
  <c r="E56" i="27"/>
  <c r="E20" i="27"/>
  <c r="E23" i="30"/>
  <c r="G23" i="30" s="1"/>
  <c r="E9" i="30"/>
  <c r="E56" i="30"/>
  <c r="E49" i="27"/>
  <c r="E20" i="30"/>
  <c r="E49" i="30"/>
  <c r="F57" i="30"/>
  <c r="F50" i="27"/>
  <c r="F5" i="27"/>
  <c r="F4" i="27" s="1"/>
  <c r="F57" i="27"/>
  <c r="F50" i="30"/>
  <c r="G14" i="27"/>
  <c r="E11" i="27"/>
  <c r="G11" i="27" s="1"/>
  <c r="E10" i="27"/>
  <c r="G10" i="27" s="1"/>
  <c r="D33" i="30"/>
  <c r="H33" i="30" s="1"/>
  <c r="H35" i="30"/>
  <c r="F10" i="30"/>
  <c r="F11" i="30"/>
  <c r="F43" i="30"/>
  <c r="F47" i="30"/>
  <c r="F45" i="30" s="1"/>
  <c r="F39" i="30"/>
  <c r="E50" i="27"/>
  <c r="G50" i="27" s="1"/>
  <c r="E50" i="30"/>
  <c r="G50" i="30" s="1"/>
  <c r="E57" i="30"/>
  <c r="G57" i="30" s="1"/>
  <c r="E5" i="27"/>
  <c r="E57" i="27"/>
  <c r="G57" i="27" s="1"/>
  <c r="E41" i="27"/>
  <c r="E17" i="30"/>
  <c r="G17" i="30" s="1"/>
  <c r="E17" i="27"/>
  <c r="G17" i="27" s="1"/>
  <c r="E41" i="30"/>
  <c r="F10" i="27"/>
  <c r="F11" i="27"/>
  <c r="F20" i="10"/>
  <c r="F44" i="10" s="1"/>
  <c r="F23" i="10"/>
  <c r="F49" i="10"/>
  <c r="F9" i="10"/>
  <c r="F7" i="10" s="1"/>
  <c r="F56" i="10"/>
  <c r="E50" i="10"/>
  <c r="E57" i="10"/>
  <c r="E41" i="10"/>
  <c r="E17" i="10"/>
  <c r="F43" i="10"/>
  <c r="F47" i="10"/>
  <c r="F45" i="10" s="1"/>
  <c r="F39" i="10"/>
  <c r="E9" i="10"/>
  <c r="E7" i="10" s="1"/>
  <c r="E56" i="10"/>
  <c r="E20" i="10"/>
  <c r="E44" i="10" s="1"/>
  <c r="E23" i="10"/>
  <c r="E49" i="10"/>
  <c r="F57" i="10"/>
  <c r="F50" i="10"/>
  <c r="D14" i="10"/>
  <c r="E49" i="1"/>
  <c r="D34" i="10"/>
  <c r="D32" i="10"/>
  <c r="D30" i="10" s="1"/>
  <c r="D93" i="36" s="1"/>
  <c r="E93" i="36" s="1"/>
  <c r="D41" i="10"/>
  <c r="D17" i="10"/>
  <c r="E14" i="8"/>
  <c r="E16" i="8" s="1"/>
  <c r="G99" i="1"/>
  <c r="F99" i="1"/>
  <c r="D40" i="56" l="1"/>
  <c r="D93" i="41"/>
  <c r="E93" i="41" s="1"/>
  <c r="F55" i="27"/>
  <c r="F42" i="27"/>
  <c r="D10" i="27"/>
  <c r="H10" i="27" s="1"/>
  <c r="H14" i="27"/>
  <c r="D11" i="27"/>
  <c r="H11" i="27" s="1"/>
  <c r="D23" i="27"/>
  <c r="H23" i="27" s="1"/>
  <c r="D56" i="27"/>
  <c r="D49" i="27"/>
  <c r="D20" i="27"/>
  <c r="D20" i="30"/>
  <c r="D56" i="30"/>
  <c r="H56" i="30" s="1"/>
  <c r="D49" i="30"/>
  <c r="D23" i="30"/>
  <c r="H23" i="30" s="1"/>
  <c r="D9" i="30"/>
  <c r="G41" i="27"/>
  <c r="E47" i="27"/>
  <c r="E43" i="27"/>
  <c r="E39" i="27"/>
  <c r="G39" i="27" s="1"/>
  <c r="E55" i="30"/>
  <c r="G55" i="30" s="1"/>
  <c r="G56" i="30"/>
  <c r="H14" i="30"/>
  <c r="D10" i="30"/>
  <c r="H10" i="30" s="1"/>
  <c r="D11" i="30"/>
  <c r="H11" i="30" s="1"/>
  <c r="F42" i="30"/>
  <c r="H6" i="30"/>
  <c r="D4" i="30"/>
  <c r="H4" i="30" s="1"/>
  <c r="H9" i="27"/>
  <c r="D7" i="27"/>
  <c r="H7" i="27" s="1"/>
  <c r="E47" i="30"/>
  <c r="G41" i="30"/>
  <c r="E43" i="30"/>
  <c r="E39" i="30"/>
  <c r="G39" i="30" s="1"/>
  <c r="G49" i="30"/>
  <c r="E51" i="30"/>
  <c r="G51" i="30" s="1"/>
  <c r="E54" i="30"/>
  <c r="F54" i="27"/>
  <c r="F51" i="27"/>
  <c r="D47" i="27"/>
  <c r="H41" i="27"/>
  <c r="D43" i="27"/>
  <c r="D39" i="27"/>
  <c r="H39" i="27" s="1"/>
  <c r="E55" i="27"/>
  <c r="G55" i="27" s="1"/>
  <c r="G56" i="27"/>
  <c r="F54" i="30"/>
  <c r="F51" i="30"/>
  <c r="F42" i="10"/>
  <c r="G20" i="27"/>
  <c r="E44" i="27"/>
  <c r="G44" i="27" s="1"/>
  <c r="D47" i="30"/>
  <c r="H41" i="30"/>
  <c r="D43" i="30"/>
  <c r="D39" i="30"/>
  <c r="H39" i="30" s="1"/>
  <c r="D93" i="45"/>
  <c r="E93" i="45" s="1"/>
  <c r="D93" i="42"/>
  <c r="E93" i="42" s="1"/>
  <c r="D93" i="31"/>
  <c r="E93" i="31" s="1"/>
  <c r="D93" i="46"/>
  <c r="E93" i="46" s="1"/>
  <c r="D93" i="32"/>
  <c r="E93" i="32" s="1"/>
  <c r="D93" i="50"/>
  <c r="E93" i="50" s="1"/>
  <c r="D93" i="40"/>
  <c r="E93" i="40" s="1"/>
  <c r="D93" i="47"/>
  <c r="E93" i="47" s="1"/>
  <c r="D93" i="37"/>
  <c r="E93" i="37" s="1"/>
  <c r="D93" i="35"/>
  <c r="E93" i="35" s="1"/>
  <c r="D93" i="49"/>
  <c r="E93" i="49" s="1"/>
  <c r="D93" i="48"/>
  <c r="E93" i="48" s="1"/>
  <c r="D93" i="43"/>
  <c r="E93" i="43" s="1"/>
  <c r="D93" i="33"/>
  <c r="E93" i="33" s="1"/>
  <c r="D93" i="44"/>
  <c r="E93" i="44" s="1"/>
  <c r="D93" i="39"/>
  <c r="E93" i="39" s="1"/>
  <c r="D93" i="38"/>
  <c r="E93" i="38" s="1"/>
  <c r="D93" i="34"/>
  <c r="E93" i="34" s="1"/>
  <c r="G5" i="27"/>
  <c r="E4" i="27"/>
  <c r="G4" i="27" s="1"/>
  <c r="F55" i="30"/>
  <c r="G49" i="27"/>
  <c r="E54" i="27"/>
  <c r="E51" i="27"/>
  <c r="G51" i="27" s="1"/>
  <c r="E44" i="30"/>
  <c r="G44" i="30" s="1"/>
  <c r="G20" i="30"/>
  <c r="G33" i="18"/>
  <c r="H33" i="18" s="1"/>
  <c r="G9" i="30"/>
  <c r="E7" i="30"/>
  <c r="G7" i="30" s="1"/>
  <c r="E55" i="10"/>
  <c r="E47" i="10"/>
  <c r="E45" i="10" s="1"/>
  <c r="E43" i="10"/>
  <c r="E42" i="10" s="1"/>
  <c r="E39" i="10"/>
  <c r="F51" i="10"/>
  <c r="F54" i="10"/>
  <c r="E51" i="10"/>
  <c r="E54" i="10"/>
  <c r="F55" i="10"/>
  <c r="D56" i="10"/>
  <c r="D9" i="10"/>
  <c r="D7" i="10" s="1"/>
  <c r="D23" i="10"/>
  <c r="D49" i="10"/>
  <c r="D20" i="10"/>
  <c r="D44" i="10" s="1"/>
  <c r="G47" i="2"/>
  <c r="E84" i="1"/>
  <c r="D43" i="10"/>
  <c r="D47" i="10"/>
  <c r="D39" i="10"/>
  <c r="D47" i="56" s="1"/>
  <c r="D46" i="10"/>
  <c r="D33" i="10"/>
  <c r="F23" i="7"/>
  <c r="F47" i="2"/>
  <c r="G23" i="7"/>
  <c r="E36" i="7"/>
  <c r="E23" i="7"/>
  <c r="G100" i="1"/>
  <c r="F100" i="1"/>
  <c r="E99" i="1"/>
  <c r="D42" i="56" l="1"/>
  <c r="D100" i="47"/>
  <c r="E100" i="47" s="1"/>
  <c r="D21" i="56"/>
  <c r="D29" i="44"/>
  <c r="E29" i="44" s="1"/>
  <c r="F53" i="27"/>
  <c r="E53" i="10"/>
  <c r="E30" i="18"/>
  <c r="D30" i="18"/>
  <c r="F22" i="10"/>
  <c r="F21" i="10" s="1"/>
  <c r="F22" i="30"/>
  <c r="F21" i="30" s="1"/>
  <c r="F22" i="27"/>
  <c r="F21" i="27" s="1"/>
  <c r="E22" i="10"/>
  <c r="E21" i="10" s="1"/>
  <c r="E22" i="30"/>
  <c r="E22" i="27"/>
  <c r="G47" i="30"/>
  <c r="E45" i="30"/>
  <c r="G45" i="30" s="1"/>
  <c r="H9" i="30"/>
  <c r="D7" i="30"/>
  <c r="H7" i="30" s="1"/>
  <c r="D28" i="27"/>
  <c r="D25" i="27"/>
  <c r="D25" i="30"/>
  <c r="D28" i="30"/>
  <c r="G54" i="27"/>
  <c r="E53" i="27"/>
  <c r="G53" i="27" s="1"/>
  <c r="D22" i="27"/>
  <c r="D22" i="30"/>
  <c r="H47" i="27"/>
  <c r="D45" i="27"/>
  <c r="H45" i="27" s="1"/>
  <c r="H56" i="27"/>
  <c r="E53" i="30"/>
  <c r="G54" i="30"/>
  <c r="D57" i="10"/>
  <c r="D55" i="10" s="1"/>
  <c r="D57" i="27"/>
  <c r="H57" i="27" s="1"/>
  <c r="D50" i="27"/>
  <c r="H50" i="27" s="1"/>
  <c r="D5" i="27"/>
  <c r="D50" i="30"/>
  <c r="H50" i="30" s="1"/>
  <c r="D57" i="30"/>
  <c r="D115" i="45"/>
  <c r="E115" i="45" s="1"/>
  <c r="D115" i="46"/>
  <c r="E115" i="46" s="1"/>
  <c r="D115" i="36"/>
  <c r="E115" i="36" s="1"/>
  <c r="D115" i="32"/>
  <c r="E115" i="32" s="1"/>
  <c r="D115" i="34"/>
  <c r="E115" i="34" s="1"/>
  <c r="D115" i="48"/>
  <c r="E115" i="48" s="1"/>
  <c r="D115" i="44"/>
  <c r="E115" i="44" s="1"/>
  <c r="D115" i="35"/>
  <c r="E115" i="35" s="1"/>
  <c r="D115" i="47"/>
  <c r="E115" i="47" s="1"/>
  <c r="D115" i="40"/>
  <c r="E115" i="40" s="1"/>
  <c r="D115" i="37"/>
  <c r="E115" i="37" s="1"/>
  <c r="D115" i="33"/>
  <c r="E115" i="33" s="1"/>
  <c r="D115" i="41"/>
  <c r="E115" i="41" s="1"/>
  <c r="D115" i="49"/>
  <c r="E115" i="49" s="1"/>
  <c r="D115" i="43"/>
  <c r="E115" i="43" s="1"/>
  <c r="D115" i="39"/>
  <c r="E115" i="39" s="1"/>
  <c r="D115" i="50"/>
  <c r="E115" i="50" s="1"/>
  <c r="D115" i="38"/>
  <c r="E115" i="38" s="1"/>
  <c r="D115" i="42"/>
  <c r="E115" i="42" s="1"/>
  <c r="D115" i="31"/>
  <c r="E115" i="31" s="1"/>
  <c r="D29" i="33"/>
  <c r="E29" i="33" s="1"/>
  <c r="D29" i="37"/>
  <c r="E29" i="37" s="1"/>
  <c r="D29" i="50"/>
  <c r="E29" i="50" s="1"/>
  <c r="D29" i="49"/>
  <c r="E29" i="49" s="1"/>
  <c r="D29" i="48"/>
  <c r="E29" i="48" s="1"/>
  <c r="D29" i="41"/>
  <c r="E29" i="41" s="1"/>
  <c r="D29" i="40"/>
  <c r="E29" i="40" s="1"/>
  <c r="D29" i="38"/>
  <c r="E29" i="38" s="1"/>
  <c r="D29" i="34"/>
  <c r="E29" i="34" s="1"/>
  <c r="D29" i="46"/>
  <c r="E29" i="46" s="1"/>
  <c r="D29" i="47"/>
  <c r="E29" i="47" s="1"/>
  <c r="D29" i="42"/>
  <c r="E29" i="42" s="1"/>
  <c r="D29" i="39"/>
  <c r="E29" i="39" s="1"/>
  <c r="D29" i="35"/>
  <c r="E29" i="35" s="1"/>
  <c r="D29" i="31"/>
  <c r="E29" i="31" s="1"/>
  <c r="D29" i="45"/>
  <c r="E29" i="45" s="1"/>
  <c r="D29" i="32"/>
  <c r="E29" i="32" s="1"/>
  <c r="D29" i="43"/>
  <c r="E29" i="43" s="1"/>
  <c r="D29" i="36"/>
  <c r="E29" i="36" s="1"/>
  <c r="E42" i="30"/>
  <c r="G42" i="30" s="1"/>
  <c r="G43" i="30"/>
  <c r="G47" i="27"/>
  <c r="E45" i="27"/>
  <c r="G45" i="27" s="1"/>
  <c r="H49" i="27"/>
  <c r="H43" i="30"/>
  <c r="H49" i="30"/>
  <c r="H43" i="27"/>
  <c r="G43" i="27"/>
  <c r="E42" i="27"/>
  <c r="G42" i="27" s="1"/>
  <c r="D44" i="27"/>
  <c r="H44" i="27" s="1"/>
  <c r="H20" i="27"/>
  <c r="F53" i="30"/>
  <c r="D100" i="39"/>
  <c r="E100" i="39" s="1"/>
  <c r="D100" i="41"/>
  <c r="E100" i="41" s="1"/>
  <c r="D100" i="44"/>
  <c r="E100" i="44" s="1"/>
  <c r="D100" i="38"/>
  <c r="E100" i="38" s="1"/>
  <c r="D100" i="35"/>
  <c r="E100" i="35" s="1"/>
  <c r="D100" i="34"/>
  <c r="E100" i="34" s="1"/>
  <c r="D100" i="33"/>
  <c r="E100" i="33" s="1"/>
  <c r="D100" i="42"/>
  <c r="E100" i="42" s="1"/>
  <c r="D100" i="31"/>
  <c r="E100" i="31" s="1"/>
  <c r="D100" i="36"/>
  <c r="E100" i="36" s="1"/>
  <c r="D100" i="40"/>
  <c r="E100" i="40" s="1"/>
  <c r="D100" i="46"/>
  <c r="E100" i="46" s="1"/>
  <c r="D100" i="45"/>
  <c r="E100" i="45" s="1"/>
  <c r="D100" i="32"/>
  <c r="E100" i="32" s="1"/>
  <c r="D100" i="37"/>
  <c r="E100" i="37" s="1"/>
  <c r="D100" i="50"/>
  <c r="E100" i="50" s="1"/>
  <c r="D100" i="49"/>
  <c r="E100" i="49" s="1"/>
  <c r="D100" i="48"/>
  <c r="E100" i="48" s="1"/>
  <c r="D100" i="43"/>
  <c r="E100" i="43" s="1"/>
  <c r="H47" i="30"/>
  <c r="D45" i="30"/>
  <c r="H45" i="30" s="1"/>
  <c r="D44" i="30"/>
  <c r="H44" i="30" s="1"/>
  <c r="H20" i="30"/>
  <c r="F53" i="10"/>
  <c r="D42" i="10"/>
  <c r="D49" i="56" s="1"/>
  <c r="D4" i="10"/>
  <c r="G36" i="7"/>
  <c r="D22" i="10"/>
  <c r="D21" i="10" s="1"/>
  <c r="D33" i="56" s="1"/>
  <c r="D79" i="24"/>
  <c r="D50" i="10"/>
  <c r="D51" i="10" s="1"/>
  <c r="D45" i="10"/>
  <c r="D51" i="56" s="1"/>
  <c r="D10" i="10"/>
  <c r="D26" i="56" s="1"/>
  <c r="D11" i="10"/>
  <c r="D24" i="56" s="1"/>
  <c r="D28" i="10"/>
  <c r="D27" i="10" s="1"/>
  <c r="D38" i="56" s="1"/>
  <c r="D25" i="10"/>
  <c r="D24" i="10" s="1"/>
  <c r="D36" i="56" s="1"/>
  <c r="F36" i="7"/>
  <c r="F38" i="7"/>
  <c r="E38" i="7"/>
  <c r="E100" i="1"/>
  <c r="D19" i="50" l="1"/>
  <c r="E19" i="50" s="1"/>
  <c r="D19" i="56"/>
  <c r="D19" i="49"/>
  <c r="E19" i="49" s="1"/>
  <c r="D19" i="47"/>
  <c r="E19" i="47" s="1"/>
  <c r="D19" i="36"/>
  <c r="E19" i="36" s="1"/>
  <c r="D19" i="41"/>
  <c r="E19" i="41" s="1"/>
  <c r="E18" i="41" s="1"/>
  <c r="D19" i="31"/>
  <c r="E19" i="31" s="1"/>
  <c r="G30" i="18"/>
  <c r="H30" i="18" s="1"/>
  <c r="E40" i="56"/>
  <c r="D54" i="27"/>
  <c r="H54" i="27" s="1"/>
  <c r="D54" i="30"/>
  <c r="H54" i="30" s="1"/>
  <c r="D51" i="30"/>
  <c r="H51" i="30" s="1"/>
  <c r="E19" i="18"/>
  <c r="D19" i="18"/>
  <c r="E34" i="18"/>
  <c r="E47" i="56" s="1"/>
  <c r="D34" i="18"/>
  <c r="D51" i="27"/>
  <c r="H51" i="27" s="1"/>
  <c r="E31" i="18"/>
  <c r="D31" i="18"/>
  <c r="D76" i="50"/>
  <c r="E76" i="50" s="1"/>
  <c r="D76" i="41"/>
  <c r="E76" i="41" s="1"/>
  <c r="D76" i="40"/>
  <c r="E76" i="40" s="1"/>
  <c r="D76" i="36"/>
  <c r="E76" i="36" s="1"/>
  <c r="D76" i="48"/>
  <c r="E76" i="48" s="1"/>
  <c r="D76" i="44"/>
  <c r="E76" i="44" s="1"/>
  <c r="D76" i="39"/>
  <c r="E76" i="39" s="1"/>
  <c r="D76" i="38"/>
  <c r="E76" i="38" s="1"/>
  <c r="D76" i="34"/>
  <c r="E76" i="34" s="1"/>
  <c r="D76" i="49"/>
  <c r="E76" i="49" s="1"/>
  <c r="D76" i="35"/>
  <c r="E76" i="35" s="1"/>
  <c r="D76" i="31"/>
  <c r="E76" i="31" s="1"/>
  <c r="D76" i="45"/>
  <c r="E76" i="45" s="1"/>
  <c r="D76" i="42"/>
  <c r="E76" i="42" s="1"/>
  <c r="D76" i="46"/>
  <c r="E76" i="46" s="1"/>
  <c r="D76" i="32"/>
  <c r="E76" i="32" s="1"/>
  <c r="D76" i="33"/>
  <c r="E76" i="33" s="1"/>
  <c r="D76" i="47"/>
  <c r="E76" i="47" s="1"/>
  <c r="D76" i="43"/>
  <c r="E76" i="43" s="1"/>
  <c r="D76" i="37"/>
  <c r="E76" i="37" s="1"/>
  <c r="F28" i="30"/>
  <c r="F27" i="30" s="1"/>
  <c r="F28" i="27"/>
  <c r="F27" i="27" s="1"/>
  <c r="F25" i="30"/>
  <c r="F24" i="30" s="1"/>
  <c r="F25" i="27"/>
  <c r="F24" i="27" s="1"/>
  <c r="G53" i="30"/>
  <c r="D42" i="30"/>
  <c r="H42" i="30" s="1"/>
  <c r="D58" i="24"/>
  <c r="D69" i="45"/>
  <c r="E69" i="45" s="1"/>
  <c r="D69" i="35"/>
  <c r="E69" i="35" s="1"/>
  <c r="D69" i="31"/>
  <c r="E69" i="31" s="1"/>
  <c r="D69" i="42"/>
  <c r="E69" i="42" s="1"/>
  <c r="D69" i="46"/>
  <c r="E69" i="46" s="1"/>
  <c r="D69" i="36"/>
  <c r="E69" i="36" s="1"/>
  <c r="D69" i="32"/>
  <c r="E69" i="32" s="1"/>
  <c r="D69" i="39"/>
  <c r="E69" i="39" s="1"/>
  <c r="D69" i="43"/>
  <c r="E69" i="43" s="1"/>
  <c r="D69" i="49"/>
  <c r="E69" i="49" s="1"/>
  <c r="D69" i="47"/>
  <c r="E69" i="47" s="1"/>
  <c r="D69" i="37"/>
  <c r="E69" i="37" s="1"/>
  <c r="D69" i="33"/>
  <c r="E69" i="33" s="1"/>
  <c r="D69" i="48"/>
  <c r="E69" i="48" s="1"/>
  <c r="D69" i="50"/>
  <c r="E69" i="50" s="1"/>
  <c r="D69" i="44"/>
  <c r="D69" i="41"/>
  <c r="E69" i="41" s="1"/>
  <c r="D69" i="40"/>
  <c r="E69" i="40" s="1"/>
  <c r="D69" i="38"/>
  <c r="E69" i="38" s="1"/>
  <c r="D69" i="34"/>
  <c r="E69" i="34" s="1"/>
  <c r="H22" i="27"/>
  <c r="D21" i="27"/>
  <c r="H21" i="27" s="1"/>
  <c r="D21" i="30"/>
  <c r="H21" i="30" s="1"/>
  <c r="H22" i="30"/>
  <c r="E25" i="30"/>
  <c r="E28" i="27"/>
  <c r="E28" i="30"/>
  <c r="E25" i="27"/>
  <c r="D130" i="47"/>
  <c r="E130" i="47" s="1"/>
  <c r="D130" i="40"/>
  <c r="E130" i="40" s="1"/>
  <c r="D130" i="37"/>
  <c r="E130" i="37" s="1"/>
  <c r="D130" i="33"/>
  <c r="E130" i="33" s="1"/>
  <c r="D130" i="49"/>
  <c r="E130" i="49" s="1"/>
  <c r="D130" i="43"/>
  <c r="E130" i="43" s="1"/>
  <c r="D130" i="39"/>
  <c r="E130" i="39" s="1"/>
  <c r="D130" i="48"/>
  <c r="E130" i="48" s="1"/>
  <c r="D130" i="50"/>
  <c r="E130" i="50" s="1"/>
  <c r="D130" i="44"/>
  <c r="E130" i="44" s="1"/>
  <c r="D130" i="41"/>
  <c r="E130" i="41" s="1"/>
  <c r="D130" i="38"/>
  <c r="E130" i="38" s="1"/>
  <c r="D130" i="34"/>
  <c r="E130" i="34" s="1"/>
  <c r="D130" i="42"/>
  <c r="E130" i="42" s="1"/>
  <c r="D130" i="45"/>
  <c r="E130" i="45" s="1"/>
  <c r="D130" i="35"/>
  <c r="E130" i="35" s="1"/>
  <c r="D130" i="31"/>
  <c r="E130" i="31" s="1"/>
  <c r="D130" i="46"/>
  <c r="E130" i="46" s="1"/>
  <c r="D130" i="36"/>
  <c r="E130" i="36" s="1"/>
  <c r="D130" i="32"/>
  <c r="E130" i="32" s="1"/>
  <c r="D27" i="27"/>
  <c r="H27" i="27" s="1"/>
  <c r="H28" i="27"/>
  <c r="E21" i="30"/>
  <c r="G21" i="30" s="1"/>
  <c r="G22" i="30"/>
  <c r="D45" i="45"/>
  <c r="E45" i="45" s="1"/>
  <c r="D45" i="40"/>
  <c r="E45" i="40" s="1"/>
  <c r="D45" i="42"/>
  <c r="E45" i="42" s="1"/>
  <c r="D45" i="39"/>
  <c r="E45" i="39" s="1"/>
  <c r="D45" i="35"/>
  <c r="E45" i="35" s="1"/>
  <c r="D45" i="31"/>
  <c r="E45" i="31" s="1"/>
  <c r="D45" i="49"/>
  <c r="E45" i="49" s="1"/>
  <c r="D45" i="47"/>
  <c r="E45" i="47" s="1"/>
  <c r="D45" i="36"/>
  <c r="E45" i="36" s="1"/>
  <c r="D45" i="37"/>
  <c r="E45" i="37" s="1"/>
  <c r="D45" i="41"/>
  <c r="E45" i="41" s="1"/>
  <c r="D45" i="46"/>
  <c r="E45" i="46" s="1"/>
  <c r="D45" i="32"/>
  <c r="E45" i="32" s="1"/>
  <c r="D45" i="50"/>
  <c r="E45" i="50" s="1"/>
  <c r="D45" i="48"/>
  <c r="E45" i="48" s="1"/>
  <c r="D45" i="43"/>
  <c r="E45" i="43" s="1"/>
  <c r="D45" i="33"/>
  <c r="E45" i="33" s="1"/>
  <c r="D45" i="44"/>
  <c r="E45" i="44" s="1"/>
  <c r="D45" i="38"/>
  <c r="E45" i="38" s="1"/>
  <c r="D45" i="34"/>
  <c r="E45" i="34" s="1"/>
  <c r="D4" i="27"/>
  <c r="H4" i="27" s="1"/>
  <c r="H5" i="27"/>
  <c r="D24" i="27"/>
  <c r="H24" i="27" s="1"/>
  <c r="H25" i="27"/>
  <c r="G22" i="27"/>
  <c r="E21" i="27"/>
  <c r="G21" i="27" s="1"/>
  <c r="D24" i="30"/>
  <c r="H24" i="30" s="1"/>
  <c r="H25" i="30"/>
  <c r="D42" i="27"/>
  <c r="H42" i="27" s="1"/>
  <c r="D37" i="46"/>
  <c r="E37" i="46" s="1"/>
  <c r="D37" i="36"/>
  <c r="E37" i="36" s="1"/>
  <c r="D37" i="32"/>
  <c r="E37" i="32" s="1"/>
  <c r="D37" i="43"/>
  <c r="E37" i="43" s="1"/>
  <c r="D37" i="47"/>
  <c r="E37" i="47" s="1"/>
  <c r="D37" i="37"/>
  <c r="E37" i="37" s="1"/>
  <c r="D37" i="33"/>
  <c r="E37" i="33" s="1"/>
  <c r="D37" i="40"/>
  <c r="E37" i="40" s="1"/>
  <c r="D37" i="49"/>
  <c r="E37" i="49" s="1"/>
  <c r="D37" i="50"/>
  <c r="E37" i="50" s="1"/>
  <c r="D37" i="48"/>
  <c r="E37" i="48" s="1"/>
  <c r="D37" i="44"/>
  <c r="E37" i="44" s="1"/>
  <c r="D37" i="41"/>
  <c r="E37" i="41" s="1"/>
  <c r="D37" i="38"/>
  <c r="E37" i="38" s="1"/>
  <c r="D37" i="34"/>
  <c r="D37" i="45"/>
  <c r="E37" i="45" s="1"/>
  <c r="D37" i="42"/>
  <c r="E37" i="42" s="1"/>
  <c r="D37" i="39"/>
  <c r="E37" i="39" s="1"/>
  <c r="D37" i="35"/>
  <c r="E37" i="35" s="1"/>
  <c r="D37" i="31"/>
  <c r="E37" i="31" s="1"/>
  <c r="D122" i="44"/>
  <c r="E122" i="44" s="1"/>
  <c r="D122" i="42"/>
  <c r="E122" i="42" s="1"/>
  <c r="E106" i="42" s="1"/>
  <c r="D122" i="38"/>
  <c r="D122" i="34"/>
  <c r="D122" i="40"/>
  <c r="E122" i="40" s="1"/>
  <c r="E106" i="40" s="1"/>
  <c r="D122" i="35"/>
  <c r="D122" i="31"/>
  <c r="D122" i="47"/>
  <c r="E122" i="47" s="1"/>
  <c r="E106" i="47" s="1"/>
  <c r="D122" i="45"/>
  <c r="D122" i="50"/>
  <c r="D122" i="43"/>
  <c r="D122" i="46"/>
  <c r="E122" i="46" s="1"/>
  <c r="D122" i="32"/>
  <c r="D122" i="49"/>
  <c r="E122" i="49" s="1"/>
  <c r="D122" i="41"/>
  <c r="D122" i="48"/>
  <c r="D122" i="36"/>
  <c r="E122" i="36" s="1"/>
  <c r="D122" i="37"/>
  <c r="D122" i="39"/>
  <c r="E122" i="39" s="1"/>
  <c r="E106" i="39" s="1"/>
  <c r="D122" i="33"/>
  <c r="D83" i="47"/>
  <c r="E83" i="47" s="1"/>
  <c r="D83" i="37"/>
  <c r="E83" i="37" s="1"/>
  <c r="D83" i="36"/>
  <c r="E83" i="36" s="1"/>
  <c r="D83" i="48"/>
  <c r="E83" i="48" s="1"/>
  <c r="D83" i="43"/>
  <c r="E83" i="43" s="1"/>
  <c r="D83" i="31"/>
  <c r="E83" i="31" s="1"/>
  <c r="D83" i="50"/>
  <c r="E83" i="50" s="1"/>
  <c r="D83" i="49"/>
  <c r="E83" i="49" s="1"/>
  <c r="D83" i="41"/>
  <c r="E83" i="41" s="1"/>
  <c r="D83" i="40"/>
  <c r="E83" i="40" s="1"/>
  <c r="D83" i="33"/>
  <c r="E83" i="33" s="1"/>
  <c r="D83" i="39"/>
  <c r="E83" i="39" s="1"/>
  <c r="D83" i="42"/>
  <c r="E83" i="42" s="1"/>
  <c r="D83" i="44"/>
  <c r="E83" i="44" s="1"/>
  <c r="D83" i="38"/>
  <c r="E83" i="38" s="1"/>
  <c r="D83" i="35"/>
  <c r="E83" i="35" s="1"/>
  <c r="D83" i="34"/>
  <c r="E83" i="34" s="1"/>
  <c r="D83" i="46"/>
  <c r="E83" i="46" s="1"/>
  <c r="D83" i="45"/>
  <c r="E83" i="45" s="1"/>
  <c r="D83" i="32"/>
  <c r="E83" i="32" s="1"/>
  <c r="D19" i="40"/>
  <c r="E19" i="40" s="1"/>
  <c r="D19" i="44"/>
  <c r="E19" i="44" s="1"/>
  <c r="D19" i="38"/>
  <c r="E19" i="38" s="1"/>
  <c r="D19" i="45"/>
  <c r="E19" i="45" s="1"/>
  <c r="D19" i="42"/>
  <c r="E19" i="42" s="1"/>
  <c r="D19" i="39"/>
  <c r="E19" i="39" s="1"/>
  <c r="D19" i="35"/>
  <c r="E19" i="35" s="1"/>
  <c r="D19" i="37"/>
  <c r="E19" i="37" s="1"/>
  <c r="D19" i="48"/>
  <c r="E19" i="48" s="1"/>
  <c r="D19" i="33"/>
  <c r="E19" i="33" s="1"/>
  <c r="D19" i="46"/>
  <c r="D19" i="43"/>
  <c r="E19" i="43" s="1"/>
  <c r="D19" i="32"/>
  <c r="E19" i="32" s="1"/>
  <c r="D19" i="34"/>
  <c r="E19" i="34" s="1"/>
  <c r="D55" i="30"/>
  <c r="H55" i="30" s="1"/>
  <c r="H57" i="30"/>
  <c r="D27" i="30"/>
  <c r="H27" i="30" s="1"/>
  <c r="H28" i="30"/>
  <c r="D55" i="27"/>
  <c r="H55" i="27" s="1"/>
  <c r="E25" i="10"/>
  <c r="E24" i="10" s="1"/>
  <c r="E28" i="10"/>
  <c r="E27" i="10" s="1"/>
  <c r="F25" i="10"/>
  <c r="F24" i="10" s="1"/>
  <c r="F28" i="10"/>
  <c r="F27" i="10" s="1"/>
  <c r="D62" i="24"/>
  <c r="D97" i="24"/>
  <c r="D66" i="24"/>
  <c r="G38" i="7"/>
  <c r="F43" i="7"/>
  <c r="E52" i="10" s="1"/>
  <c r="F46" i="7"/>
  <c r="E43" i="7"/>
  <c r="D52" i="10" s="1"/>
  <c r="D54" i="10"/>
  <c r="D53" i="10" s="1"/>
  <c r="E18" i="48" l="1"/>
  <c r="E19" i="46"/>
  <c r="E18" i="46" s="1"/>
  <c r="E18" i="42"/>
  <c r="G31" i="18"/>
  <c r="H31" i="18" s="1"/>
  <c r="E42" i="56"/>
  <c r="G19" i="18"/>
  <c r="H19" i="18" s="1"/>
  <c r="E21" i="56"/>
  <c r="E122" i="50"/>
  <c r="E122" i="48"/>
  <c r="E106" i="48" s="1"/>
  <c r="E122" i="31"/>
  <c r="E106" i="31" s="1"/>
  <c r="E18" i="32"/>
  <c r="E18" i="39"/>
  <c r="E122" i="37"/>
  <c r="E106" i="37" s="1"/>
  <c r="E18" i="34"/>
  <c r="E122" i="38"/>
  <c r="E106" i="38" s="1"/>
  <c r="E37" i="34"/>
  <c r="E36" i="34" s="1"/>
  <c r="E122" i="34"/>
  <c r="E106" i="34" s="1"/>
  <c r="E18" i="31"/>
  <c r="E18" i="33"/>
  <c r="E18" i="35"/>
  <c r="E122" i="33"/>
  <c r="E106" i="33" s="1"/>
  <c r="E122" i="32"/>
  <c r="E106" i="32" s="1"/>
  <c r="E18" i="38"/>
  <c r="E122" i="35"/>
  <c r="E106" i="35" s="1"/>
  <c r="E18" i="50"/>
  <c r="E106" i="49"/>
  <c r="E18" i="49"/>
  <c r="E122" i="43"/>
  <c r="E106" i="43" s="1"/>
  <c r="E18" i="43"/>
  <c r="E18" i="45"/>
  <c r="E18" i="47"/>
  <c r="E106" i="46"/>
  <c r="E122" i="45"/>
  <c r="E106" i="45" s="1"/>
  <c r="E122" i="41"/>
  <c r="E106" i="41" s="1"/>
  <c r="E18" i="40"/>
  <c r="E75" i="49"/>
  <c r="E36" i="48"/>
  <c r="E36" i="42"/>
  <c r="E36" i="41"/>
  <c r="E36" i="49"/>
  <c r="D18" i="18"/>
  <c r="E36" i="35"/>
  <c r="E36" i="32"/>
  <c r="E75" i="43"/>
  <c r="E36" i="47"/>
  <c r="E36" i="46"/>
  <c r="E36" i="39"/>
  <c r="E28" i="18"/>
  <c r="E36" i="56" s="1"/>
  <c r="D28" i="18"/>
  <c r="E36" i="45"/>
  <c r="E36" i="40"/>
  <c r="E37" i="18"/>
  <c r="E51" i="56" s="1"/>
  <c r="D37" i="18"/>
  <c r="E69" i="44"/>
  <c r="E26" i="18" s="1"/>
  <c r="D26" i="18"/>
  <c r="E75" i="35"/>
  <c r="E75" i="40"/>
  <c r="E36" i="43"/>
  <c r="E22" i="18"/>
  <c r="D22" i="18"/>
  <c r="D35" i="18"/>
  <c r="E36" i="38"/>
  <c r="E36" i="37"/>
  <c r="D21" i="18"/>
  <c r="E29" i="18"/>
  <c r="D29" i="18"/>
  <c r="E36" i="33"/>
  <c r="E106" i="36"/>
  <c r="G34" i="18"/>
  <c r="H34" i="18" s="1"/>
  <c r="E27" i="27"/>
  <c r="G27" i="27" s="1"/>
  <c r="G28" i="27"/>
  <c r="E36" i="31"/>
  <c r="E75" i="33"/>
  <c r="E75" i="34"/>
  <c r="E75" i="50"/>
  <c r="G25" i="27"/>
  <c r="E24" i="27"/>
  <c r="G24" i="27" s="1"/>
  <c r="E27" i="30"/>
  <c r="G27" i="30" s="1"/>
  <c r="G28" i="30"/>
  <c r="D53" i="27"/>
  <c r="H53" i="27" s="1"/>
  <c r="E75" i="47"/>
  <c r="E75" i="41"/>
  <c r="E18" i="36"/>
  <c r="E75" i="37"/>
  <c r="E75" i="31"/>
  <c r="E52" i="30"/>
  <c r="E16" i="30"/>
  <c r="E16" i="27"/>
  <c r="E52" i="27"/>
  <c r="E75" i="45"/>
  <c r="E75" i="48"/>
  <c r="E75" i="42"/>
  <c r="D52" i="27"/>
  <c r="D52" i="30"/>
  <c r="H52" i="30" s="1"/>
  <c r="D16" i="27"/>
  <c r="D16" i="30"/>
  <c r="E75" i="46"/>
  <c r="E75" i="39"/>
  <c r="E24" i="30"/>
  <c r="G24" i="30" s="1"/>
  <c r="G25" i="30"/>
  <c r="E36" i="50"/>
  <c r="D53" i="30"/>
  <c r="E75" i="32"/>
  <c r="E75" i="38"/>
  <c r="E16" i="10"/>
  <c r="E48" i="10"/>
  <c r="D16" i="10"/>
  <c r="G43" i="7"/>
  <c r="F52" i="10" s="1"/>
  <c r="G46" i="7"/>
  <c r="E46" i="7"/>
  <c r="D48" i="10"/>
  <c r="E35" i="18" l="1"/>
  <c r="G35" i="18" s="1"/>
  <c r="H35" i="18" s="1"/>
  <c r="D137" i="50"/>
  <c r="E137" i="50" s="1"/>
  <c r="E129" i="50" s="1"/>
  <c r="D53" i="56"/>
  <c r="G29" i="18"/>
  <c r="H29" i="18" s="1"/>
  <c r="E38" i="56"/>
  <c r="E35" i="56" s="1"/>
  <c r="G22" i="18"/>
  <c r="H22" i="18" s="1"/>
  <c r="E26" i="56"/>
  <c r="G26" i="18"/>
  <c r="H26" i="18" s="1"/>
  <c r="E33" i="56"/>
  <c r="E106" i="50"/>
  <c r="E18" i="18"/>
  <c r="E18" i="44"/>
  <c r="E36" i="44"/>
  <c r="E75" i="44"/>
  <c r="E75" i="36"/>
  <c r="E21" i="18"/>
  <c r="E106" i="44"/>
  <c r="E36" i="36"/>
  <c r="G28" i="18"/>
  <c r="H28" i="18" s="1"/>
  <c r="E27" i="18"/>
  <c r="G52" i="30"/>
  <c r="E48" i="30"/>
  <c r="G48" i="30" s="1"/>
  <c r="E19" i="30"/>
  <c r="G16" i="30"/>
  <c r="E15" i="30"/>
  <c r="G15" i="30" s="1"/>
  <c r="H52" i="27"/>
  <c r="D48" i="27"/>
  <c r="H48" i="27" s="1"/>
  <c r="G52" i="27"/>
  <c r="E48" i="27"/>
  <c r="G48" i="27" s="1"/>
  <c r="D48" i="30"/>
  <c r="H48" i="30" s="1"/>
  <c r="H53" i="30"/>
  <c r="G37" i="18"/>
  <c r="H37" i="18" s="1"/>
  <c r="D19" i="30"/>
  <c r="H16" i="30"/>
  <c r="D15" i="30"/>
  <c r="H15" i="30" s="1"/>
  <c r="F16" i="30"/>
  <c r="F52" i="30"/>
  <c r="F48" i="30" s="1"/>
  <c r="F52" i="27"/>
  <c r="F48" i="27" s="1"/>
  <c r="F16" i="27"/>
  <c r="E15" i="27"/>
  <c r="G15" i="27" s="1"/>
  <c r="E19" i="27"/>
  <c r="G16" i="27"/>
  <c r="D137" i="36"/>
  <c r="E137" i="36" s="1"/>
  <c r="D137" i="46"/>
  <c r="E137" i="46" s="1"/>
  <c r="E129" i="46" s="1"/>
  <c r="D137" i="32"/>
  <c r="D137" i="48"/>
  <c r="E137" i="48" s="1"/>
  <c r="E129" i="48" s="1"/>
  <c r="D137" i="33"/>
  <c r="D137" i="41"/>
  <c r="E137" i="41" s="1"/>
  <c r="E129" i="41" s="1"/>
  <c r="D137" i="49"/>
  <c r="E137" i="49" s="1"/>
  <c r="E129" i="49" s="1"/>
  <c r="D137" i="47"/>
  <c r="E137" i="47" s="1"/>
  <c r="E129" i="47" s="1"/>
  <c r="D137" i="43"/>
  <c r="E137" i="43" s="1"/>
  <c r="E129" i="43" s="1"/>
  <c r="D137" i="40"/>
  <c r="E137" i="40" s="1"/>
  <c r="E129" i="40" s="1"/>
  <c r="D137" i="37"/>
  <c r="D137" i="31"/>
  <c r="D137" i="44"/>
  <c r="D137" i="39"/>
  <c r="D137" i="38"/>
  <c r="D137" i="34"/>
  <c r="D137" i="35"/>
  <c r="D137" i="45"/>
  <c r="E137" i="45" s="1"/>
  <c r="E129" i="45" s="1"/>
  <c r="D137" i="42"/>
  <c r="E137" i="42" s="1"/>
  <c r="E129" i="42" s="1"/>
  <c r="D15" i="27"/>
  <c r="H15" i="27" s="1"/>
  <c r="H16" i="27"/>
  <c r="D19" i="27"/>
  <c r="F16" i="10"/>
  <c r="F48" i="10"/>
  <c r="E15" i="10"/>
  <c r="E19" i="10"/>
  <c r="E18" i="10" s="1"/>
  <c r="D101" i="24"/>
  <c r="E18" i="20"/>
  <c r="D19" i="10"/>
  <c r="D18" i="10" s="1"/>
  <c r="D31" i="56" s="1"/>
  <c r="D15" i="10"/>
  <c r="D29" i="56" s="1"/>
  <c r="E32" i="18" l="1"/>
  <c r="D22" i="20" s="1"/>
  <c r="E49" i="56"/>
  <c r="E44" i="56" s="1"/>
  <c r="E20" i="18"/>
  <c r="D19" i="20" s="1"/>
  <c r="E24" i="56"/>
  <c r="E23" i="56" s="1"/>
  <c r="G18" i="18"/>
  <c r="H18" i="18" s="1"/>
  <c r="E19" i="56"/>
  <c r="E18" i="56" s="1"/>
  <c r="E17" i="18"/>
  <c r="G17" i="18" s="1"/>
  <c r="H17" i="18" s="1"/>
  <c r="E137" i="39"/>
  <c r="E129" i="39" s="1"/>
  <c r="E137" i="32"/>
  <c r="E129" i="32" s="1"/>
  <c r="E137" i="31"/>
  <c r="E129" i="31" s="1"/>
  <c r="E137" i="33"/>
  <c r="E129" i="33" s="1"/>
  <c r="E137" i="38"/>
  <c r="E129" i="38" s="1"/>
  <c r="E137" i="34"/>
  <c r="E129" i="34" s="1"/>
  <c r="E137" i="35"/>
  <c r="E129" i="35" s="1"/>
  <c r="E137" i="37"/>
  <c r="E129" i="37" s="1"/>
  <c r="G21" i="18"/>
  <c r="H21" i="18" s="1"/>
  <c r="E137" i="44"/>
  <c r="E129" i="44" s="1"/>
  <c r="D38" i="18"/>
  <c r="F15" i="27"/>
  <c r="F19" i="27"/>
  <c r="F18" i="27" s="1"/>
  <c r="G27" i="18"/>
  <c r="H27" i="18" s="1"/>
  <c r="D21" i="20"/>
  <c r="D62" i="43"/>
  <c r="E62" i="43" s="1"/>
  <c r="D62" i="36"/>
  <c r="E62" i="36" s="1"/>
  <c r="D62" i="46"/>
  <c r="E62" i="46" s="1"/>
  <c r="D62" i="49"/>
  <c r="E62" i="49" s="1"/>
  <c r="D62" i="47"/>
  <c r="E62" i="47" s="1"/>
  <c r="D62" i="37"/>
  <c r="E62" i="37" s="1"/>
  <c r="D62" i="39"/>
  <c r="E62" i="39" s="1"/>
  <c r="D62" i="33"/>
  <c r="E62" i="33" s="1"/>
  <c r="D62" i="35"/>
  <c r="E62" i="35" s="1"/>
  <c r="D62" i="31"/>
  <c r="E62" i="31" s="1"/>
  <c r="D62" i="32"/>
  <c r="E62" i="32" s="1"/>
  <c r="D62" i="50"/>
  <c r="E62" i="50" s="1"/>
  <c r="D62" i="48"/>
  <c r="E62" i="48" s="1"/>
  <c r="D62" i="41"/>
  <c r="E62" i="41" s="1"/>
  <c r="D62" i="42"/>
  <c r="E62" i="42" s="1"/>
  <c r="D62" i="44"/>
  <c r="E62" i="44" s="1"/>
  <c r="D62" i="40"/>
  <c r="E62" i="40" s="1"/>
  <c r="D62" i="38"/>
  <c r="E62" i="38" s="1"/>
  <c r="D62" i="34"/>
  <c r="E62" i="34" s="1"/>
  <c r="D62" i="45"/>
  <c r="E62" i="45" s="1"/>
  <c r="E129" i="36"/>
  <c r="F19" i="30"/>
  <c r="F18" i="30" s="1"/>
  <c r="F15" i="30"/>
  <c r="D18" i="27"/>
  <c r="H18" i="27" s="1"/>
  <c r="H19" i="27"/>
  <c r="E18" i="27"/>
  <c r="G18" i="27" s="1"/>
  <c r="G19" i="27"/>
  <c r="D18" i="30"/>
  <c r="H18" i="30" s="1"/>
  <c r="H19" i="30"/>
  <c r="E18" i="30"/>
  <c r="G18" i="30" s="1"/>
  <c r="G19" i="30"/>
  <c r="D53" i="47"/>
  <c r="E53" i="47" s="1"/>
  <c r="D53" i="50"/>
  <c r="E53" i="50" s="1"/>
  <c r="D53" i="48"/>
  <c r="E53" i="48" s="1"/>
  <c r="D53" i="44"/>
  <c r="E53" i="44" s="1"/>
  <c r="D53" i="41"/>
  <c r="E53" i="41" s="1"/>
  <c r="D53" i="38"/>
  <c r="E53" i="38" s="1"/>
  <c r="D53" i="34"/>
  <c r="E53" i="34" s="1"/>
  <c r="D53" i="36"/>
  <c r="E53" i="36" s="1"/>
  <c r="D53" i="32"/>
  <c r="E53" i="32" s="1"/>
  <c r="D53" i="40"/>
  <c r="E53" i="40" s="1"/>
  <c r="D53" i="49"/>
  <c r="E53" i="49" s="1"/>
  <c r="D53" i="37"/>
  <c r="E53" i="37" s="1"/>
  <c r="D53" i="45"/>
  <c r="E53" i="45" s="1"/>
  <c r="D53" i="39"/>
  <c r="E53" i="39" s="1"/>
  <c r="D53" i="35"/>
  <c r="E53" i="35" s="1"/>
  <c r="D53" i="31"/>
  <c r="E53" i="31" s="1"/>
  <c r="D53" i="33"/>
  <c r="E53" i="33" s="1"/>
  <c r="D53" i="42"/>
  <c r="E53" i="42" s="1"/>
  <c r="D53" i="46"/>
  <c r="E53" i="46" s="1"/>
  <c r="D53" i="43"/>
  <c r="E53" i="43" s="1"/>
  <c r="F15" i="10"/>
  <c r="F19" i="10"/>
  <c r="F18" i="10" s="1"/>
  <c r="D54" i="24"/>
  <c r="E21" i="20"/>
  <c r="E19" i="20"/>
  <c r="G32" i="18" l="1"/>
  <c r="H32" i="18" s="1"/>
  <c r="E52" i="49"/>
  <c r="E141" i="49" s="1"/>
  <c r="C142" i="49" s="1"/>
  <c r="T6" i="49" s="1"/>
  <c r="U6" i="49" s="1"/>
  <c r="G20" i="18"/>
  <c r="H20" i="18" s="1"/>
  <c r="D18" i="20"/>
  <c r="F18" i="20" s="1"/>
  <c r="G18" i="20" s="1"/>
  <c r="F19" i="20"/>
  <c r="G19" i="20" s="1"/>
  <c r="E52" i="35"/>
  <c r="E141" i="35" s="1"/>
  <c r="C142" i="35" s="1"/>
  <c r="T6" i="35" s="1"/>
  <c r="U6" i="35" s="1"/>
  <c r="E52" i="34"/>
  <c r="E141" i="34" s="1"/>
  <c r="C142" i="34" s="1"/>
  <c r="T6" i="34" s="1"/>
  <c r="U6" i="34" s="1"/>
  <c r="E52" i="38"/>
  <c r="E141" i="38" s="1"/>
  <c r="C142" i="38" s="1"/>
  <c r="T6" i="38" s="1"/>
  <c r="U6" i="38" s="1"/>
  <c r="E52" i="37"/>
  <c r="E52" i="45"/>
  <c r="E141" i="45" s="1"/>
  <c r="C142" i="45" s="1"/>
  <c r="T6" i="45" s="1"/>
  <c r="U6" i="45" s="1"/>
  <c r="E52" i="32"/>
  <c r="E141" i="32" s="1"/>
  <c r="C142" i="32" s="1"/>
  <c r="T6" i="32" s="1"/>
  <c r="U6" i="32" s="1"/>
  <c r="E52" i="50"/>
  <c r="E141" i="50" s="1"/>
  <c r="C142" i="50" s="1"/>
  <c r="T6" i="50" s="1"/>
  <c r="U6" i="50" s="1"/>
  <c r="E52" i="31"/>
  <c r="E141" i="31" s="1"/>
  <c r="C142" i="31" s="1"/>
  <c r="T6" i="31" s="1"/>
  <c r="U6" i="31" s="1"/>
  <c r="E52" i="46"/>
  <c r="E141" i="46" s="1"/>
  <c r="C142" i="46" s="1"/>
  <c r="T6" i="46" s="1"/>
  <c r="U6" i="46" s="1"/>
  <c r="E38" i="18"/>
  <c r="D24" i="18"/>
  <c r="E52" i="43"/>
  <c r="E141" i="43" s="1"/>
  <c r="C142" i="43" s="1"/>
  <c r="T6" i="43" s="1"/>
  <c r="U6" i="43" s="1"/>
  <c r="F21" i="20"/>
  <c r="G21" i="20" s="1"/>
  <c r="E25" i="18"/>
  <c r="D25" i="18"/>
  <c r="E52" i="33"/>
  <c r="E141" i="33" s="1"/>
  <c r="C142" i="33" s="1"/>
  <c r="T6" i="33" s="1"/>
  <c r="U6" i="33" s="1"/>
  <c r="E52" i="42"/>
  <c r="E141" i="42" s="1"/>
  <c r="C142" i="42" s="1"/>
  <c r="T6" i="42" s="1"/>
  <c r="U6" i="42" s="1"/>
  <c r="E52" i="40"/>
  <c r="E141" i="40" s="1"/>
  <c r="C142" i="40" s="1"/>
  <c r="T6" i="40" s="1"/>
  <c r="U6" i="40" s="1"/>
  <c r="E52" i="47"/>
  <c r="E141" i="47" s="1"/>
  <c r="C142" i="47" s="1"/>
  <c r="T6" i="47" s="1"/>
  <c r="U6" i="47" s="1"/>
  <c r="E52" i="44"/>
  <c r="E141" i="44" s="1"/>
  <c r="C142" i="44" s="1"/>
  <c r="T6" i="44" s="1"/>
  <c r="U6" i="44" s="1"/>
  <c r="E24" i="18"/>
  <c r="E29" i="56" s="1"/>
  <c r="E52" i="48"/>
  <c r="E141" i="48" s="1"/>
  <c r="C142" i="48" s="1"/>
  <c r="T6" i="48" s="1"/>
  <c r="U6" i="48" s="1"/>
  <c r="E52" i="41"/>
  <c r="E141" i="41" s="1"/>
  <c r="C142" i="41" s="1"/>
  <c r="T6" i="41" s="1"/>
  <c r="U6" i="41" s="1"/>
  <c r="E52" i="39"/>
  <c r="E141" i="39" s="1"/>
  <c r="C142" i="39" s="1"/>
  <c r="T6" i="39" s="1"/>
  <c r="U6" i="39" s="1"/>
  <c r="E22" i="20"/>
  <c r="F22" i="20" s="1"/>
  <c r="G22" i="20" s="1"/>
  <c r="G25" i="18" l="1"/>
  <c r="H25" i="18" s="1"/>
  <c r="E31" i="56"/>
  <c r="E28" i="56" s="1"/>
  <c r="E36" i="18"/>
  <c r="D23" i="20" s="1"/>
  <c r="E53" i="56"/>
  <c r="E50" i="56" s="1"/>
  <c r="G38" i="18"/>
  <c r="H38" i="18" s="1"/>
  <c r="G24" i="18"/>
  <c r="H24" i="18" s="1"/>
  <c r="E23" i="18"/>
  <c r="E52" i="36"/>
  <c r="E141" i="36" s="1"/>
  <c r="C142" i="36" s="1"/>
  <c r="T6" i="36" s="1"/>
  <c r="U6" i="36" s="1"/>
  <c r="E23" i="20"/>
  <c r="G36" i="18" l="1"/>
  <c r="H36" i="18" s="1"/>
  <c r="E54" i="56"/>
  <c r="C55" i="56" s="1"/>
  <c r="T6" i="56" s="1"/>
  <c r="U6" i="56" s="1"/>
  <c r="D20" i="20"/>
  <c r="D17" i="20" s="1"/>
  <c r="D31" i="20" s="1"/>
  <c r="G23" i="18"/>
  <c r="H23" i="18" s="1"/>
  <c r="E16" i="18"/>
  <c r="F23" i="20"/>
  <c r="G23" i="20" s="1"/>
  <c r="E20" i="20"/>
  <c r="G16" i="18" l="1"/>
  <c r="H16" i="18" s="1"/>
  <c r="G7" i="18"/>
  <c r="F20" i="20"/>
  <c r="G20" i="20" s="1"/>
  <c r="E17" i="20"/>
  <c r="G8" i="18" l="1"/>
  <c r="G11" i="18"/>
  <c r="G12" i="18" s="1"/>
  <c r="E31" i="20"/>
  <c r="F31" i="20" s="1"/>
  <c r="I5" i="20" s="1"/>
  <c r="J5" i="20" s="1"/>
  <c r="F17" i="20"/>
  <c r="G17" i="20" s="1"/>
  <c r="H11" i="18" l="1"/>
  <c r="H7" i="18"/>
  <c r="I6" i="20"/>
  <c r="J6" i="20" s="1"/>
  <c r="G31" i="20"/>
  <c r="E18" i="37"/>
  <c r="E141" i="37" s="1"/>
  <c r="C142" i="37" s="1"/>
  <c r="T6" i="37" s="1"/>
  <c r="U6"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1" authorId="0" shapeId="0" xr:uid="{00000000-0006-0000-0500-000001000000}">
      <text>
        <r>
          <rPr>
            <b/>
            <sz val="9"/>
            <color indexed="81"/>
            <rFont val="Tahoma"/>
            <family val="2"/>
          </rPr>
          <t>Please select from drop down list</t>
        </r>
        <r>
          <rPr>
            <sz val="9"/>
            <color indexed="81"/>
            <rFont val="Tahoma"/>
            <family val="2"/>
          </rPr>
          <t xml:space="preserve">
</t>
        </r>
      </text>
    </comment>
    <comment ref="D13" authorId="0" shapeId="0" xr:uid="{00000000-0006-0000-0500-000002000000}">
      <text>
        <r>
          <rPr>
            <b/>
            <sz val="9"/>
            <color indexed="81"/>
            <rFont val="Tahoma"/>
            <family val="2"/>
          </rPr>
          <t>Please select from dropdown list</t>
        </r>
      </text>
    </comment>
    <comment ref="D15" authorId="0" shapeId="0" xr:uid="{00000000-0006-0000-0500-000003000000}">
      <text>
        <r>
          <rPr>
            <b/>
            <sz val="9"/>
            <color indexed="81"/>
            <rFont val="Tahoma"/>
            <family val="2"/>
          </rPr>
          <t>Please select from dropdown list</t>
        </r>
      </text>
    </comment>
    <comment ref="D16" authorId="0" shapeId="0" xr:uid="{00000000-0006-0000-0500-000004000000}">
      <text>
        <r>
          <rPr>
            <b/>
            <sz val="9"/>
            <color indexed="81"/>
            <rFont val="Tahoma"/>
            <family val="2"/>
          </rPr>
          <t>Please select from dropdown list</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600-000001000000}">
      <text>
        <r>
          <rPr>
            <sz val="9"/>
            <color indexed="81"/>
            <rFont val="Tahoma"/>
            <family val="2"/>
          </rPr>
          <t>Please provide input the Name of auditors in each year</t>
        </r>
      </text>
    </comment>
    <comment ref="C11" authorId="0" shapeId="0" xr:uid="{00000000-0006-0000-0600-000002000000}">
      <text>
        <r>
          <rPr>
            <sz val="9"/>
            <color indexed="81"/>
            <rFont val="Tahoma"/>
            <family val="2"/>
          </rPr>
          <t>Please maintain the secquence by recent year first e.g 2017,2016,2015</t>
        </r>
      </text>
    </comment>
    <comment ref="D56" authorId="0" shapeId="0" xr:uid="{00000000-0006-0000-0600-000003000000}">
      <text>
        <r>
          <rPr>
            <sz val="9"/>
            <color indexed="81"/>
            <rFont val="Tahoma"/>
            <family val="2"/>
          </rPr>
          <t xml:space="preserve">• Input must be given to this cell. This cell is crucial to calculate "debt service coverage ratio". If "Current Portion of Long-Term Borrowing/Loan" is not found in the balance sheet, the analyst shall communicate this to the borrower and determine the amount based on other material information including notes and communication with the borrower.
• If the amount is already added with the total loans in the balances sheet then "Current Portion of Long-Term Borrowing/Loan" must be deducted from the total loans and must insert the split figures in related cells.
• If the figure is still zero, it means the borrower has no existing long-term borrowings; which is unusual. If found so, the analyst should interview the borrower.
• If the analyst becomes certain that the borrower has no existing borrowings, then 0.01 shall be inserted in the corresponding cell.
</t>
        </r>
      </text>
    </comment>
    <comment ref="D73" authorId="0" shapeId="0" xr:uid="{00000000-0006-0000-0600-000004000000}">
      <text>
        <r>
          <rPr>
            <sz val="9"/>
            <color indexed="81"/>
            <rFont val="Tahoma"/>
            <family val="2"/>
          </rPr>
          <t xml:space="preserve">• To make the balance sheet balance i.e as sets = liabilities + equity, deduct amount 0.01 from this cell, if the same figure is inserted in row 56: Current Portion of Long-Term borrowing/ Loan.
</t>
        </r>
      </text>
    </comment>
    <comment ref="D76" authorId="0" shapeId="0" xr:uid="{00000000-0006-0000-0600-000005000000}">
      <text>
        <r>
          <rPr>
            <sz val="9"/>
            <color indexed="81"/>
            <rFont val="Tahoma"/>
            <family val="2"/>
          </rPr>
          <t>Input must be given to this cell. If "Long Term Loan" is not found in balance sheet, the analyst shall communicate this to the borrower and determine the amount based on other material information and communication. 
If the figure is still zero, it means the borrower has no existing long-term borrowings; which is unusual. If found so, analyst should interview the borrower and check CIB report.
If the analyst becomes certain that the borrower has no existinglong-term loans, then 0.01 shall be insreted in corresponding cell</t>
        </r>
        <r>
          <rPr>
            <b/>
            <sz val="9"/>
            <color indexed="81"/>
            <rFont val="Tahoma"/>
            <family val="2"/>
          </rPr>
          <t>.</t>
        </r>
      </text>
    </comment>
    <comment ref="D84" authorId="0" shapeId="0" xr:uid="{00000000-0006-0000-0600-000006000000}">
      <text>
        <r>
          <rPr>
            <sz val="9"/>
            <color indexed="81"/>
            <rFont val="Tahoma"/>
            <family val="2"/>
          </rPr>
          <t>To make the balance sheet balance i.e assets = liabilities + equity, deduct amount 0.01 ifrom this cell, if the same i.e 0.1 is inserted in row 76:Long Term Loa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9" authorId="0" shapeId="0" xr:uid="{00000000-0006-0000-0700-000001000000}">
      <text>
        <r>
          <rPr>
            <sz val="9"/>
            <color indexed="81"/>
            <rFont val="Tahoma"/>
            <family val="2"/>
          </rPr>
          <t xml:space="preserve">If any manufacturing company has depreciation which is included in the Cost of Goods Sold then the figure of Deprectioan also need to be deducted from Cost of Goods Sold and then the deducted amount need to be added in the head 9: Depreceiation/Amortization.
</t>
        </r>
      </text>
    </comment>
    <comment ref="D38" authorId="0" shapeId="0" xr:uid="{00000000-0006-0000-0700-000002000000}">
      <text>
        <r>
          <rPr>
            <sz val="9"/>
            <color indexed="81"/>
            <rFont val="Tahoma"/>
            <family val="2"/>
          </rPr>
          <t xml:space="preserve">• Input must be given to this cell. If not found in the P&amp;L, the analyst shall look into the notes of financial statement and communicate with the borrower to determine the amount.
• If the figure is zero, it means the borrower has no existing borrowings; which is unusual.
• If the analyst becomes certain that the borrower has no existing borrowings, then figure 1 must be inserted in the corresponding cell.
</t>
        </r>
      </text>
    </comment>
  </commentList>
</comments>
</file>

<file path=xl/sharedStrings.xml><?xml version="1.0" encoding="utf-8"?>
<sst xmlns="http://schemas.openxmlformats.org/spreadsheetml/2006/main" count="3173" uniqueCount="1145">
  <si>
    <t>Balance Sheet</t>
  </si>
  <si>
    <t>Other Income</t>
  </si>
  <si>
    <t>Other Operating Expense</t>
  </si>
  <si>
    <t>VAT &amp; Supplementary Duty</t>
  </si>
  <si>
    <t>Administrative Expenses</t>
  </si>
  <si>
    <t>Other Operating Income</t>
  </si>
  <si>
    <t>Other Expenses</t>
  </si>
  <si>
    <t>Current Tax</t>
  </si>
  <si>
    <t>Minority Interest</t>
  </si>
  <si>
    <t>Marketing, Selling &amp; Distribution Expenses</t>
  </si>
  <si>
    <t>Deferred Tax Assets</t>
  </si>
  <si>
    <t>Loan to Subsidiary/Associate</t>
  </si>
  <si>
    <t>Preliminary Expenses</t>
  </si>
  <si>
    <t>Product Development Cost</t>
  </si>
  <si>
    <t>Capital Work In Progress</t>
  </si>
  <si>
    <t>Prepayment of Rent</t>
  </si>
  <si>
    <t>IPO Expenses</t>
  </si>
  <si>
    <t>Other Investments</t>
  </si>
  <si>
    <t>Trade Debtors/Accounts Receivables</t>
  </si>
  <si>
    <t>Advances, Deposits and Prepayments</t>
  </si>
  <si>
    <t xml:space="preserve"> Other Receivables</t>
  </si>
  <si>
    <t>Advance Income Tax</t>
  </si>
  <si>
    <t>Short Term Loan</t>
  </si>
  <si>
    <t>Goods in Transit</t>
  </si>
  <si>
    <t>Total Assets</t>
  </si>
  <si>
    <t>Working Capital Loan</t>
  </si>
  <si>
    <t>Bank Overdraft</t>
  </si>
  <si>
    <t>Current Portion of Long Term Lease</t>
  </si>
  <si>
    <t>Creditors for Other Finance</t>
  </si>
  <si>
    <t>Income Taxes Payable</t>
  </si>
  <si>
    <t>Provision for Tax</t>
  </si>
  <si>
    <t>Advance Against Sales</t>
  </si>
  <si>
    <t>Deferred Liabilities</t>
  </si>
  <si>
    <t>Accrued Expenses</t>
  </si>
  <si>
    <t>Interest Payable</t>
  </si>
  <si>
    <t>Unclaimed Dividend/Dividend Payable</t>
  </si>
  <si>
    <t>Provision for Royalty and Technical Know-How</t>
  </si>
  <si>
    <t>IPO Share Application Money</t>
  </si>
  <si>
    <t>Long Term Loan</t>
  </si>
  <si>
    <t>Deferred Tax Liability</t>
  </si>
  <si>
    <t>Long Term Lease</t>
  </si>
  <si>
    <t>Intercompany Loan</t>
  </si>
  <si>
    <t>Product Warranties</t>
  </si>
  <si>
    <t>Deferred Liability</t>
  </si>
  <si>
    <t>Total Non-Current Liabilities</t>
  </si>
  <si>
    <t>Retained Earnings</t>
  </si>
  <si>
    <t>Share Money Deposit</t>
  </si>
  <si>
    <t>Tax Holiday Reserve</t>
  </si>
  <si>
    <t>General Reserve</t>
  </si>
  <si>
    <t>Total Equity</t>
  </si>
  <si>
    <t>Total Equity &amp; Liabilities</t>
  </si>
  <si>
    <t>Total Current Assets</t>
  </si>
  <si>
    <t>Loan to Associate/Subsidiary/Inter Company Loan</t>
  </si>
  <si>
    <t xml:space="preserve">A. </t>
  </si>
  <si>
    <t>Goodwill</t>
  </si>
  <si>
    <t>other Intangible Assets</t>
  </si>
  <si>
    <t xml:space="preserve">B. </t>
  </si>
  <si>
    <t>Net inflow of cash and cash equivalents</t>
  </si>
  <si>
    <t>Cash and cash equivalent at opening</t>
  </si>
  <si>
    <t>Cash and cash equivalent at closing</t>
  </si>
  <si>
    <t>E.</t>
  </si>
  <si>
    <t>Net cash flows from operating activities</t>
  </si>
  <si>
    <t>Net cash flows from investing activities</t>
  </si>
  <si>
    <t>Net cash flows from financing activities</t>
  </si>
  <si>
    <t>Cash Ratio</t>
  </si>
  <si>
    <t>Current Ratio</t>
  </si>
  <si>
    <t>Total Liabilites</t>
  </si>
  <si>
    <t>Total Tangible Net Worth</t>
  </si>
  <si>
    <t>Total Long Term Debt</t>
  </si>
  <si>
    <t>Cash and easily marketable securities</t>
  </si>
  <si>
    <t>Current Assets</t>
  </si>
  <si>
    <t>Current Liabilites</t>
  </si>
  <si>
    <t>Operating Profit</t>
  </si>
  <si>
    <t>Average Total Assets</t>
  </si>
  <si>
    <t>Earning Before Interest and Tax</t>
  </si>
  <si>
    <t>Interest Expense</t>
  </si>
  <si>
    <t>Net Sales</t>
  </si>
  <si>
    <t>NI-CFO+CFI</t>
  </si>
  <si>
    <t>Average Net Operating Assets</t>
  </si>
  <si>
    <t>Verifier Name, Designation</t>
  </si>
  <si>
    <t>Year</t>
  </si>
  <si>
    <t>Industry Code</t>
  </si>
  <si>
    <t>Audited</t>
  </si>
  <si>
    <t>Analyst</t>
  </si>
  <si>
    <t>Verifier</t>
  </si>
  <si>
    <t>Audit Status</t>
  </si>
  <si>
    <t>Period (months)</t>
  </si>
  <si>
    <t>Amount in thousand</t>
  </si>
  <si>
    <t>('000)</t>
  </si>
  <si>
    <t>Profit &amp; Loss Statement</t>
  </si>
  <si>
    <t>Cash Flow Statement</t>
  </si>
  <si>
    <t>Components for Analysis</t>
  </si>
  <si>
    <t>Ownership Type</t>
  </si>
  <si>
    <t>Net Operating Assets Y0</t>
  </si>
  <si>
    <t>Net Operating Assets Y1</t>
  </si>
  <si>
    <t>Other Non-Current Assets</t>
  </si>
  <si>
    <t>Other Current Assets</t>
  </si>
  <si>
    <t>Other Current Liabilities</t>
  </si>
  <si>
    <t>Other Non-Current Liabilities</t>
  </si>
  <si>
    <t>Financial/Interest Expenses</t>
  </si>
  <si>
    <t>Other Long Term Receivables</t>
  </si>
  <si>
    <t>Cash &amp; Bank Balance</t>
  </si>
  <si>
    <t>Inventories (raw materials+work in progress+Finished Goods)</t>
  </si>
  <si>
    <t>Current Portion of Long Term Borrowing/Loan</t>
  </si>
  <si>
    <t>Share Premium Account</t>
  </si>
  <si>
    <t>Revaluation Reserve</t>
  </si>
  <si>
    <t>Dividend Equalization Reserve</t>
  </si>
  <si>
    <t>Rental Income</t>
  </si>
  <si>
    <t>Provision For Welfare and profit participation fund</t>
  </si>
  <si>
    <t>Paid-Up Capital/ Share Capital</t>
  </si>
  <si>
    <t>Provision for Employee Benefits (Gratuity)</t>
  </si>
  <si>
    <t>Creditors for goods and services/Accounts Payable/Accruals</t>
  </si>
  <si>
    <t>Investment in Subsidiary and Associates/ Joint Venture</t>
  </si>
  <si>
    <t>Investment in Shares/Bond</t>
  </si>
  <si>
    <t>Cash Subsidy Receivable</t>
  </si>
  <si>
    <t>Creditors for Services</t>
  </si>
  <si>
    <t>Other Provisions</t>
  </si>
  <si>
    <t>Inter Company Receivables/Dues</t>
  </si>
  <si>
    <t>Intercompany Payable/ Dues</t>
  </si>
  <si>
    <t>Net Land and Buildings</t>
  </si>
  <si>
    <t>Trademark/Patent/Software</t>
  </si>
  <si>
    <t>Investments Held for Sale/Marketable Securities</t>
  </si>
  <si>
    <t>Gross Profit</t>
  </si>
  <si>
    <t xml:space="preserve">Operating Profit </t>
  </si>
  <si>
    <t xml:space="preserve">Total Tax </t>
  </si>
  <si>
    <t>Internal Credit Risk Score Sheet</t>
  </si>
  <si>
    <t>Operating Assets Y1</t>
  </si>
  <si>
    <t>Operating Liabilities Y1</t>
  </si>
  <si>
    <t>CIB Status</t>
  </si>
  <si>
    <t>Name of Audit Farm</t>
  </si>
  <si>
    <t>Total Current Liabilities</t>
  </si>
  <si>
    <t>Fair Value Gain on Investment/ Unrealised gain from available for sale investments</t>
  </si>
  <si>
    <t>Net Sales/Revenue</t>
  </si>
  <si>
    <t>Cost of Goods/Service Sold</t>
  </si>
  <si>
    <t>Salaries</t>
  </si>
  <si>
    <t>Depreciation/ Amortization</t>
  </si>
  <si>
    <t>Investment/Interest Income</t>
  </si>
  <si>
    <t>A. Industry:</t>
  </si>
  <si>
    <t>B. Trade and commerce</t>
  </si>
  <si>
    <t>C. Agro based and Agro Processing</t>
  </si>
  <si>
    <t>D. Service:</t>
  </si>
  <si>
    <t>1. Housing and Construction</t>
  </si>
  <si>
    <t>1. RMG</t>
  </si>
  <si>
    <r>
      <t>2.</t>
    </r>
    <r>
      <rPr>
        <sz val="7"/>
        <color theme="1"/>
        <rFont val="Times New Roman"/>
        <family val="1"/>
      </rPr>
      <t xml:space="preserve">  </t>
    </r>
    <r>
      <rPr>
        <sz val="11"/>
        <color theme="1"/>
        <rFont val="Times New Roman"/>
        <family val="1"/>
      </rPr>
      <t xml:space="preserve">Textile </t>
    </r>
  </si>
  <si>
    <t>Sector Classificaions</t>
  </si>
  <si>
    <t>Code</t>
  </si>
  <si>
    <t>Ownership</t>
  </si>
  <si>
    <t>Sole Proprietorship</t>
  </si>
  <si>
    <t>Partnership</t>
  </si>
  <si>
    <t>Private Ltd</t>
  </si>
  <si>
    <t>Public Ltd</t>
  </si>
  <si>
    <t>:</t>
  </si>
  <si>
    <t>Error: Please Select Sub Group</t>
  </si>
  <si>
    <t>Standard</t>
  </si>
  <si>
    <t>SMA</t>
  </si>
  <si>
    <t>Doubtful</t>
  </si>
  <si>
    <t>Substandard</t>
  </si>
  <si>
    <t>Bad&amp;Loss</t>
  </si>
  <si>
    <t>Unaudited</t>
  </si>
  <si>
    <t>Net Property, Plant and Equipment</t>
  </si>
  <si>
    <t>Net Furniture &amp; Fixture</t>
  </si>
  <si>
    <t>Non-Current Assets:</t>
  </si>
  <si>
    <t>Current Assets:</t>
  </si>
  <si>
    <t>Current Liabilities:</t>
  </si>
  <si>
    <t>Non Current Liabilities:</t>
  </si>
  <si>
    <t>Other Reserves</t>
  </si>
  <si>
    <t>Sales /Revenue/Turnover</t>
  </si>
  <si>
    <t>Total Operating Expenses</t>
  </si>
  <si>
    <t>Exchang Loss</t>
  </si>
  <si>
    <t>Exchange Gain</t>
  </si>
  <si>
    <t>Gain on Disposals of Fixed Assets</t>
  </si>
  <si>
    <t>Loss on Disposals of Fixed Assets</t>
  </si>
  <si>
    <t>Deficit on Revaluation of Property</t>
  </si>
  <si>
    <t>Surplus on Revaluation of Property</t>
  </si>
  <si>
    <t>Extraordinary Income/ Other Comprehensive Income</t>
  </si>
  <si>
    <t>Extraordinary Expenses/ Other Comprehensive Expense</t>
  </si>
  <si>
    <t>Total Comprehensive Income</t>
  </si>
  <si>
    <t>F</t>
  </si>
  <si>
    <t>Total Liabilities</t>
  </si>
  <si>
    <t>Bank Name</t>
  </si>
  <si>
    <t>Branch Name</t>
  </si>
  <si>
    <t>Short Term Loan/Investment</t>
  </si>
  <si>
    <t>Creditors/Liabilites for expenses/ Accrued Expenses</t>
  </si>
  <si>
    <t>Deferred Tax/Advance Tax Income</t>
  </si>
  <si>
    <t>Deferred Tax/ Advance Tax Expense</t>
  </si>
  <si>
    <t>Note: Please use sign (+/-) with the figures if needed.</t>
  </si>
  <si>
    <t>Date of Analysis (DD-MM-YYYY)</t>
  </si>
  <si>
    <t>Date of Verification (DD-MM-YYYY)</t>
  </si>
  <si>
    <t>Particulars</t>
  </si>
  <si>
    <t>SL</t>
  </si>
  <si>
    <t xml:space="preserve">This is a Microsoft Macro-enabled Excel Input Template and password protected; please do not try to unlock the sheets as such actions may distort data integrety and may make further processing of data/inputs difficult at the end of Bangladesh Bank. </t>
  </si>
  <si>
    <t>Name:</t>
  </si>
  <si>
    <t>Designation:</t>
  </si>
  <si>
    <t>Department/Unit/Cell:</t>
  </si>
  <si>
    <t>Phone Number:</t>
  </si>
  <si>
    <t>Email Address:</t>
  </si>
  <si>
    <t xml:space="preserve">Please use extra sheet for making yourself accustomed to populate data ihe template. </t>
  </si>
  <si>
    <t xml:space="preserve">All three input sheets contain comment boxes wherein relevant comments could be made; if the comments do not fit into the allocated space, please use MS word file and mention on which input sheet the comment will apply. </t>
  </si>
  <si>
    <t>All figures will be in thousand.</t>
  </si>
  <si>
    <t>Enter data in the unlocked cells.</t>
  </si>
  <si>
    <t>Alternate Email Address</t>
  </si>
  <si>
    <t>Net Other Fixed Assets</t>
  </si>
  <si>
    <t>Statement Year</t>
  </si>
  <si>
    <t>Share of loss from associates</t>
  </si>
  <si>
    <t>Share of profit from associates</t>
  </si>
  <si>
    <t>Name of the Audit Farm</t>
  </si>
  <si>
    <t xml:space="preserve">Filled in Template has to be sent to BRPD, Bangladesh Bank using email addresses:   shah.naoaj@bb.org.bd    </t>
  </si>
  <si>
    <t>Please don’t use any sign in Input BS/IS. Use negative sign only in CF if necessay.</t>
  </si>
  <si>
    <t>At this stage, only 3 (three) input sheets have to filled in; Top Page, Input-BS, Input-IS, Input-CF.</t>
  </si>
  <si>
    <t>Only Green marked cells are required to be filled, Blue market cells are Dropdown menue from where appropriate option need to be selected.</t>
  </si>
  <si>
    <t xml:space="preserve">Input fields are subject to validation; therefore, appropriate data format have to be used in the in the relevant fields, for  example, in the date fields only date data could be entered; in such fields entering other forms of data will result in error message.  </t>
  </si>
  <si>
    <t>C.</t>
  </si>
  <si>
    <t>D.</t>
  </si>
  <si>
    <t>Type of Industry/ Sector</t>
  </si>
  <si>
    <t>Group Name (if any)</t>
  </si>
  <si>
    <t>Date of Financials</t>
  </si>
  <si>
    <t>Score</t>
  </si>
  <si>
    <t>Good</t>
  </si>
  <si>
    <t>SS</t>
  </si>
  <si>
    <t>45-54</t>
  </si>
  <si>
    <t>DF</t>
  </si>
  <si>
    <t>35-44</t>
  </si>
  <si>
    <t>Bad/Loss</t>
  </si>
  <si>
    <t>BL</t>
  </si>
  <si>
    <t>&lt;35</t>
  </si>
  <si>
    <t>Parameter</t>
  </si>
  <si>
    <t>Actual Parameter</t>
  </si>
  <si>
    <t>Score Obtained</t>
  </si>
  <si>
    <t>Defination</t>
  </si>
  <si>
    <t>Less than 1.0×</t>
  </si>
  <si>
    <t xml:space="preserve">Total Liabilities to Tangible Net worth       </t>
  </si>
  <si>
    <t>Total Long Term loan/lease from Banks/Fis/NBFIs to Tangible Net Worth</t>
  </si>
  <si>
    <t>Total Current Asset to Total Current Liabilities</t>
  </si>
  <si>
    <t>Cash in hand/banks to Total Current Liabilities</t>
  </si>
  <si>
    <t>0.11x to 0. 20 x</t>
  </si>
  <si>
    <t>0.06x to 0. 10x</t>
  </si>
  <si>
    <t xml:space="preserve">Net Profit Before Tax  to Total Sales </t>
  </si>
  <si>
    <t>Net profit (after tax) to Total Asset</t>
  </si>
  <si>
    <t>Less than 3%</t>
  </si>
  <si>
    <t>Earnings Before Interest &amp; Tax/Interest expences</t>
  </si>
  <si>
    <t>EBITDA/Current Portion of long term loan+ total bank interest</t>
  </si>
  <si>
    <t>1.51x to 2.0 x</t>
  </si>
  <si>
    <t xml:space="preserve">Less than 3x </t>
  </si>
  <si>
    <t>Total funded debt to NCFO</t>
  </si>
  <si>
    <t>More than 9x</t>
  </si>
  <si>
    <t>up to 30 days</t>
  </si>
  <si>
    <t>Total Inventory/COGS*360 days</t>
  </si>
  <si>
    <t>Total Account Receivables/Sales*360 days</t>
  </si>
  <si>
    <t>31 days to 45 days</t>
  </si>
  <si>
    <t>45 days to 60 days</t>
  </si>
  <si>
    <t>More than 60 days</t>
  </si>
  <si>
    <t>Turnover/Total Asset</t>
  </si>
  <si>
    <t>NCFO/Sales</t>
  </si>
  <si>
    <t>Greater than 11%</t>
  </si>
  <si>
    <t>Below 5%</t>
  </si>
  <si>
    <t>3x- 5x</t>
  </si>
  <si>
    <t>Less than 1x</t>
  </si>
  <si>
    <t>Casflow from Operations/Current Portion of long term loan+ total bank interest</t>
  </si>
  <si>
    <t>Debt to be serviced</t>
  </si>
  <si>
    <t>Total Inventory</t>
  </si>
  <si>
    <t>TCL+TNCL</t>
  </si>
  <si>
    <t>Equity-goodwil-patent-software-other intangibles-50% of revaluation reserve</t>
  </si>
  <si>
    <t>Long term loan+ Long term Lease+ intercompany lease</t>
  </si>
  <si>
    <t>cash+bank balance+investment held for sale</t>
  </si>
  <si>
    <t>TCA</t>
  </si>
  <si>
    <t>Quantitative Indicators (60)</t>
  </si>
  <si>
    <t>Excellent</t>
  </si>
  <si>
    <t>Scale</t>
  </si>
  <si>
    <t>Criteria</t>
  </si>
  <si>
    <t>Paraeter</t>
  </si>
  <si>
    <t>Actual Paramenter</t>
  </si>
  <si>
    <t>B</t>
  </si>
  <si>
    <t xml:space="preserve">Performance Behavior </t>
  </si>
  <si>
    <t>B.1</t>
  </si>
  <si>
    <t>2 times</t>
  </si>
  <si>
    <t>1 time</t>
  </si>
  <si>
    <t>3 times</t>
  </si>
  <si>
    <t>&gt;3 times</t>
  </si>
  <si>
    <t>B.2</t>
  </si>
  <si>
    <t>Yes</t>
  </si>
  <si>
    <t>No</t>
  </si>
  <si>
    <t>Total</t>
  </si>
  <si>
    <t>C</t>
  </si>
  <si>
    <t>Business and Industry Risk</t>
  </si>
  <si>
    <t>C.1</t>
  </si>
  <si>
    <t>C.2</t>
  </si>
  <si>
    <t>Age of Business</t>
  </si>
  <si>
    <t>The number of years the borrower</t>
  </si>
  <si>
    <t>C.3</t>
  </si>
  <si>
    <t>Industry Prospects</t>
  </si>
  <si>
    <t>Stable</t>
  </si>
  <si>
    <t>Declining</t>
  </si>
  <si>
    <t>2&amp;3</t>
  </si>
  <si>
    <t>&gt;3</t>
  </si>
  <si>
    <t>Unrated</t>
  </si>
  <si>
    <t>D</t>
  </si>
  <si>
    <t>Management Risk</t>
  </si>
  <si>
    <t>D.1</t>
  </si>
  <si>
    <t>Experience of the Management</t>
  </si>
  <si>
    <t>More than 10 years in the related line of business</t>
  </si>
  <si>
    <t>5–10 years in the related line of business</t>
  </si>
  <si>
    <t>D.2</t>
  </si>
  <si>
    <t>Existence of Succession Plan</t>
  </si>
  <si>
    <t>Yes, with good capability of successor</t>
  </si>
  <si>
    <t>Yes, but questionable capacity of successor</t>
  </si>
  <si>
    <t>No successor</t>
  </si>
  <si>
    <t>D.3</t>
  </si>
  <si>
    <t>Auditing Firms</t>
  </si>
  <si>
    <t>Recognized Auditors</t>
  </si>
  <si>
    <t>Other Auditors</t>
  </si>
  <si>
    <t>Un audited</t>
  </si>
  <si>
    <t>E</t>
  </si>
  <si>
    <t>Security Risk</t>
  </si>
  <si>
    <t>E.1</t>
  </si>
  <si>
    <t>Primary Security</t>
  </si>
  <si>
    <t>E.2</t>
  </si>
  <si>
    <t>Collateral</t>
  </si>
  <si>
    <t>E.3</t>
  </si>
  <si>
    <t>&gt;100%</t>
  </si>
  <si>
    <t>80% to 100%</t>
  </si>
  <si>
    <t>70% to 80%</t>
  </si>
  <si>
    <t>50% to 70%</t>
  </si>
  <si>
    <t>&lt;50%</t>
  </si>
  <si>
    <t>Guarantee</t>
  </si>
  <si>
    <t>No support/guarantee</t>
  </si>
  <si>
    <t>Relationship Risk</t>
  </si>
  <si>
    <t>F.1</t>
  </si>
  <si>
    <t>Account Conduct</t>
  </si>
  <si>
    <t>Less than 3 years Accounts with faultless record</t>
  </si>
  <si>
    <t>Accounts having satisfactory dealings with some late payments.</t>
  </si>
  <si>
    <t>Frequent Past dues &amp; Irregular dealings in account</t>
  </si>
  <si>
    <t>G</t>
  </si>
  <si>
    <t>Compliance Risk</t>
  </si>
  <si>
    <t>G.1</t>
  </si>
  <si>
    <t>Compliance with environmental rules, regulations and covenants</t>
  </si>
  <si>
    <t>G.2</t>
  </si>
  <si>
    <t>Corporate Governance and CSR activities</t>
  </si>
  <si>
    <t>Qualitative Assessments</t>
  </si>
  <si>
    <t>Quantitative Assessments</t>
  </si>
  <si>
    <t>A</t>
  </si>
  <si>
    <t>Leverage</t>
  </si>
  <si>
    <t>Liquidity</t>
  </si>
  <si>
    <t>A.1</t>
  </si>
  <si>
    <t>Profitability</t>
  </si>
  <si>
    <t xml:space="preserve">Coverage </t>
  </si>
  <si>
    <t>Operational Efficiency</t>
  </si>
  <si>
    <t>Stock Turnover Days</t>
  </si>
  <si>
    <t>Asset Turnover</t>
  </si>
  <si>
    <t>Earning Quality</t>
  </si>
  <si>
    <t>D.4</t>
  </si>
  <si>
    <t>F.2</t>
  </si>
  <si>
    <t>H</t>
  </si>
  <si>
    <t>H.1</t>
  </si>
  <si>
    <t>H.2</t>
  </si>
  <si>
    <t>H.3</t>
  </si>
  <si>
    <t>H.4</t>
  </si>
  <si>
    <t>I</t>
  </si>
  <si>
    <t>I.1</t>
  </si>
  <si>
    <t>I.2</t>
  </si>
  <si>
    <t>I.3</t>
  </si>
  <si>
    <t>J</t>
  </si>
  <si>
    <t>J.1</t>
  </si>
  <si>
    <t>J.2</t>
  </si>
  <si>
    <t>J.3</t>
  </si>
  <si>
    <t>J.4</t>
  </si>
  <si>
    <t>K</t>
  </si>
  <si>
    <t>L</t>
  </si>
  <si>
    <t>L.1</t>
  </si>
  <si>
    <t>L.2</t>
  </si>
  <si>
    <t>Column1</t>
  </si>
  <si>
    <t>Column2</t>
  </si>
  <si>
    <t>Column3</t>
  </si>
  <si>
    <t>Index</t>
  </si>
  <si>
    <t>Net profit after tax</t>
  </si>
  <si>
    <t>Earning Before Interest Tax Depreciation Amortization</t>
  </si>
  <si>
    <t>Debts to be Serviced</t>
  </si>
  <si>
    <t>Total Debt</t>
  </si>
  <si>
    <t>Operating Cash flow</t>
  </si>
  <si>
    <t>COGS</t>
  </si>
  <si>
    <t>Trade Debtor Collection Days</t>
  </si>
  <si>
    <t>Total Accoutns Receivable</t>
  </si>
  <si>
    <t>Sales</t>
  </si>
  <si>
    <t>Operating Cash Flow to Sales</t>
  </si>
  <si>
    <t>Operating Cashflow</t>
  </si>
  <si>
    <t>Cashflow based accrual ratio</t>
  </si>
  <si>
    <t>Operating Assets Y0</t>
  </si>
  <si>
    <t>Operating Liabilities Y0</t>
  </si>
  <si>
    <t>Performance behavior</t>
  </si>
  <si>
    <t>Details of Analyst :</t>
  </si>
  <si>
    <t>Details of Verifier:</t>
  </si>
  <si>
    <t>0 time</t>
  </si>
  <si>
    <t>&gt;10 years</t>
  </si>
  <si>
    <t>7 to 10 years</t>
  </si>
  <si>
    <t>&lt;4 years</t>
  </si>
  <si>
    <t>* Volatility denotes sales volatility</t>
  </si>
  <si>
    <t>Strong Corporate Guarantee</t>
  </si>
  <si>
    <t xml:space="preserve">I </t>
  </si>
  <si>
    <t>K.1</t>
  </si>
  <si>
    <t>G.1.1</t>
  </si>
  <si>
    <t>G.1.2</t>
  </si>
  <si>
    <t>G1.2</t>
  </si>
  <si>
    <t>Positive =2</t>
  </si>
  <si>
    <t>Negative = 2</t>
  </si>
  <si>
    <t>I.4</t>
  </si>
  <si>
    <t>Change in Auditors in last 3 years</t>
  </si>
  <si>
    <t>Qualitative</t>
  </si>
  <si>
    <t>Quantitative</t>
  </si>
  <si>
    <t>Indicators</t>
  </si>
  <si>
    <t>Aggregate</t>
  </si>
  <si>
    <t>Percentage</t>
  </si>
  <si>
    <t>Borrowe Name</t>
  </si>
  <si>
    <t>Industry Name</t>
  </si>
  <si>
    <t>File / Reference No:</t>
  </si>
  <si>
    <t>Latest CIB Status</t>
  </si>
  <si>
    <t>Auditor Name</t>
  </si>
  <si>
    <t>Analyst Name, Designations</t>
  </si>
  <si>
    <t>File/ Reference No</t>
  </si>
  <si>
    <t>Group Name, if any</t>
  </si>
  <si>
    <t>Date of Analysis</t>
  </si>
  <si>
    <t>Unacceptable</t>
  </si>
  <si>
    <t>Note: For any Risk Area, if the risk mapping falls under yellow or redzone, whatever the aggregate score is, The relationship manager should justyfy how those risks are mitigated and in final proposal is,  the approval authority should  review that thoroghly and make necessary comments  on how the bank will manage the risk and the details of that official discussions should be retained in the loan file</t>
  </si>
  <si>
    <t>2. Loans can be sanctioned only if the ICRS is 70% or more (excellent and good category). But if the ICRS category is 60% to 69% level, management should take cautionary measures and may sanction the loan based on perofrmance behavior, relationship, collateral and maangement quality of the borrower.</t>
  </si>
  <si>
    <t>3. No loan can be sanctioned for borroer whose ICRS is less than 60% except the loan is 100% cash covered or Government Guaranteed or Bank Guaranteed.</t>
  </si>
  <si>
    <t xml:space="preserve">Above 8% </t>
  </si>
  <si>
    <t>5% to 8%</t>
  </si>
  <si>
    <t>More than 4x</t>
  </si>
  <si>
    <t>Above 1.5 times</t>
  </si>
  <si>
    <t>Less than 0.5 time</t>
  </si>
  <si>
    <t>0.5 time to 1.5 times</t>
  </si>
  <si>
    <t>Less than 5 years</t>
  </si>
  <si>
    <t>4. Whatever score a borrower get in qualitative analysis, if the score in quantative part is less than 50/60%, the borrower's  ICRM cant be more than Fair.</t>
  </si>
  <si>
    <t>Legend:</t>
  </si>
  <si>
    <t>Inputs to be given</t>
  </si>
  <si>
    <t>Select from Drop down list</t>
  </si>
  <si>
    <t>Auto filled cell</t>
  </si>
  <si>
    <t>Total Non- Current Assets</t>
  </si>
  <si>
    <t>Equities</t>
  </si>
  <si>
    <t>Validation</t>
  </si>
  <si>
    <t>1.   don’t use any sign with figures.</t>
  </si>
  <si>
    <t>Example: if cash flow from operation is negative 100 provide input -100.</t>
  </si>
  <si>
    <t>Qualitative Indicators (40)</t>
  </si>
  <si>
    <t xml:space="preserve">A. Leverage </t>
  </si>
  <si>
    <t xml:space="preserve">B. Liquidity </t>
  </si>
  <si>
    <t xml:space="preserve"> C. Profitability </t>
  </si>
  <si>
    <t xml:space="preserve">D. Coverage </t>
  </si>
  <si>
    <t xml:space="preserve">E. Operational Efficiency </t>
  </si>
  <si>
    <t>F. Earning Quality</t>
  </si>
  <si>
    <t xml:space="preserve">1. Total Liabilities to Tangible Net worth (TLTN)       </t>
  </si>
  <si>
    <t>2. Total Long Term Loan to  Total Equity (LTLE)</t>
  </si>
  <si>
    <t>1. Current Ratio (CR)</t>
  </si>
  <si>
    <t>1. Net Profit Margin (%) [NPM]</t>
  </si>
  <si>
    <t>2. Return on Assets (%) [ROA]</t>
  </si>
  <si>
    <t>3. Operating Profit to Assets (%) [OPA]</t>
  </si>
  <si>
    <t>1. Interest Coverage [IR]</t>
  </si>
  <si>
    <t>2. Debt Sevice Coverage Ratio [DSCR]</t>
  </si>
  <si>
    <t>3. Total Funded Debt To Operating Cash Flow [TFDOCF]</t>
  </si>
  <si>
    <t>4. Cashflow Coverage Ratio [CCR]</t>
  </si>
  <si>
    <t>1. Stock Turnover Days [STD]</t>
  </si>
  <si>
    <t>2. Trade debotors collection days [TDC]</t>
  </si>
  <si>
    <t>3. Total Asset Turnover [TAT]</t>
  </si>
  <si>
    <t>1. Operating Cash Flow to Sales [OCFS]</t>
  </si>
  <si>
    <t>2. Cash Flow based accrual ratio [CFAR]</t>
  </si>
  <si>
    <t>Less than 0.25x</t>
  </si>
  <si>
    <t>More than 1.00×</t>
  </si>
  <si>
    <t>2. Cash Ratio (Cash)</t>
  </si>
  <si>
    <t>Greater than 2.00×</t>
  </si>
  <si>
    <t>1.51× to 2.00x</t>
  </si>
  <si>
    <t>Greater than 4.5%</t>
  </si>
  <si>
    <t>3.01% to 4.50%</t>
  </si>
  <si>
    <t>1x-2.99x</t>
  </si>
  <si>
    <t>3.00x to 4.00x</t>
  </si>
  <si>
    <t>Greater than 4.00x</t>
  </si>
  <si>
    <t>1.00x to 1.51x</t>
  </si>
  <si>
    <t>2.00x to 3.00x</t>
  </si>
  <si>
    <t>More than 10%</t>
  </si>
  <si>
    <t>3% to 10%</t>
  </si>
  <si>
    <t>1.00x to 1.49x</t>
  </si>
  <si>
    <t>1.50× to 1.99x</t>
  </si>
  <si>
    <t>2.00 × to 2.49x</t>
  </si>
  <si>
    <t>2.50× to 2.99x</t>
  </si>
  <si>
    <t>3.00× to 3.49 x</t>
  </si>
  <si>
    <t>More than or equal to  3.50×</t>
  </si>
  <si>
    <t>0.25x to 0.74x</t>
  </si>
  <si>
    <t>0.74x to 0.99x</t>
  </si>
  <si>
    <t>1.01× to 1.50 x</t>
  </si>
  <si>
    <t>.51× to 1.00x</t>
  </si>
  <si>
    <t>Less than or equal .50</t>
  </si>
  <si>
    <t>Greater than 0. 20x</t>
  </si>
  <si>
    <t xml:space="preserve">Less than 0.06x </t>
  </si>
  <si>
    <t>8.01% to 11.00%</t>
  </si>
  <si>
    <t>6.01% to 8.00%</t>
  </si>
  <si>
    <t>4.01% to 6.00%</t>
  </si>
  <si>
    <t>2.01% to 4.00%</t>
  </si>
  <si>
    <t xml:space="preserve">Less than or equal to 2% </t>
  </si>
  <si>
    <t>2.01% to 3.00%</t>
  </si>
  <si>
    <t>Less than 2%</t>
  </si>
  <si>
    <t>3.00x to 5.99x</t>
  </si>
  <si>
    <t>6.00x to 8.99x</t>
  </si>
  <si>
    <t>Less than 30 days</t>
  </si>
  <si>
    <t>30 to 59 days</t>
  </si>
  <si>
    <t>60 to 74 days</t>
  </si>
  <si>
    <t>75 days to 89 days</t>
  </si>
  <si>
    <t>More than or equal to 90 days</t>
  </si>
  <si>
    <t>30 days to 44 days</t>
  </si>
  <si>
    <t>45 days to 59 days</t>
  </si>
  <si>
    <t>More than or equal to 60 days</t>
  </si>
  <si>
    <t>More than 100%</t>
  </si>
  <si>
    <t xml:space="preserve">51% to 100% </t>
  </si>
  <si>
    <t>31% to 50%</t>
  </si>
  <si>
    <t>Less than or equal to 30%</t>
  </si>
  <si>
    <t>Sales Growth</t>
  </si>
  <si>
    <t>&gt;10%</t>
  </si>
  <si>
    <t>5%-10%</t>
  </si>
  <si>
    <t>Less than 5%</t>
  </si>
  <si>
    <t>5 to 7 years</t>
  </si>
  <si>
    <t>4 to 5 years</t>
  </si>
  <si>
    <t>Corporate Governance</t>
  </si>
  <si>
    <t xml:space="preserve">Questionable Corporate Governance </t>
  </si>
  <si>
    <t>Greater than or equal to 85%</t>
  </si>
  <si>
    <t>70%-84%</t>
  </si>
  <si>
    <t>60%-69%</t>
  </si>
  <si>
    <t>Less than 50%</t>
  </si>
  <si>
    <t>Score Percentage</t>
  </si>
  <si>
    <t>5. Chemical</t>
  </si>
  <si>
    <t>6. Fertilizer</t>
  </si>
  <si>
    <r>
      <t>4.</t>
    </r>
    <r>
      <rPr>
        <sz val="7"/>
        <color theme="1"/>
        <rFont val="Times New Roman"/>
        <family val="1"/>
      </rPr>
      <t> </t>
    </r>
    <r>
      <rPr>
        <sz val="11"/>
        <color theme="1"/>
        <rFont val="Times New Roman"/>
        <family val="1"/>
      </rPr>
      <t>Pharmaceutical</t>
    </r>
  </si>
  <si>
    <t>2. Telecommunication</t>
  </si>
  <si>
    <t>8. Ceramic</t>
  </si>
  <si>
    <t>10 Ship Breaking</t>
  </si>
  <si>
    <r>
      <t>9.</t>
    </r>
    <r>
      <rPr>
        <sz val="7"/>
        <color theme="1"/>
        <rFont val="Times New Roman"/>
        <family val="1"/>
      </rPr>
      <t> </t>
    </r>
    <r>
      <rPr>
        <sz val="11"/>
        <color theme="1"/>
        <rFont val="Times New Roman"/>
        <family val="1"/>
      </rPr>
      <t>Ship Building</t>
    </r>
  </si>
  <si>
    <t>3. Food and Allied</t>
  </si>
  <si>
    <t>11. Jute Mills</t>
  </si>
  <si>
    <r>
      <t>12.</t>
    </r>
    <r>
      <rPr>
        <sz val="7"/>
        <color theme="1"/>
        <rFont val="Times New Roman"/>
        <family val="1"/>
      </rPr>
      <t> </t>
    </r>
    <r>
      <rPr>
        <sz val="11"/>
        <color theme="1"/>
        <rFont val="Times New Roman"/>
        <family val="1"/>
      </rPr>
      <t xml:space="preserve">Steel Engineering </t>
    </r>
  </si>
  <si>
    <t>13.Power and gas</t>
  </si>
  <si>
    <t>14. Others</t>
  </si>
  <si>
    <t>Total Score</t>
  </si>
  <si>
    <t>Quantitative Score</t>
  </si>
  <si>
    <t>s</t>
  </si>
  <si>
    <t>Debt to Equity</t>
  </si>
  <si>
    <t>NPM</t>
  </si>
  <si>
    <t>Int Cov</t>
  </si>
  <si>
    <t>DSCR</t>
  </si>
  <si>
    <t>Cash Cov</t>
  </si>
  <si>
    <t>Score obtained</t>
  </si>
  <si>
    <t>not obtained</t>
  </si>
  <si>
    <t>Internal Credit Risk Scoring System (ICRSS)</t>
  </si>
  <si>
    <t>Note:</t>
  </si>
  <si>
    <t>Qualitative Score</t>
  </si>
  <si>
    <t>ROA</t>
  </si>
  <si>
    <t>7.Cement</t>
  </si>
  <si>
    <t>More than 3 years Accounts with Faultless Record</t>
  </si>
  <si>
    <t>Quantitative Analysis (Service-Hospital&amp;Clinic)</t>
  </si>
  <si>
    <t>Fully Pledged Facilities</t>
  </si>
  <si>
    <t>Total Financial Debt</t>
  </si>
  <si>
    <t>Operating Profit to Operating Assets</t>
  </si>
  <si>
    <t>Operating Assets</t>
  </si>
  <si>
    <t>Financial Debt to Operating Cash Flow</t>
  </si>
  <si>
    <t>1. Net Profit Margin (NPM)</t>
  </si>
  <si>
    <t>2. Return on Assets (ROA)</t>
  </si>
  <si>
    <t>3. Operating Profit to Operating Assets (OPOA)</t>
  </si>
  <si>
    <t>1. Interest Coverage (IC)</t>
  </si>
  <si>
    <t>2. Debt Service Coverage Ratio (DSCR)</t>
  </si>
  <si>
    <t>3. Financial Debt to Operating Cash Flow (FDCF)</t>
  </si>
  <si>
    <t>4. Cashflow Coverage Ratio (CCR)</t>
  </si>
  <si>
    <t>1. Stock Turnover Days (STD)</t>
  </si>
  <si>
    <t>2. Trade Debtor Collection Days (TDCD)</t>
  </si>
  <si>
    <t>3. Asset Turnover (AT)</t>
  </si>
  <si>
    <t>1. Operating Cash Flow to Sales (CFS)</t>
  </si>
  <si>
    <t>2. Cashflow based accrual ratio (CAR)</t>
  </si>
  <si>
    <t>Debt to Total Assets</t>
  </si>
  <si>
    <t>Bond/ Preference Shares</t>
  </si>
  <si>
    <t>Example: Cost of Good sold is 900; here just input 900 instead of -900 or (900)</t>
  </si>
  <si>
    <t>Net Profit After Tax (NPAT)</t>
  </si>
  <si>
    <t xml:space="preserve">Earnings Before Interest and Tax (EBIT) </t>
  </si>
  <si>
    <t>Earnings Before Tax (EBT)</t>
  </si>
  <si>
    <t>IF(D5='Basic Bullets'!E1,1,IF(D5='Basic Bullets'!E2,2,IF(D5='Basic Bullets'!E3,3,IF(D5='Basic Bullets'!E4,4,IF(D5='Basic Bullets'!E5,5,IF(D5='Basic Bullets'!E6,6,IF(D5='Basic Bullets'!E7,7,IF(D5='Basic Bullets'!E8,8,IF(D5='Basic Bullets'!E9,9,IF(D5='Basic Bullets'!E10,10,IF(D5='Basic Bullets'!E11,11,IF(D5='Basic Bullets'!E12,12,IF(D5='Basic Bullets'!E13,13,IF(D5='Basic Bullets'!E14,14,IF(D5='Basic Bullets'!E15,15,IF(D5='Basic Bullets'!E16,16, IF(D5='Basic Bullets'!E17,17,IF(D5='Basic Bullets'!E18,18,IF(D5='Basic Bullets'!E19,19,IF(D5='Basic Bullets'!E20,20,</t>
  </si>
  <si>
    <t>0.75x to 0.99x</t>
  </si>
  <si>
    <t>Less than or equal 0.50</t>
  </si>
  <si>
    <t>Greater than or equal to 0. 20x</t>
  </si>
  <si>
    <t>Zero = 1</t>
  </si>
  <si>
    <t>Less than 0.5 times</t>
  </si>
  <si>
    <t>Greater than or equal to 4.00x</t>
  </si>
  <si>
    <t>Greater than or equal to 1.00×</t>
  </si>
  <si>
    <t>Debt Equity</t>
  </si>
  <si>
    <t>Debt to Assets</t>
  </si>
  <si>
    <t>Net Profit Margin</t>
  </si>
  <si>
    <t>Return on Asset</t>
  </si>
  <si>
    <t>Interest Coverage</t>
  </si>
  <si>
    <t>Cashflow Coverage</t>
  </si>
  <si>
    <t>5. If there is unprecedented movement in graph, the analyst should verify he root causes of such aberrant movement; in this regard the analyst should be sketical regarding such movement</t>
  </si>
  <si>
    <t>D. Service (Please select sub category)</t>
  </si>
  <si>
    <t>A. Industry (please select sub category)</t>
  </si>
  <si>
    <t>3. Hospitals and Clinics</t>
  </si>
  <si>
    <t xml:space="preserve">4. Others </t>
  </si>
  <si>
    <t>10. Ship Breaking</t>
  </si>
  <si>
    <t>Outcome</t>
  </si>
  <si>
    <t>* DCRR = Dynamic Credit Risk Rating</t>
  </si>
  <si>
    <t>Marginal</t>
  </si>
  <si>
    <t>4. Whatever score a borrower get in qualitative analysis, if the score in quantative part is less than 55%, then the loan cant be sanctioned.</t>
  </si>
  <si>
    <t xml:space="preserve">Note: 1. For any Risk Area, if the riskrating falls under yellow or redzone, whatever the aggregate score is, The relationship manager should justyfy how those risks are mitigated if the loan is sanctioned and in final proposal,  the approval authority should  review that thoroghly and make necessary comments  on how the bank will manage the risk and the details of that official discussions should be retained in the loan file. </t>
  </si>
  <si>
    <t>3. No loan can be sanctioned for borroer whose DCRR is less than 60% except the loan is 100% cash covered or Government Guaranteed or Bank Guaranteed of for stateowned organization or projects</t>
  </si>
  <si>
    <t>Common Size</t>
  </si>
  <si>
    <t>serial</t>
  </si>
  <si>
    <t>Contents</t>
  </si>
  <si>
    <r>
      <t>4.</t>
    </r>
    <r>
      <rPr>
        <sz val="7"/>
        <color theme="1"/>
        <rFont val="Times New Roman"/>
        <family val="1"/>
      </rPr>
      <t> </t>
    </r>
    <r>
      <rPr>
        <sz val="11"/>
        <color theme="1"/>
        <rFont val="Times New Roman"/>
        <family val="1"/>
      </rPr>
      <t>Pharmaceuticals</t>
    </r>
  </si>
  <si>
    <t>7. Cement</t>
  </si>
  <si>
    <t>14. Other Industries</t>
  </si>
  <si>
    <t>13. Power and Gas</t>
  </si>
  <si>
    <t>4. Other Services</t>
  </si>
  <si>
    <t>Bad &amp; Loss</t>
  </si>
  <si>
    <t>Commono Size</t>
  </si>
  <si>
    <t>Other Equity Items</t>
  </si>
  <si>
    <t>Assets- Liabilities difference</t>
  </si>
  <si>
    <t>Growing but High Volatility</t>
  </si>
  <si>
    <t>* Senior Management means MD and next two tiers</t>
  </si>
  <si>
    <t>Risk Rating</t>
  </si>
  <si>
    <t>Input Balance Sheet</t>
  </si>
  <si>
    <t>Input Cashflow Statement</t>
  </si>
  <si>
    <t>Output Balance Sheet</t>
  </si>
  <si>
    <t>Output Cashflow Statement</t>
  </si>
  <si>
    <t>Output Profit and Loss Statement</t>
  </si>
  <si>
    <t>Top Page</t>
  </si>
  <si>
    <t>Qualitative Analysis</t>
  </si>
  <si>
    <t>1. Financial Debt to Tangible Net Worth (DTN)</t>
  </si>
  <si>
    <t>2. Financial Debt to Total Assets (DTA)</t>
  </si>
  <si>
    <t>Detail Management Report</t>
  </si>
  <si>
    <t>Executive Summary</t>
  </si>
  <si>
    <t>3. Operating Cashflow to Debt Ratio (CDR)</t>
  </si>
  <si>
    <t>2.01% to 6%</t>
  </si>
  <si>
    <t>Less than or equal to 1x</t>
  </si>
  <si>
    <t>.</t>
  </si>
  <si>
    <t>Less than 0.75×</t>
  </si>
  <si>
    <t>0.75x to 1.00x</t>
  </si>
  <si>
    <t>1.01× to 1.25x</t>
  </si>
  <si>
    <t>1.26 × to 1.50x</t>
  </si>
  <si>
    <t>2.01× to 3.00 x</t>
  </si>
  <si>
    <t>More than or equal to  3.01×</t>
  </si>
  <si>
    <t>Less than 0.35x</t>
  </si>
  <si>
    <t>0.35x to 0.74x</t>
  </si>
  <si>
    <t>Greater than 1.00×</t>
  </si>
  <si>
    <t>0.51× to 1.00x</t>
  </si>
  <si>
    <t>Greater than or equal to 8%</t>
  </si>
  <si>
    <t>.00% to 8.00%</t>
  </si>
  <si>
    <t>5.00% to 7.00%</t>
  </si>
  <si>
    <t>3.00% to5.00%</t>
  </si>
  <si>
    <t>1.00% to3.00%</t>
  </si>
  <si>
    <t xml:space="preserve">Less than or equal to 1% </t>
  </si>
  <si>
    <t>Greater than or equal to 5%</t>
  </si>
  <si>
    <t>3.01% to 5.00%</t>
  </si>
  <si>
    <t xml:space="preserve">Greater than or equal to 6% </t>
  </si>
  <si>
    <t>Less than or equal to 4%</t>
  </si>
  <si>
    <t>Greater than or equal to 5x</t>
  </si>
  <si>
    <t>3.01x to 5.00x</t>
  </si>
  <si>
    <t>1.01x-3.00x</t>
  </si>
  <si>
    <t>1.51x to 2.00 x</t>
  </si>
  <si>
    <t>1.01x to 1.50x</t>
  </si>
  <si>
    <t xml:space="preserve">More than 0.55x </t>
  </si>
  <si>
    <t>0.35x to 0.55x</t>
  </si>
  <si>
    <t>0.25x to 0.35x</t>
  </si>
  <si>
    <t>0.15x to 0.24x</t>
  </si>
  <si>
    <t>Less than 0.15x</t>
  </si>
  <si>
    <t>Greater than 1 times</t>
  </si>
  <si>
    <t>0.50 time to 1 times</t>
  </si>
  <si>
    <t>0.25 time to 0.50 times</t>
  </si>
  <si>
    <t>Less than 0.25 times</t>
  </si>
  <si>
    <t>Less than 100 days</t>
  </si>
  <si>
    <t>100 to 120 days</t>
  </si>
  <si>
    <t>121 to 150 days</t>
  </si>
  <si>
    <t>151 days to 180 days</t>
  </si>
  <si>
    <t>More than or equal to 180 days</t>
  </si>
  <si>
    <t>Less than 45 days</t>
  </si>
  <si>
    <t>60 days to 90 days</t>
  </si>
  <si>
    <t>Greater than or equal to 125%</t>
  </si>
  <si>
    <t xml:space="preserve">75% to 124% </t>
  </si>
  <si>
    <t>50% to 75%</t>
  </si>
  <si>
    <t>Greater than 8%</t>
  </si>
  <si>
    <t>4.01% to 8%</t>
  </si>
  <si>
    <t>2.01% to 4%</t>
  </si>
  <si>
    <t>Less than or equal to 2%</t>
  </si>
  <si>
    <t>Less than 0.45x</t>
  </si>
  <si>
    <t>0.45x to 0.74x</t>
  </si>
  <si>
    <t>Greater than 0.05x</t>
  </si>
  <si>
    <t>0.03 to 0. 05 x</t>
  </si>
  <si>
    <t>0.02x to 0. 03x</t>
  </si>
  <si>
    <t xml:space="preserve">Less than 0.02x </t>
  </si>
  <si>
    <t>Greater than 10%</t>
  </si>
  <si>
    <t>8.01% to 10.00%</t>
  </si>
  <si>
    <t>Greater than 3%</t>
  </si>
  <si>
    <t>1.01% to 2.00%</t>
  </si>
  <si>
    <t>Less than 1%</t>
  </si>
  <si>
    <t xml:space="preserve">Greater than6% </t>
  </si>
  <si>
    <t>Less than of equal to 2%</t>
  </si>
  <si>
    <t>More than 2x</t>
  </si>
  <si>
    <t>1.5x- 2x</t>
  </si>
  <si>
    <t>1.01x-1.5x</t>
  </si>
  <si>
    <t>Greater than 1.5x</t>
  </si>
  <si>
    <t>1x to 1.50x</t>
  </si>
  <si>
    <t>0.75x to 1x</t>
  </si>
  <si>
    <t>.5x to 74 x</t>
  </si>
  <si>
    <t>Less than or equal to .5</t>
  </si>
  <si>
    <t>More than .10x</t>
  </si>
  <si>
    <t>.06x to .1x</t>
  </si>
  <si>
    <t xml:space="preserve">.02x to .06x </t>
  </si>
  <si>
    <t>.01x to .20x</t>
  </si>
  <si>
    <t>less than .01x</t>
  </si>
  <si>
    <t>More than 1 times</t>
  </si>
  <si>
    <t>0.50  time to 1. times</t>
  </si>
  <si>
    <t>0..25 ime to .50imes</t>
  </si>
  <si>
    <t>less than .25</t>
  </si>
  <si>
    <t>Less than 180 days</t>
  </si>
  <si>
    <t>180 to 300days</t>
  </si>
  <si>
    <t>300 to 400 days</t>
  </si>
  <si>
    <t>400 days to 480 days</t>
  </si>
  <si>
    <t>More than or equal to 480 days</t>
  </si>
  <si>
    <t>Less than 80 days</t>
  </si>
  <si>
    <t>80 days to 120 days</t>
  </si>
  <si>
    <t>121 days to 149 days</t>
  </si>
  <si>
    <t>More than or equal to 150 days</t>
  </si>
  <si>
    <t>More than 3%</t>
  </si>
  <si>
    <t>2.01% to 3%</t>
  </si>
  <si>
    <t>1% to 2%</t>
  </si>
  <si>
    <t>Less than or equal to 1%</t>
  </si>
  <si>
    <t xml:space="preserve">Greater than 8% </t>
  </si>
  <si>
    <t>5.01% to 8%</t>
  </si>
  <si>
    <t>Less than of equal to 5%</t>
  </si>
  <si>
    <t>3.01x- 4x</t>
  </si>
  <si>
    <t>3.01x to 4.00x</t>
  </si>
  <si>
    <t>2.01x to 3.00x</t>
  </si>
  <si>
    <t>1.01x to 1.51x</t>
  </si>
  <si>
    <t>More than .5x</t>
  </si>
  <si>
    <t>.35x to .5x</t>
  </si>
  <si>
    <t xml:space="preserve">.25x to .35x </t>
  </si>
  <si>
    <t>.15x to .10x</t>
  </si>
  <si>
    <t>less than .15x</t>
  </si>
  <si>
    <t>More than 1.5 times</t>
  </si>
  <si>
    <t>0.51 time to 1.5 times</t>
  </si>
  <si>
    <t>Less than or equla to 0.5 time</t>
  </si>
  <si>
    <t>Less than 90 days</t>
  </si>
  <si>
    <t>91 to 120 days</t>
  </si>
  <si>
    <t>120 to 150days</t>
  </si>
  <si>
    <t>150 days to 180 days</t>
  </si>
  <si>
    <t>30 days to 60 days</t>
  </si>
  <si>
    <t>3.01% to 10%</t>
  </si>
  <si>
    <t>1.00x to 1.25x</t>
  </si>
  <si>
    <t>1.26× to 1.75x</t>
  </si>
  <si>
    <t>1.76x × to 2.25x</t>
  </si>
  <si>
    <t>2.26× to 2.99x</t>
  </si>
  <si>
    <t>Less than 0.50x</t>
  </si>
  <si>
    <t>0.50 x to 0.74x</t>
  </si>
  <si>
    <t>Greater than 1.50×</t>
  </si>
  <si>
    <t>.75x to 1x</t>
  </si>
  <si>
    <t>.51× to .75x</t>
  </si>
  <si>
    <t>0.35x to 0.50x</t>
  </si>
  <si>
    <t>Less than or equal .35</t>
  </si>
  <si>
    <t>Greater than 3.00%</t>
  </si>
  <si>
    <t>2% to 3.00%</t>
  </si>
  <si>
    <t>.5 % to 1%</t>
  </si>
  <si>
    <t>.25% to.5%</t>
  </si>
  <si>
    <t xml:space="preserve">Less than or equal to .25% </t>
  </si>
  <si>
    <t>Greater than 1.5%</t>
  </si>
  <si>
    <t>1% to 1.5%</t>
  </si>
  <si>
    <t>.5% to1.00%</t>
  </si>
  <si>
    <t>Less than .5%</t>
  </si>
  <si>
    <t>Less than 50 days</t>
  </si>
  <si>
    <t>50 days to 60 days</t>
  </si>
  <si>
    <t>More than 50%</t>
  </si>
  <si>
    <t xml:space="preserve">20% to 50% </t>
  </si>
  <si>
    <t>10% to200%</t>
  </si>
  <si>
    <t>Less than or equal to 10%</t>
  </si>
  <si>
    <t>.75× to 1.00x</t>
  </si>
  <si>
    <t>0.5x to 0.75x</t>
  </si>
  <si>
    <t>3.01% to 4.00%</t>
  </si>
  <si>
    <t>Greater than 5%</t>
  </si>
  <si>
    <t>3.01% to 5%</t>
  </si>
  <si>
    <t>1.5% to 3.00%</t>
  </si>
  <si>
    <t>Less than 1.5%</t>
  </si>
  <si>
    <t xml:space="preserve">Greater than 10% </t>
  </si>
  <si>
    <t>5.01% to 10%</t>
  </si>
  <si>
    <t>More than 3x</t>
  </si>
  <si>
    <t>2.01x- 3x</t>
  </si>
  <si>
    <t>1.01x-2.00x</t>
  </si>
  <si>
    <t>Greater than 2.50x</t>
  </si>
  <si>
    <t>2.x to 2.5x</t>
  </si>
  <si>
    <t>1.5x to 2x</t>
  </si>
  <si>
    <t>1.25x to 1.49 x</t>
  </si>
  <si>
    <t>1.01x to 1.24x</t>
  </si>
  <si>
    <t>More than .25x</t>
  </si>
  <si>
    <t>.15x to .25x</t>
  </si>
  <si>
    <t xml:space="preserve">.1x to .15x </t>
  </si>
  <si>
    <t>.05x to .10x</t>
  </si>
  <si>
    <t>less than .05x</t>
  </si>
  <si>
    <t>90 to 120 days</t>
  </si>
  <si>
    <t>120 to 150 days</t>
  </si>
  <si>
    <t>More than 8%</t>
  </si>
  <si>
    <t>Less than 2.0×</t>
  </si>
  <si>
    <t>2.00x to 2.50x</t>
  </si>
  <si>
    <t>2.50× to 2.75x</t>
  </si>
  <si>
    <t>2.76 × to 3.00x</t>
  </si>
  <si>
    <t>3.01x× to 3.50x</t>
  </si>
  <si>
    <t>3.50× to 4.00 x</t>
  </si>
  <si>
    <t>More than or equal to  4.00×</t>
  </si>
  <si>
    <t>Less than 0.60x</t>
  </si>
  <si>
    <t>0.60 x to 0.74x</t>
  </si>
  <si>
    <t>Greater than 0. 30x</t>
  </si>
  <si>
    <t>0.11x to 0. 30 x</t>
  </si>
  <si>
    <t xml:space="preserve">Greater than 4% </t>
  </si>
  <si>
    <t>Less than 60 days</t>
  </si>
  <si>
    <t>60 to 89 days</t>
  </si>
  <si>
    <t>120 days to 150days</t>
  </si>
  <si>
    <t>0.75x to 1.0x</t>
  </si>
  <si>
    <t>1.26x × to 1.50x</t>
  </si>
  <si>
    <t>1.51× to 2.0x</t>
  </si>
  <si>
    <t>Greater than 0. 10x</t>
  </si>
  <si>
    <t>0.05x to 0. 10 x</t>
  </si>
  <si>
    <t>0.03x to 0. 05x</t>
  </si>
  <si>
    <t xml:space="preserve">Less than 0.03x </t>
  </si>
  <si>
    <t>Greater than 6.00%</t>
  </si>
  <si>
    <t>5% to 6.00%</t>
  </si>
  <si>
    <t>4% to 5%</t>
  </si>
  <si>
    <t>3% to4%</t>
  </si>
  <si>
    <t>1% to3%</t>
  </si>
  <si>
    <t>Greater than 6%</t>
  </si>
  <si>
    <t>3.01% to 6.00%</t>
  </si>
  <si>
    <t>90  to100 days</t>
  </si>
  <si>
    <t>100 to 120  days</t>
  </si>
  <si>
    <t>120  days to 180 days</t>
  </si>
  <si>
    <t>Less than .70×</t>
  </si>
  <si>
    <t>.70x to 1.x</t>
  </si>
  <si>
    <t>1× to 1.25x</t>
  </si>
  <si>
    <t>1.25× to 1.5x</t>
  </si>
  <si>
    <t>1.51 × to 2.00x</t>
  </si>
  <si>
    <t>2.01× to 2.99x</t>
  </si>
  <si>
    <t>more than or equal to 3x</t>
  </si>
  <si>
    <t>Greater than 7%</t>
  </si>
  <si>
    <t>5.5% to 7%</t>
  </si>
  <si>
    <t>4% to 5.49%</t>
  </si>
  <si>
    <t>2.5% to 4%</t>
  </si>
  <si>
    <t>1% to 2.49%</t>
  </si>
  <si>
    <t>3.5% to 4.99%</t>
  </si>
  <si>
    <t>2.01% to 3.49%</t>
  </si>
  <si>
    <t>2x- 3x</t>
  </si>
  <si>
    <t>1.01x-1.99x</t>
  </si>
  <si>
    <t>More than .2x</t>
  </si>
  <si>
    <t>.1x to .2x</t>
  </si>
  <si>
    <t xml:space="preserve">.05x to .1x </t>
  </si>
  <si>
    <t>.0255x to .050x</t>
  </si>
  <si>
    <t>More than 200%</t>
  </si>
  <si>
    <t xml:space="preserve">150% to 199% </t>
  </si>
  <si>
    <t>75% to 149%</t>
  </si>
  <si>
    <t>Less than or equal to 75%</t>
  </si>
  <si>
    <t>3.01% to 4.99%</t>
  </si>
  <si>
    <t>5.01% to 9%</t>
  </si>
  <si>
    <t>More than 5%</t>
  </si>
  <si>
    <t>1.01× to 2.00x</t>
  </si>
  <si>
    <t>0.76× to 1.00 x</t>
  </si>
  <si>
    <t>0.51× to 0.75x</t>
  </si>
  <si>
    <t>0.26× to 0.50x</t>
  </si>
  <si>
    <t>Less than or equal .25</t>
  </si>
  <si>
    <t>Greater than 3.00x</t>
  </si>
  <si>
    <t>2.01x to 2.99x</t>
  </si>
  <si>
    <t>1.50x to 2.00x</t>
  </si>
  <si>
    <t>1.25x to 1.50 x</t>
  </si>
  <si>
    <t>1.01x to 1.25x</t>
  </si>
  <si>
    <t>Less than 15 days</t>
  </si>
  <si>
    <t>15 to 30 days</t>
  </si>
  <si>
    <t>30 to 45 days</t>
  </si>
  <si>
    <t>5% to 10%</t>
  </si>
  <si>
    <t>2% to 5%</t>
  </si>
  <si>
    <t xml:space="preserve">  </t>
  </si>
  <si>
    <t>Less than 0.7×</t>
  </si>
  <si>
    <t>0.70x to 1.00x</t>
  </si>
  <si>
    <t>1.00× to 1.25x</t>
  </si>
  <si>
    <t>1.25 × to 1.50x</t>
  </si>
  <si>
    <t>2.01× to 2.99 x</t>
  </si>
  <si>
    <t>More than or equal to  3.00×</t>
  </si>
  <si>
    <t>0.75× to 1.00x</t>
  </si>
  <si>
    <t>0.51x to 1.00x</t>
  </si>
  <si>
    <t>7.00% to 8.00%</t>
  </si>
  <si>
    <t>1.00% to 3.00%</t>
  </si>
  <si>
    <t>2.50% to 4.50%</t>
  </si>
  <si>
    <t>1.50% to 2.49%</t>
  </si>
  <si>
    <t>Less than 1.50%</t>
  </si>
  <si>
    <t>3.50% to 8.00%</t>
  </si>
  <si>
    <t>Less than or equal to 3.5%</t>
  </si>
  <si>
    <t>Greater than  3x</t>
  </si>
  <si>
    <t>2.50x to 3.00x</t>
  </si>
  <si>
    <t>1.01x to 2.49x</t>
  </si>
  <si>
    <t>Greater than  2.50x</t>
  </si>
  <si>
    <t xml:space="preserve">More than 0.5x </t>
  </si>
  <si>
    <t>0.15x to 0.10x</t>
  </si>
  <si>
    <t>less than or equal to 0.15x</t>
  </si>
  <si>
    <t>Greater than 1x</t>
  </si>
  <si>
    <t>0.50 x to 1x</t>
  </si>
  <si>
    <t>0.25x to 0.50</t>
  </si>
  <si>
    <t>Less than 120 days</t>
  </si>
  <si>
    <t>121 days to 150 days</t>
  </si>
  <si>
    <t>180 days to 219 days</t>
  </si>
  <si>
    <t>More than or equal to 220 days</t>
  </si>
  <si>
    <t>More than 150 days</t>
  </si>
  <si>
    <t>Greater than 70%</t>
  </si>
  <si>
    <t xml:space="preserve">51% to 70% </t>
  </si>
  <si>
    <t>25% to 50%</t>
  </si>
  <si>
    <t>Less than 24%</t>
  </si>
  <si>
    <t>4.01% to 8.00%</t>
  </si>
  <si>
    <t>Greater than  1.00×</t>
  </si>
  <si>
    <t>Less than or equal to 0.50</t>
  </si>
  <si>
    <t>Greater than or equal to 7.00%</t>
  </si>
  <si>
    <t>6.00% to 7.00%</t>
  </si>
  <si>
    <t>5.00% to 6.00%</t>
  </si>
  <si>
    <t>5.01% to 10.00%</t>
  </si>
  <si>
    <t>Less than or equal to 5%</t>
  </si>
  <si>
    <t>Greater than 5x</t>
  </si>
  <si>
    <t>1.01x to 3.00x</t>
  </si>
  <si>
    <t>1.51x to 2.00x</t>
  </si>
  <si>
    <t xml:space="preserve">More than 0.50x </t>
  </si>
  <si>
    <t>0.50x to 1.00x</t>
  </si>
  <si>
    <t>0.25x to 0.50x</t>
  </si>
  <si>
    <t>121 to 149 days</t>
  </si>
  <si>
    <t>Greater than 100%</t>
  </si>
  <si>
    <t>2.00% to 3.00%</t>
  </si>
  <si>
    <t>1.01× to 1.50x</t>
  </si>
  <si>
    <t>0.75× to 1x</t>
  </si>
  <si>
    <t>less than or equal to 0.35</t>
  </si>
  <si>
    <t>0.05x to 0. 01 x</t>
  </si>
  <si>
    <t>Greater than 8.00%</t>
  </si>
  <si>
    <t>3.00% to 5.00%</t>
  </si>
  <si>
    <t>5.01% to 9.00%</t>
  </si>
  <si>
    <t>Greater than 4x</t>
  </si>
  <si>
    <t>3.0x to 4.00x</t>
  </si>
  <si>
    <t>Less than  or equal to 1x</t>
  </si>
  <si>
    <t xml:space="preserve">More than 0.25x </t>
  </si>
  <si>
    <t>0.15x to 0.25x</t>
  </si>
  <si>
    <t>0.10x to 0.15x</t>
  </si>
  <si>
    <t>0.05x to 0.10x</t>
  </si>
  <si>
    <t>Less  than 0.05x</t>
  </si>
  <si>
    <t>More than 1.5x</t>
  </si>
  <si>
    <t>0.51x to 1.50x</t>
  </si>
  <si>
    <t>Less than or equal to 0.5x</t>
  </si>
  <si>
    <t>150 to 180 days</t>
  </si>
  <si>
    <t>More than 180 days</t>
  </si>
  <si>
    <t>Greater than 80%</t>
  </si>
  <si>
    <t xml:space="preserve">51% to 80% </t>
  </si>
  <si>
    <t>9.00% to 10.00%</t>
  </si>
  <si>
    <t>5.00% to 9.00%</t>
  </si>
  <si>
    <t>Less than 0.55×</t>
  </si>
  <si>
    <t>0.55x to 1.0x</t>
  </si>
  <si>
    <t>Greater than 0.07x</t>
  </si>
  <si>
    <t>0.04 to 0. 07 x</t>
  </si>
  <si>
    <t>0.02x to 0. 04x</t>
  </si>
  <si>
    <t>Greater than 4%</t>
  </si>
  <si>
    <t>2% to 3%</t>
  </si>
  <si>
    <t>61 days to 120 days</t>
  </si>
  <si>
    <t>121 days to 180 days</t>
  </si>
  <si>
    <t>Greater than 0.06x</t>
  </si>
  <si>
    <t>0.03 to 0. 06 x</t>
  </si>
  <si>
    <t>.025x to .050x</t>
  </si>
  <si>
    <t>less than .025x</t>
  </si>
  <si>
    <t>Less than 060 days</t>
  </si>
  <si>
    <t>060 to 90 days</t>
  </si>
  <si>
    <t>90 to 100 days</t>
  </si>
  <si>
    <t>100 days to 120 days</t>
  </si>
  <si>
    <t>More than or equal to 120 days</t>
  </si>
  <si>
    <t>Less than 1.5×</t>
  </si>
  <si>
    <t>1.5x to 1.75x</t>
  </si>
  <si>
    <t>1.75× to 1.99x</t>
  </si>
  <si>
    <t>1.01x- 2x</t>
  </si>
  <si>
    <t>0.50-1.00x</t>
  </si>
  <si>
    <t>Less than or equal to .5x</t>
  </si>
  <si>
    <t>0.25 ime to .50imes</t>
  </si>
  <si>
    <t>10% to 20%</t>
  </si>
  <si>
    <t>2.01% to 5%</t>
  </si>
  <si>
    <t>1.50 x to 2x</t>
  </si>
  <si>
    <t>2× to 2.50x</t>
  </si>
  <si>
    <t>2.50 × to 3.00x</t>
  </si>
  <si>
    <t>180 days to 270 days</t>
  </si>
  <si>
    <t>270 days to 360days</t>
  </si>
  <si>
    <t>More than or equal to 360 days</t>
  </si>
  <si>
    <t>zero=1</t>
  </si>
  <si>
    <t>Positive =0</t>
  </si>
  <si>
    <t xml:space="preserve">Positive </t>
  </si>
  <si>
    <t xml:space="preserve">Negative </t>
  </si>
  <si>
    <t>Positive 0</t>
  </si>
  <si>
    <t>Internal Credit Risk Rating System for Banks</t>
  </si>
  <si>
    <t>NI-CFO-CFI</t>
  </si>
  <si>
    <t>Public Ltd Company</t>
  </si>
  <si>
    <t>Private Ltd Company</t>
  </si>
  <si>
    <t>Others</t>
  </si>
  <si>
    <t>ICRR</t>
  </si>
  <si>
    <t>Performance behavior with  suppliers/ Creditors</t>
  </si>
  <si>
    <t>Critical assessment of 5 (five) years prospect of industry and borrower's sales volatility</t>
  </si>
  <si>
    <t>BSEC listed auditors are considered as recognized</t>
  </si>
  <si>
    <t>Personal Guarantees or Corporate Guarantee without Strong Financial Strength</t>
  </si>
  <si>
    <t xml:space="preserve">Good Corporate Governance </t>
  </si>
  <si>
    <t>**Independence of Management</t>
  </si>
  <si>
    <t>Borrower Name</t>
  </si>
  <si>
    <t>Collataral Coverage</t>
  </si>
  <si>
    <t>Less than .5</t>
  </si>
  <si>
    <t>.01x to .020x</t>
  </si>
  <si>
    <t>Financial Statement Audit Status:</t>
  </si>
  <si>
    <t>Interest Receivables</t>
  </si>
  <si>
    <t>Credit Officer/Analyst Name, Designation</t>
  </si>
  <si>
    <t>Internal Credit Risk Rating System (Top Page)</t>
  </si>
  <si>
    <t xml:space="preserve">Quantitative Analysis </t>
  </si>
  <si>
    <t>* Sales growth means annual sales growth</t>
  </si>
  <si>
    <t>Growing and Low Volatility</t>
  </si>
  <si>
    <r>
      <rPr>
        <b/>
        <sz val="11"/>
        <rFont val="Cambria"/>
        <family val="1"/>
        <scheme val="major"/>
      </rPr>
      <t>Assessment Criteria:</t>
    </r>
    <r>
      <rPr>
        <sz val="11"/>
        <rFont val="Cambria"/>
        <family val="1"/>
        <scheme val="major"/>
      </rPr>
      <t xml:space="preserve">                                                                    Greater than or equal to 80%= Excellent; 70%-80% = Good; 60% to 70% = Marginal; Less than 60% = Unacceptable</t>
    </r>
  </si>
  <si>
    <r>
      <rPr>
        <b/>
        <sz val="11"/>
        <color theme="1"/>
        <rFont val="Cambria"/>
        <family val="1"/>
        <scheme val="major"/>
      </rPr>
      <t>Assessment Criteria</t>
    </r>
    <r>
      <rPr>
        <sz val="11"/>
        <color theme="1"/>
        <rFont val="Cambria"/>
        <family val="1"/>
        <scheme val="major"/>
      </rPr>
      <t xml:space="preserve">: </t>
    </r>
    <r>
      <rPr>
        <i/>
        <sz val="11"/>
        <color theme="1"/>
        <rFont val="Cambria"/>
        <family val="1"/>
        <scheme val="major"/>
      </rPr>
      <t>Greater than or equal to 80%= Excellent; 70%-80% = Good; 60% to 70% = Marginal; Less than 60% = Unacceptable</t>
    </r>
  </si>
  <si>
    <t>1.01% to 4.00%</t>
  </si>
  <si>
    <t>Input Profit &amp; Loss Statement</t>
  </si>
  <si>
    <t>Quantitative Analysis</t>
  </si>
  <si>
    <t>Guidelines on                            Internal Credit Risk Rating  System for Banks</t>
  </si>
  <si>
    <t>Performance behavior with lending banks</t>
  </si>
  <si>
    <t>[ Aversely classified means the borrower's loans classified as per BB loan classifications policy i.e SS, DF, BL]</t>
  </si>
  <si>
    <t>Did The Borrower Pay Its Suppliers/ Creditors Regularly In Last 1 Year</t>
  </si>
  <si>
    <t>The formula for calculating sales growth is [(current year sales - previous year sales)/ previous year sales]*100</t>
  </si>
  <si>
    <t>engaged in this line of business</t>
  </si>
  <si>
    <t>Long-Term External Credit Rating of the Borrower</t>
  </si>
  <si>
    <t>Equivalent Rating of CRISL</t>
  </si>
  <si>
    <t>Equivalent Rating of CRAB</t>
  </si>
  <si>
    <t>Equivalent Rating of ECRL</t>
  </si>
  <si>
    <t>Equivalent Rating of NCRL</t>
  </si>
  <si>
    <t>Rating Grade should be assigned in line with BB Rating Mapping as per BRPD circular 18/2014 on Risk-Based Capital Adequacy in line with Basel III (see annex: Rating Mapping)</t>
  </si>
  <si>
    <t>Quality of the  management based on total number of years of experience of  the senior management in the Industry.</t>
  </si>
  <si>
    <t>Change In External Auditors In Last 4 Years</t>
  </si>
  <si>
    <t>2nd Charge/Inferior Charge</t>
  </si>
  <si>
    <t>No Security</t>
  </si>
  <si>
    <t>Registered Hypothecation (1st Charge/1st Pari Passu Charge)</t>
  </si>
  <si>
    <t>Registered Mortgage On Municipal Corporation/Prime Area Property</t>
  </si>
  <si>
    <t>Registered Mortgage On Pourashava/Semi-Urban/ Union Parishad Area Property</t>
  </si>
  <si>
    <t>Equitable Mortgage Or No Property But Plant And Machinery As Collateral</t>
  </si>
  <si>
    <t>No Collateral</t>
  </si>
  <si>
    <t>Eligible Collateral Coverage</t>
  </si>
  <si>
    <t>-100% of deposit under lien against the loan</t>
  </si>
  <si>
    <t>-100% of the value of government bond/savings certificate under lien</t>
  </si>
  <si>
    <t>-100% of the value of guarantee given by Government or Bangladesh Bank</t>
  </si>
  <si>
    <t>-100% of the market value of gold or gold ornaments pledged with the bank.</t>
  </si>
  <si>
    <t>- 50% of the market value of easily marketable commodities kept under control of the bank</t>
  </si>
  <si>
    <t>- Maximum 50% of the market value of land and building mortgaged with the bank</t>
  </si>
  <si>
    <t>- 50% of the average market value for last 06 months or 50% of the face value,</t>
  </si>
  <si>
    <t>whichever is less, of the shares traded in stock exchange.</t>
  </si>
  <si>
    <t>The formula of eligible collateral coverage is [eligible collateral / total loans]</t>
  </si>
  <si>
    <t xml:space="preserve">Type of Guarantee </t>
  </si>
  <si>
    <t xml:space="preserve">Strong Corporate Guarantee means the credit rating of the guarantor should be at least 1 or 2 as per BB rating mapping mentioned in BRPD circular 18/2014 on Risk Based Capital Adequacy in line with Basel III. </t>
  </si>
  <si>
    <t>* Eligible collateral should be determined as per BRPD circular no 14 issued on September 23, 2012 (Para 07, Page 10).  (see annex: Eligible Collateral)</t>
  </si>
  <si>
    <t>Government Guarantee and/or Bank Guarantee</t>
  </si>
  <si>
    <t>Bangladesh Bank</t>
  </si>
  <si>
    <t>Guidelines on Internal Credit Risk Rating System for Banks</t>
  </si>
  <si>
    <t>O time</t>
  </si>
  <si>
    <t>* if the score of quantitiave analysis is less than 50%, whatever the aggregate score is, the overall ICRR will be "Unacceptable"</t>
  </si>
  <si>
    <t>Quantitative Analysis (RMG)</t>
  </si>
  <si>
    <t>BB Rating Grade</t>
  </si>
  <si>
    <t>Equivalent Rating of S&amp;P and Fitch</t>
  </si>
  <si>
    <t>Equivalent Rating of Moody</t>
  </si>
  <si>
    <t>Equivalent Rating of ACRSL</t>
  </si>
  <si>
    <t>AAA to AA</t>
  </si>
  <si>
    <t>Aaa to Aa</t>
  </si>
  <si>
    <t>AAA,</t>
  </si>
  <si>
    <t>AA+, AA, AA-</t>
  </si>
  <si>
    <t>AA1, AA2, AA3</t>
  </si>
  <si>
    <t>AAA</t>
  </si>
  <si>
    <t>A+, A, A-</t>
  </si>
  <si>
    <t>A1, A2, A3</t>
  </si>
  <si>
    <t>BBB</t>
  </si>
  <si>
    <t>Baa</t>
  </si>
  <si>
    <t>BBB+, BBB, BBB-</t>
  </si>
  <si>
    <t>BBB1, BBB2, BBB3</t>
  </si>
  <si>
    <t>BB to B</t>
  </si>
  <si>
    <t>Ba to B</t>
  </si>
  <si>
    <t>BB+, BB, BB-</t>
  </si>
  <si>
    <t>BB1, BB2, BB3</t>
  </si>
  <si>
    <t>Below B</t>
  </si>
  <si>
    <t>B+, B, B-,</t>
  </si>
  <si>
    <t>CCC+, CCC, CCC-,</t>
  </si>
  <si>
    <t>CC+, CC, CC-</t>
  </si>
  <si>
    <t>B1, B2, B3,</t>
  </si>
  <si>
    <t>CCC1, CCC2, CCC3,</t>
  </si>
  <si>
    <t>CC</t>
  </si>
  <si>
    <t>B+, B, B-</t>
  </si>
  <si>
    <t>CC+,CC,CC-</t>
  </si>
  <si>
    <t>CCC</t>
  </si>
  <si>
    <t>B1, B2, B3, CCC</t>
  </si>
  <si>
    <t>C+, C, C-, D</t>
  </si>
  <si>
    <t>C, D</t>
  </si>
  <si>
    <t>CC+,CC,CC-,</t>
  </si>
  <si>
    <t>CC1, CC2, CC3, C+, C, C-, D</t>
  </si>
  <si>
    <t>Short-Term Rating Category Mapping</t>
  </si>
  <si>
    <t>S1</t>
  </si>
  <si>
    <t>F1+</t>
  </si>
  <si>
    <t>P1</t>
  </si>
  <si>
    <t>ST-1</t>
  </si>
  <si>
    <t>N1</t>
  </si>
  <si>
    <t>ECRL-1</t>
  </si>
  <si>
    <t>AR-1</t>
  </si>
  <si>
    <t>P-1</t>
  </si>
  <si>
    <t>S2</t>
  </si>
  <si>
    <t>F1</t>
  </si>
  <si>
    <t>P2</t>
  </si>
  <si>
    <t>ST-2</t>
  </si>
  <si>
    <t>N2</t>
  </si>
  <si>
    <t>ECRL-2</t>
  </si>
  <si>
    <t>AR-2</t>
  </si>
  <si>
    <t>P-2</t>
  </si>
  <si>
    <t>S3</t>
  </si>
  <si>
    <t>F2</t>
  </si>
  <si>
    <t>P3</t>
  </si>
  <si>
    <t>ST-3</t>
  </si>
  <si>
    <t>N3</t>
  </si>
  <si>
    <t>ECRL-3</t>
  </si>
  <si>
    <t>AR-3</t>
  </si>
  <si>
    <t>P-3</t>
  </si>
  <si>
    <t>S4</t>
  </si>
  <si>
    <t>F3</t>
  </si>
  <si>
    <t>NP</t>
  </si>
  <si>
    <t>ST-4</t>
  </si>
  <si>
    <t>N4</t>
  </si>
  <si>
    <t>ECRL-4</t>
  </si>
  <si>
    <t>AR-4</t>
  </si>
  <si>
    <t>P-4</t>
  </si>
  <si>
    <t>S5,S6</t>
  </si>
  <si>
    <t>B,C, D</t>
  </si>
  <si>
    <t>ST-5, ST-6</t>
  </si>
  <si>
    <t>N5</t>
  </si>
  <si>
    <t>AR-5, AR-6</t>
  </si>
  <si>
    <t>P-5, P-6</t>
  </si>
  <si>
    <t>Equivalent Rating of  ACRL</t>
  </si>
  <si>
    <t>Equivalent Rating of  WASO</t>
  </si>
  <si>
    <t>Rating Mapping</t>
  </si>
  <si>
    <t>Eligible Collateral</t>
  </si>
  <si>
    <t>How many times the borrower was adversely classified in last 3 years</t>
  </si>
  <si>
    <t>How many times the borrower's loans was rescheduled/ restructured in last 3 years</t>
  </si>
  <si>
    <t>Outpace Spinning Mills Ltd</t>
  </si>
  <si>
    <t xml:space="preserve">2.  Textile </t>
  </si>
  <si>
    <t>Rahman Mustafiz Haw &amp; Co.</t>
  </si>
  <si>
    <t>Outright Group</t>
  </si>
  <si>
    <t>Deawn Nazrul Islam &amp; Co</t>
  </si>
  <si>
    <t>Md. Matiur Rahman</t>
  </si>
  <si>
    <t>Farhana Afrin, SM</t>
  </si>
  <si>
    <t>Md. Matiur Rahman, SRM</t>
  </si>
  <si>
    <t>SRM, Large Corporate</t>
  </si>
  <si>
    <t>Farhana Afrin</t>
  </si>
  <si>
    <t>Senior Manager</t>
  </si>
  <si>
    <t>Dewan Nazrul Islam &amp; Co.</t>
  </si>
  <si>
    <t>Unit- 04</t>
  </si>
  <si>
    <t>BRAC Bank PLC</t>
  </si>
  <si>
    <t>Corporate &amp; Institutional Banking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</si>
</sst>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_);_(* \(#,##0\);_(* &quot;-&quot;??_);_(@_)"/>
    <numFmt numFmtId="167" formatCode="0.0%"/>
    <numFmt numFmtId="168" formatCode="dd\-mm\-yyyy"/>
    <numFmt numFmtId="169" formatCode="[$-409]d\-mmm\-yy;@"/>
    <numFmt numFmtId="170" formatCode="0.00;[Red]0.00"/>
    <numFmt numFmtId="171" formatCode="0.0"/>
    <numFmt numFmtId="172" formatCode="0.000000"/>
    <numFmt numFmtId="173" formatCode="[$-5000445]0"/>
  </numFmts>
  <fonts count="93" x14ac:knownFonts="1">
    <font>
      <sz val="11"/>
      <color theme="1"/>
      <name val="Calibri"/>
      <family val="2"/>
      <scheme val="minor"/>
    </font>
    <font>
      <sz val="11"/>
      <color theme="1"/>
      <name val="Calibri"/>
      <family val="2"/>
      <scheme val="minor"/>
    </font>
    <font>
      <sz val="12"/>
      <color theme="1"/>
      <name val="Tahoma"/>
      <family val="2"/>
    </font>
    <font>
      <b/>
      <sz val="11"/>
      <color theme="1"/>
      <name val="Calibri"/>
      <family val="2"/>
      <scheme val="minor"/>
    </font>
    <font>
      <sz val="12"/>
      <name val="Tahoma"/>
      <family val="2"/>
    </font>
    <font>
      <sz val="11"/>
      <color rgb="FFFF0000"/>
      <name val="Calibri"/>
      <family val="2"/>
      <scheme val="minor"/>
    </font>
    <font>
      <sz val="11"/>
      <color theme="1"/>
      <name val="Times New Roman"/>
      <family val="1"/>
    </font>
    <font>
      <sz val="7"/>
      <color theme="1"/>
      <name val="Times New Roman"/>
      <family val="1"/>
    </font>
    <font>
      <b/>
      <sz val="11"/>
      <color rgb="FF00B050"/>
      <name val="Times New Roman"/>
      <family val="1"/>
    </font>
    <font>
      <b/>
      <sz val="11"/>
      <color rgb="FFFF0000"/>
      <name val="Calibri"/>
      <family val="2"/>
      <scheme val="minor"/>
    </font>
    <font>
      <sz val="12"/>
      <color theme="1"/>
      <name val="Calibri"/>
      <family val="2"/>
      <scheme val="minor"/>
    </font>
    <font>
      <b/>
      <sz val="12"/>
      <color theme="1"/>
      <name val="Calibri"/>
      <family val="2"/>
      <scheme val="minor"/>
    </font>
    <font>
      <b/>
      <u/>
      <sz val="14"/>
      <color theme="1"/>
      <name val="Calibri"/>
      <family val="2"/>
      <scheme val="minor"/>
    </font>
    <font>
      <sz val="10"/>
      <name val="Tahoma"/>
      <family val="2"/>
    </font>
    <font>
      <sz val="11"/>
      <color theme="1"/>
      <name val="Cambria"/>
      <family val="1"/>
      <scheme val="major"/>
    </font>
    <font>
      <sz val="12"/>
      <color theme="1"/>
      <name val="Cambria"/>
      <family val="1"/>
      <scheme val="major"/>
    </font>
    <font>
      <b/>
      <sz val="16"/>
      <color theme="1"/>
      <name val="Candara"/>
      <family val="2"/>
    </font>
    <font>
      <sz val="11"/>
      <color rgb="FFFF0000"/>
      <name val="Cambria"/>
      <family val="1"/>
      <scheme val="major"/>
    </font>
    <font>
      <sz val="11"/>
      <color rgb="FF00B050"/>
      <name val="Cambria"/>
      <family val="1"/>
      <scheme val="major"/>
    </font>
    <font>
      <sz val="11"/>
      <name val="Cambria"/>
      <family val="1"/>
      <scheme val="major"/>
    </font>
    <font>
      <b/>
      <u/>
      <sz val="11"/>
      <color theme="1"/>
      <name val="Cambria"/>
      <family val="1"/>
      <scheme val="major"/>
    </font>
    <font>
      <b/>
      <sz val="11"/>
      <name val="Cambria"/>
      <family val="1"/>
      <scheme val="major"/>
    </font>
    <font>
      <b/>
      <sz val="12"/>
      <color rgb="FF00B050"/>
      <name val="Cambria"/>
      <family val="1"/>
      <scheme val="major"/>
    </font>
    <font>
      <sz val="12"/>
      <color rgb="FF00B050"/>
      <name val="Cambria"/>
      <family val="1"/>
      <scheme val="major"/>
    </font>
    <font>
      <b/>
      <sz val="12"/>
      <name val="Cambria"/>
      <family val="1"/>
      <scheme val="major"/>
    </font>
    <font>
      <b/>
      <sz val="12"/>
      <color theme="1"/>
      <name val="Cambria"/>
      <family val="1"/>
      <scheme val="major"/>
    </font>
    <font>
      <sz val="12"/>
      <name val="Cambria"/>
      <family val="1"/>
      <scheme val="major"/>
    </font>
    <font>
      <b/>
      <u val="doubleAccounting"/>
      <sz val="11"/>
      <name val="Cambria"/>
      <family val="1"/>
      <scheme val="major"/>
    </font>
    <font>
      <b/>
      <sz val="11"/>
      <color theme="1"/>
      <name val="Cambria"/>
      <family val="1"/>
      <scheme val="major"/>
    </font>
    <font>
      <b/>
      <sz val="14"/>
      <name val="Cambria"/>
      <family val="1"/>
      <scheme val="major"/>
    </font>
    <font>
      <b/>
      <sz val="14"/>
      <color theme="1"/>
      <name val="Cambria"/>
      <family val="1"/>
      <scheme val="major"/>
    </font>
    <font>
      <b/>
      <sz val="16"/>
      <color theme="1"/>
      <name val="Cambria"/>
      <family val="1"/>
      <scheme val="major"/>
    </font>
    <font>
      <sz val="11"/>
      <color theme="0"/>
      <name val="Cambria"/>
      <family val="1"/>
      <scheme val="major"/>
    </font>
    <font>
      <b/>
      <sz val="11"/>
      <color theme="0"/>
      <name val="Cambria"/>
      <family val="1"/>
      <scheme val="major"/>
    </font>
    <font>
      <b/>
      <sz val="12"/>
      <color rgb="FF00FF00"/>
      <name val="Cambria"/>
      <family val="1"/>
      <scheme val="major"/>
    </font>
    <font>
      <sz val="11"/>
      <color rgb="FF00B0F0"/>
      <name val="Cambria"/>
      <family val="1"/>
      <scheme val="major"/>
    </font>
    <font>
      <b/>
      <sz val="11"/>
      <color rgb="FF00B0F0"/>
      <name val="Cambria"/>
      <family val="1"/>
      <scheme val="major"/>
    </font>
    <font>
      <i/>
      <sz val="11"/>
      <color theme="1"/>
      <name val="Cambria"/>
      <family val="1"/>
      <scheme val="major"/>
    </font>
    <font>
      <b/>
      <i/>
      <sz val="11"/>
      <name val="Cambria"/>
      <family val="1"/>
      <scheme val="major"/>
    </font>
    <font>
      <b/>
      <i/>
      <sz val="11"/>
      <color theme="1"/>
      <name val="Cambria"/>
      <family val="1"/>
      <scheme val="major"/>
    </font>
    <font>
      <b/>
      <sz val="18"/>
      <color theme="1"/>
      <name val="Cambria"/>
      <family val="1"/>
      <scheme val="major"/>
    </font>
    <font>
      <sz val="11"/>
      <color rgb="FF0070C0"/>
      <name val="Cambria"/>
      <family val="1"/>
      <scheme val="major"/>
    </font>
    <font>
      <b/>
      <sz val="11"/>
      <color rgb="FF00B050"/>
      <name val="Cambria"/>
      <family val="1"/>
      <scheme val="major"/>
    </font>
    <font>
      <b/>
      <sz val="11"/>
      <color rgb="FFFF0000"/>
      <name val="Cambria"/>
      <family val="1"/>
      <scheme val="major"/>
    </font>
    <font>
      <b/>
      <sz val="11"/>
      <color rgb="FFFF5050"/>
      <name val="Cambria"/>
      <family val="1"/>
      <scheme val="major"/>
    </font>
    <font>
      <sz val="11"/>
      <color rgb="FFFF5050"/>
      <name val="Cambria"/>
      <family val="1"/>
      <scheme val="major"/>
    </font>
    <font>
      <sz val="24"/>
      <color theme="1"/>
      <name val="Cambria"/>
      <family val="1"/>
      <scheme val="major"/>
    </font>
    <font>
      <sz val="16"/>
      <color theme="1"/>
      <name val="Cambria"/>
      <family val="1"/>
      <scheme val="major"/>
    </font>
    <font>
      <b/>
      <shadow/>
      <sz val="11"/>
      <name val="Cambria"/>
      <family val="1"/>
      <scheme val="major"/>
    </font>
    <font>
      <b/>
      <sz val="11"/>
      <color rgb="FF33CC33"/>
      <name val="Cambria"/>
      <family val="1"/>
      <scheme val="major"/>
    </font>
    <font>
      <b/>
      <sz val="16"/>
      <name val="Cambria"/>
      <family val="1"/>
      <scheme val="major"/>
    </font>
    <font>
      <shadow/>
      <sz val="11"/>
      <name val="Cambria"/>
      <family val="1"/>
      <scheme val="major"/>
    </font>
    <font>
      <sz val="11"/>
      <color rgb="FF33CC33"/>
      <name val="Cambria"/>
      <family val="1"/>
      <scheme val="major"/>
    </font>
    <font>
      <b/>
      <sz val="24"/>
      <name val="Cambria"/>
      <family val="1"/>
      <scheme val="major"/>
    </font>
    <font>
      <b/>
      <sz val="24"/>
      <color theme="1"/>
      <name val="Cambria"/>
      <family val="1"/>
      <scheme val="major"/>
    </font>
    <font>
      <sz val="11"/>
      <name val="Calibri"/>
      <family val="2"/>
      <scheme val="minor"/>
    </font>
    <font>
      <b/>
      <sz val="13"/>
      <color theme="3"/>
      <name val="Calibri"/>
      <family val="2"/>
      <scheme val="minor"/>
    </font>
    <font>
      <sz val="16"/>
      <color theme="1"/>
      <name val="Impact"/>
      <family val="2"/>
    </font>
    <font>
      <sz val="18"/>
      <color theme="1"/>
      <name val="Impact"/>
      <family val="2"/>
    </font>
    <font>
      <sz val="11"/>
      <color theme="1" tint="4.9989318521683403E-2"/>
      <name val="Cambria"/>
      <family val="1"/>
      <scheme val="major"/>
    </font>
    <font>
      <b/>
      <i/>
      <sz val="11"/>
      <color theme="1" tint="4.9989318521683403E-2"/>
      <name val="Cambria"/>
      <family val="1"/>
      <scheme val="major"/>
    </font>
    <font>
      <sz val="10"/>
      <color theme="1"/>
      <name val="Cambria"/>
      <family val="1"/>
      <scheme val="major"/>
    </font>
    <font>
      <sz val="10"/>
      <color theme="1" tint="4.9989318521683403E-2"/>
      <name val="Cambria"/>
      <family val="1"/>
      <scheme val="major"/>
    </font>
    <font>
      <sz val="14"/>
      <name val="Cambria"/>
      <family val="1"/>
      <scheme val="major"/>
    </font>
    <font>
      <shadow/>
      <sz val="18"/>
      <color rgb="FFFF0000"/>
      <name val="Cambria"/>
      <family val="1"/>
      <scheme val="major"/>
    </font>
    <font>
      <sz val="11"/>
      <color rgb="FF00CC66"/>
      <name val="Cambria"/>
      <family val="1"/>
      <scheme val="major"/>
    </font>
    <font>
      <sz val="10"/>
      <name val="Cambria"/>
      <family val="1"/>
      <scheme val="major"/>
    </font>
    <font>
      <b/>
      <sz val="36"/>
      <color rgb="FF4472C4"/>
      <name val="Calibri Light"/>
      <family val="2"/>
    </font>
    <font>
      <sz val="14"/>
      <color theme="1"/>
      <name val="Cambria"/>
      <family val="1"/>
      <scheme val="major"/>
    </font>
    <font>
      <b/>
      <sz val="35"/>
      <color rgb="FF4472C4"/>
      <name val="Calibri Light"/>
      <family val="2"/>
    </font>
    <font>
      <b/>
      <u val="doubleAccounting"/>
      <sz val="12"/>
      <name val="Cambria"/>
      <family val="1"/>
      <scheme val="major"/>
    </font>
    <font>
      <i/>
      <sz val="12"/>
      <color rgb="FFFF0000"/>
      <name val="Tahoma"/>
      <family val="2"/>
    </font>
    <font>
      <i/>
      <sz val="14"/>
      <color rgb="FFFF0000"/>
      <name val="Tahoma"/>
      <family val="2"/>
    </font>
    <font>
      <u/>
      <sz val="11"/>
      <color rgb="FF00B0F0"/>
      <name val="Cambria"/>
      <family val="1"/>
      <scheme val="major"/>
    </font>
    <font>
      <sz val="11"/>
      <color theme="0" tint="-0.249977111117893"/>
      <name val="Cambria"/>
      <family val="1"/>
      <scheme val="major"/>
    </font>
    <font>
      <sz val="11"/>
      <color theme="0" tint="-0.249977111117893"/>
      <name val="Calibri"/>
      <family val="2"/>
      <scheme val="minor"/>
    </font>
    <font>
      <sz val="12"/>
      <color theme="0" tint="-0.249977111117893"/>
      <name val="Cambria"/>
      <family val="1"/>
      <scheme val="major"/>
    </font>
    <font>
      <b/>
      <sz val="11"/>
      <color theme="0" tint="-0.249977111117893"/>
      <name val="Calibri"/>
      <family val="2"/>
      <scheme val="minor"/>
    </font>
    <font>
      <b/>
      <sz val="11"/>
      <color theme="0" tint="-0.249977111117893"/>
      <name val="Cambria"/>
      <family val="1"/>
      <scheme val="major"/>
    </font>
    <font>
      <sz val="11"/>
      <color theme="0" tint="-0.14999847407452621"/>
      <name val="Calibri"/>
      <family val="2"/>
      <scheme val="minor"/>
    </font>
    <font>
      <sz val="9"/>
      <color indexed="81"/>
      <name val="Tahoma"/>
      <family val="2"/>
    </font>
    <font>
      <b/>
      <sz val="9"/>
      <color indexed="81"/>
      <name val="Tahoma"/>
      <family val="2"/>
    </font>
    <font>
      <sz val="10"/>
      <color rgb="FF00B050"/>
      <name val="Cambria"/>
      <family val="1"/>
      <scheme val="major"/>
    </font>
    <font>
      <b/>
      <shadow/>
      <sz val="18"/>
      <name val="Cambria"/>
      <family val="1"/>
      <scheme val="major"/>
    </font>
    <font>
      <sz val="11"/>
      <color theme="0" tint="-0.34998626667073579"/>
      <name val="Calibri"/>
      <family val="2"/>
      <scheme val="minor"/>
    </font>
    <font>
      <sz val="11"/>
      <color theme="0" tint="-0.34998626667073579"/>
      <name val="Cambria"/>
      <family val="1"/>
      <scheme val="major"/>
    </font>
    <font>
      <u/>
      <sz val="11"/>
      <color theme="10"/>
      <name val="Calibri"/>
      <family val="2"/>
    </font>
    <font>
      <u/>
      <sz val="14"/>
      <color rgb="FF3366FF"/>
      <name val="Cambria"/>
      <family val="1"/>
      <scheme val="major"/>
    </font>
    <font>
      <sz val="10"/>
      <color theme="1"/>
      <name val="Times New Roman"/>
      <family val="1"/>
    </font>
    <font>
      <sz val="32"/>
      <color rgb="FF8496B0"/>
      <name val="Cambria"/>
      <family val="1"/>
      <scheme val="major"/>
    </font>
    <font>
      <sz val="26"/>
      <color rgb="FF0070C0"/>
      <name val="Cambria"/>
      <family val="1"/>
      <scheme val="major"/>
    </font>
    <font>
      <b/>
      <sz val="10"/>
      <color theme="1"/>
      <name val="Times New Roman"/>
      <family val="1"/>
    </font>
    <font>
      <b/>
      <sz val="16"/>
      <color theme="0"/>
      <name val="Calibri"/>
      <family val="2"/>
      <scheme val="minor"/>
    </font>
  </fonts>
  <fills count="2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rgb="FF33CC33"/>
        <bgColor indexed="64"/>
      </patternFill>
    </fill>
    <fill>
      <patternFill patternType="solid">
        <fgColor rgb="FF00CC66"/>
        <bgColor indexed="64"/>
      </patternFill>
    </fill>
    <fill>
      <patternFill patternType="solid">
        <fgColor theme="0" tint="-0.249977111117893"/>
        <bgColor indexed="64"/>
      </patternFill>
    </fill>
    <fill>
      <patternFill patternType="solid">
        <fgColor rgb="FF00B0F0"/>
        <bgColor indexed="64"/>
      </patternFill>
    </fill>
    <fill>
      <patternFill patternType="solid">
        <fgColor rgb="FFFF5050"/>
        <bgColor indexed="64"/>
      </patternFill>
    </fill>
    <fill>
      <patternFill patternType="solid">
        <fgColor theme="0" tint="-0.14999847407452621"/>
        <bgColor indexed="64"/>
      </patternFill>
    </fill>
    <fill>
      <patternFill patternType="solid">
        <fgColor rgb="FFFF9900"/>
        <bgColor indexed="64"/>
      </patternFill>
    </fill>
    <fill>
      <patternFill patternType="solid">
        <fgColor theme="3" tint="0.79998168889431442"/>
        <bgColor indexed="64"/>
      </patternFill>
    </fill>
    <fill>
      <patternFill patternType="solid">
        <fgColor theme="2"/>
        <bgColor indexed="64"/>
      </patternFill>
    </fill>
    <fill>
      <patternFill patternType="solid">
        <fgColor theme="0"/>
        <bgColor theme="7" tint="0.79998168889431442"/>
      </patternFill>
    </fill>
    <fill>
      <patternFill patternType="solid">
        <fgColor theme="3" tint="0.59999389629810485"/>
        <bgColor indexed="64"/>
      </patternFill>
    </fill>
    <fill>
      <patternFill patternType="solid">
        <fgColor theme="1"/>
        <bgColor indexed="64"/>
      </patternFill>
    </fill>
    <fill>
      <patternFill patternType="solid">
        <fgColor rgb="FF92D05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1" tint="0.14999847407452621"/>
        <bgColor indexed="64"/>
      </patternFill>
    </fill>
    <fill>
      <patternFill patternType="solid">
        <fgColor theme="1" tint="0.249977111117893"/>
        <bgColor indexed="64"/>
      </patternFill>
    </fill>
    <fill>
      <patternFill patternType="solid">
        <fgColor rgb="FFFFFFFF"/>
        <bgColor indexed="64"/>
      </patternFill>
    </fill>
  </fills>
  <borders count="16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right style="thin">
        <color indexed="64"/>
      </right>
      <top/>
      <bottom/>
      <diagonal/>
    </border>
    <border>
      <left style="thin">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hair">
        <color indexed="64"/>
      </left>
      <right/>
      <top style="hair">
        <color indexed="64"/>
      </top>
      <bottom style="dashDot">
        <color indexed="64"/>
      </bottom>
      <diagonal/>
    </border>
    <border>
      <left style="hair">
        <color indexed="64"/>
      </left>
      <right/>
      <top style="dashDot">
        <color indexed="64"/>
      </top>
      <bottom style="hair">
        <color indexed="64"/>
      </bottom>
      <diagonal/>
    </border>
    <border>
      <left style="dashDot">
        <color indexed="64"/>
      </left>
      <right style="hair">
        <color indexed="64"/>
      </right>
      <top style="dashDot">
        <color indexed="64"/>
      </top>
      <bottom style="hair">
        <color indexed="64"/>
      </bottom>
      <diagonal/>
    </border>
    <border>
      <left/>
      <right style="dashDot">
        <color indexed="64"/>
      </right>
      <top style="dashDot">
        <color indexed="64"/>
      </top>
      <bottom style="hair">
        <color indexed="64"/>
      </bottom>
      <diagonal/>
    </border>
    <border>
      <left style="dashDot">
        <color indexed="64"/>
      </left>
      <right style="hair">
        <color indexed="64"/>
      </right>
      <top style="hair">
        <color indexed="64"/>
      </top>
      <bottom style="hair">
        <color indexed="64"/>
      </bottom>
      <diagonal/>
    </border>
    <border>
      <left/>
      <right style="dashDot">
        <color indexed="64"/>
      </right>
      <top style="hair">
        <color indexed="64"/>
      </top>
      <bottom style="hair">
        <color indexed="64"/>
      </bottom>
      <diagonal/>
    </border>
    <border>
      <left style="dashDot">
        <color indexed="64"/>
      </left>
      <right style="hair">
        <color indexed="64"/>
      </right>
      <top style="hair">
        <color indexed="64"/>
      </top>
      <bottom style="dashDot">
        <color indexed="64"/>
      </bottom>
      <diagonal/>
    </border>
    <border>
      <left/>
      <right style="dashDot">
        <color indexed="64"/>
      </right>
      <top style="hair">
        <color indexed="64"/>
      </top>
      <bottom style="dashDot">
        <color indexed="64"/>
      </bottom>
      <diagonal/>
    </border>
    <border>
      <left/>
      <right/>
      <top/>
      <bottom style="dashDot">
        <color indexed="64"/>
      </bottom>
      <diagonal/>
    </border>
    <border>
      <left/>
      <right/>
      <top style="dashDot">
        <color indexed="64"/>
      </top>
      <bottom/>
      <diagonal/>
    </border>
    <border>
      <left style="dashDot">
        <color indexed="64"/>
      </left>
      <right style="hair">
        <color indexed="64"/>
      </right>
      <top/>
      <bottom style="dashDot">
        <color indexed="64"/>
      </bottom>
      <diagonal/>
    </border>
    <border>
      <left style="medium">
        <color indexed="64"/>
      </left>
      <right style="thin">
        <color indexed="64"/>
      </right>
      <top/>
      <bottom style="medium">
        <color indexed="64"/>
      </bottom>
      <diagonal/>
    </border>
    <border>
      <left/>
      <right/>
      <top/>
      <bottom style="thick">
        <color theme="4" tint="0.499984740745262"/>
      </bottom>
      <diagonal/>
    </border>
    <border>
      <left/>
      <right/>
      <top/>
      <bottom style="mediumDashed">
        <color rgb="FFFF0000"/>
      </bottom>
      <diagonal/>
    </border>
    <border>
      <left/>
      <right/>
      <top style="dashed">
        <color rgb="FF00B0F0"/>
      </top>
      <bottom style="dashed">
        <color rgb="FF00B0F0"/>
      </bottom>
      <diagonal/>
    </border>
    <border>
      <left/>
      <right style="dashed">
        <color rgb="FF00B0F0"/>
      </right>
      <top style="dashed">
        <color rgb="FF00B0F0"/>
      </top>
      <bottom style="dashed">
        <color rgb="FF00B0F0"/>
      </bottom>
      <diagonal/>
    </border>
    <border>
      <left style="dashed">
        <color rgb="FF00B0F0"/>
      </left>
      <right style="dashed">
        <color rgb="FF00B0F0"/>
      </right>
      <top style="dashed">
        <color rgb="FF00B0F0"/>
      </top>
      <bottom style="dashed">
        <color rgb="FF00B0F0"/>
      </bottom>
      <diagonal/>
    </border>
    <border>
      <left/>
      <right/>
      <top style="mediumDashed">
        <color rgb="FFFF0000"/>
      </top>
      <bottom style="mediumDashed">
        <color rgb="FFFF0000"/>
      </bottom>
      <diagonal/>
    </border>
    <border>
      <left/>
      <right style="dashed">
        <color rgb="FF00B0F0"/>
      </right>
      <top/>
      <bottom style="dashed">
        <color rgb="FF00B0F0"/>
      </bottom>
      <diagonal/>
    </border>
    <border>
      <left style="dashed">
        <color rgb="FF00B0F0"/>
      </left>
      <right style="dashed">
        <color rgb="FF00B0F0"/>
      </right>
      <top/>
      <bottom style="dashed">
        <color rgb="FF00B0F0"/>
      </bottom>
      <diagonal/>
    </border>
    <border>
      <left style="dashed">
        <color rgb="FF00B0F0"/>
      </left>
      <right/>
      <top/>
      <bottom style="dashed">
        <color rgb="FF00B0F0"/>
      </bottom>
      <diagonal/>
    </border>
    <border>
      <left/>
      <right style="dashed">
        <color rgb="FF00B0F0"/>
      </right>
      <top style="dashed">
        <color rgb="FF00B0F0"/>
      </top>
      <bottom/>
      <diagonal/>
    </border>
    <border>
      <left style="dashed">
        <color rgb="FF00B0F0"/>
      </left>
      <right style="dashed">
        <color rgb="FF00B0F0"/>
      </right>
      <top style="dashed">
        <color rgb="FF00B0F0"/>
      </top>
      <bottom/>
      <diagonal/>
    </border>
    <border>
      <left/>
      <right/>
      <top style="dotted">
        <color rgb="FF00B0F0"/>
      </top>
      <bottom/>
      <diagonal/>
    </border>
    <border>
      <left/>
      <right style="dotted">
        <color rgb="FF00B0F0"/>
      </right>
      <top style="dotted">
        <color rgb="FF00B0F0"/>
      </top>
      <bottom/>
      <diagonal/>
    </border>
    <border>
      <left style="dotted">
        <color rgb="FF00B0F0"/>
      </left>
      <right style="dotted">
        <color rgb="FF00B0F0"/>
      </right>
      <top style="dotted">
        <color rgb="FF00B0F0"/>
      </top>
      <bottom/>
      <diagonal/>
    </border>
    <border>
      <left style="dotted">
        <color rgb="FF00B0F0"/>
      </left>
      <right/>
      <top style="dotted">
        <color rgb="FF00B0F0"/>
      </top>
      <bottom/>
      <diagonal/>
    </border>
    <border>
      <left/>
      <right style="dotted">
        <color rgb="FF00B0F0"/>
      </right>
      <top style="dotted">
        <color rgb="FF00B0F0"/>
      </top>
      <bottom style="mediumDashed">
        <color rgb="FFFF0000"/>
      </bottom>
      <diagonal/>
    </border>
    <border>
      <left style="dotted">
        <color rgb="FF00B0F0"/>
      </left>
      <right style="dotted">
        <color rgb="FF00B0F0"/>
      </right>
      <top style="dotted">
        <color rgb="FF00B0F0"/>
      </top>
      <bottom style="mediumDashed">
        <color rgb="FFFF0000"/>
      </bottom>
      <diagonal/>
    </border>
    <border>
      <left style="dotted">
        <color rgb="FF00B0F0"/>
      </left>
      <right/>
      <top style="dotted">
        <color rgb="FF00B0F0"/>
      </top>
      <bottom style="mediumDashed">
        <color rgb="FFFF0000"/>
      </bottom>
      <diagonal/>
    </border>
    <border>
      <left/>
      <right/>
      <top style="dashDot">
        <color rgb="FF00B0F0"/>
      </top>
      <bottom style="dashDot">
        <color rgb="FF00B0F0"/>
      </bottom>
      <diagonal/>
    </border>
    <border>
      <left style="dotted">
        <color rgb="FF00B0F0"/>
      </left>
      <right style="dotted">
        <color rgb="FF00B0F0"/>
      </right>
      <top style="mediumDashed">
        <color rgb="FFFF0000"/>
      </top>
      <bottom style="dotted">
        <color rgb="FF00B0F0"/>
      </bottom>
      <diagonal/>
    </border>
    <border>
      <left style="dotted">
        <color rgb="FF00B0F0"/>
      </left>
      <right style="dotted">
        <color rgb="FF00B0F0"/>
      </right>
      <top style="dotted">
        <color rgb="FF00B0F0"/>
      </top>
      <bottom style="dotted">
        <color rgb="FF00B0F0"/>
      </bottom>
      <diagonal/>
    </border>
    <border>
      <left style="dotted">
        <color rgb="FF00B0F0"/>
      </left>
      <right/>
      <top style="mediumDashed">
        <color rgb="FFFF0000"/>
      </top>
      <bottom/>
      <diagonal/>
    </border>
    <border>
      <left/>
      <right/>
      <top style="mediumDashed">
        <color rgb="FFFF0000"/>
      </top>
      <bottom/>
      <diagonal/>
    </border>
    <border>
      <left style="dotted">
        <color rgb="FF00B0F0"/>
      </left>
      <right/>
      <top/>
      <bottom/>
      <diagonal/>
    </border>
    <border>
      <left style="dotted">
        <color rgb="FF00B0F0"/>
      </left>
      <right/>
      <top/>
      <bottom style="dotted">
        <color rgb="FF00B0F0"/>
      </bottom>
      <diagonal/>
    </border>
    <border>
      <left/>
      <right/>
      <top/>
      <bottom style="dotted">
        <color rgb="FF00B0F0"/>
      </bottom>
      <diagonal/>
    </border>
    <border>
      <left/>
      <right/>
      <top style="mediumDashed">
        <color rgb="FFFF0000"/>
      </top>
      <bottom style="mediumDashed">
        <color rgb="FF00B0F0"/>
      </bottom>
      <diagonal/>
    </border>
    <border>
      <left style="thin">
        <color indexed="64"/>
      </left>
      <right style="dotted">
        <color rgb="FF00B0F0"/>
      </right>
      <top style="mediumDashed">
        <color rgb="FF00B0F0"/>
      </top>
      <bottom style="dotted">
        <color rgb="FF00B0F0"/>
      </bottom>
      <diagonal/>
    </border>
    <border>
      <left style="dotted">
        <color rgb="FF00B0F0"/>
      </left>
      <right style="dotted">
        <color rgb="FF00B0F0"/>
      </right>
      <top style="mediumDashed">
        <color rgb="FF00B0F0"/>
      </top>
      <bottom style="dotted">
        <color rgb="FF00B0F0"/>
      </bottom>
      <diagonal/>
    </border>
    <border>
      <left style="thin">
        <color indexed="64"/>
      </left>
      <right style="dotted">
        <color rgb="FF00B0F0"/>
      </right>
      <top style="dotted">
        <color rgb="FF00B0F0"/>
      </top>
      <bottom style="dotted">
        <color rgb="FF00B0F0"/>
      </bottom>
      <diagonal/>
    </border>
    <border>
      <left style="dotted">
        <color rgb="FF00B0F0"/>
      </left>
      <right style="thin">
        <color indexed="64"/>
      </right>
      <top style="dotted">
        <color rgb="FF00B0F0"/>
      </top>
      <bottom style="dotted">
        <color rgb="FF00B0F0"/>
      </bottom>
      <diagonal/>
    </border>
    <border>
      <left/>
      <right style="dotted">
        <color rgb="FF00B0F0"/>
      </right>
      <top style="dotted">
        <color rgb="FF00B0F0"/>
      </top>
      <bottom style="dotted">
        <color rgb="FF00B0F0"/>
      </bottom>
      <diagonal/>
    </border>
    <border>
      <left style="dotted">
        <color rgb="FF00B0F0"/>
      </left>
      <right/>
      <top style="dotted">
        <color rgb="FF00B0F0"/>
      </top>
      <bottom style="dotted">
        <color rgb="FF00B0F0"/>
      </bottom>
      <diagonal/>
    </border>
    <border>
      <left/>
      <right style="dotted">
        <color rgb="FF00B0F0"/>
      </right>
      <top style="mediumDashed">
        <color rgb="FFFF0000"/>
      </top>
      <bottom style="dotted">
        <color rgb="FF00B0F0"/>
      </bottom>
      <diagonal/>
    </border>
    <border>
      <left style="dotted">
        <color rgb="FF00B0F0"/>
      </left>
      <right/>
      <top style="mediumDashed">
        <color rgb="FFFF0000"/>
      </top>
      <bottom style="dotted">
        <color rgb="FF00B0F0"/>
      </bottom>
      <diagonal/>
    </border>
    <border>
      <left/>
      <right style="dotted">
        <color rgb="FF00B0F0"/>
      </right>
      <top/>
      <bottom style="dotted">
        <color rgb="FF00B0F0"/>
      </bottom>
      <diagonal/>
    </border>
    <border>
      <left style="dotted">
        <color rgb="FF00B0F0"/>
      </left>
      <right style="dotted">
        <color rgb="FF00B0F0"/>
      </right>
      <top/>
      <bottom style="dotted">
        <color rgb="FF00B0F0"/>
      </bottom>
      <diagonal/>
    </border>
    <border>
      <left style="dotted">
        <color rgb="FF00B0F0"/>
      </left>
      <right style="thin">
        <color indexed="64"/>
      </right>
      <top/>
      <bottom style="dotted">
        <color rgb="FF00B0F0"/>
      </bottom>
      <diagonal/>
    </border>
    <border>
      <left/>
      <right/>
      <top style="dotted">
        <color rgb="FF00B0F0"/>
      </top>
      <bottom style="mediumDashed">
        <color rgb="FFFF5050"/>
      </bottom>
      <diagonal/>
    </border>
    <border>
      <left/>
      <right/>
      <top style="mediumDashed">
        <color rgb="FFFF0000"/>
      </top>
      <bottom style="dashDot">
        <color rgb="FF00B0F0"/>
      </bottom>
      <diagonal/>
    </border>
    <border>
      <left/>
      <right/>
      <top style="dashDot">
        <color rgb="FF00B0F0"/>
      </top>
      <bottom style="mediumDashed">
        <color rgb="FFFF0000"/>
      </bottom>
      <diagonal/>
    </border>
    <border>
      <left/>
      <right/>
      <top style="mediumDashDot">
        <color rgb="FFFF0000"/>
      </top>
      <bottom style="mediumDashDot">
        <color rgb="FFFF0000"/>
      </bottom>
      <diagonal/>
    </border>
    <border>
      <left/>
      <right style="dotted">
        <color rgb="FFFF5050"/>
      </right>
      <top style="mediumDashDot">
        <color rgb="FFFF0000"/>
      </top>
      <bottom style="dotted">
        <color rgb="FFFF5050"/>
      </bottom>
      <diagonal/>
    </border>
    <border>
      <left style="dotted">
        <color rgb="FFFF5050"/>
      </left>
      <right style="dotted">
        <color rgb="FFFF5050"/>
      </right>
      <top style="mediumDashDot">
        <color rgb="FFFF0000"/>
      </top>
      <bottom style="dotted">
        <color rgb="FFFF5050"/>
      </bottom>
      <diagonal/>
    </border>
    <border>
      <left style="dotted">
        <color rgb="FFFF5050"/>
      </left>
      <right/>
      <top style="mediumDashDot">
        <color rgb="FFFF0000"/>
      </top>
      <bottom style="dotted">
        <color rgb="FFFF5050"/>
      </bottom>
      <diagonal/>
    </border>
    <border>
      <left/>
      <right style="dotted">
        <color rgb="FFFF5050"/>
      </right>
      <top style="dotted">
        <color rgb="FFFF5050"/>
      </top>
      <bottom style="dotted">
        <color rgb="FFFF5050"/>
      </bottom>
      <diagonal/>
    </border>
    <border>
      <left style="dotted">
        <color rgb="FFFF5050"/>
      </left>
      <right style="dotted">
        <color rgb="FFFF5050"/>
      </right>
      <top style="dotted">
        <color rgb="FFFF5050"/>
      </top>
      <bottom style="dotted">
        <color rgb="FFFF5050"/>
      </bottom>
      <diagonal/>
    </border>
    <border>
      <left style="dotted">
        <color rgb="FFFF5050"/>
      </left>
      <right/>
      <top style="dotted">
        <color rgb="FFFF5050"/>
      </top>
      <bottom style="dotted">
        <color rgb="FFFF5050"/>
      </bottom>
      <diagonal/>
    </border>
    <border>
      <left/>
      <right style="dotted">
        <color rgb="FFFF5050"/>
      </right>
      <top style="dotted">
        <color rgb="FFFF5050"/>
      </top>
      <bottom/>
      <diagonal/>
    </border>
    <border>
      <left style="dotted">
        <color rgb="FFFF5050"/>
      </left>
      <right style="dotted">
        <color rgb="FFFF5050"/>
      </right>
      <top style="dotted">
        <color rgb="FFFF5050"/>
      </top>
      <bottom/>
      <diagonal/>
    </border>
    <border>
      <left style="dotted">
        <color rgb="FFFF5050"/>
      </left>
      <right/>
      <top style="dotted">
        <color rgb="FFFF5050"/>
      </top>
      <bottom/>
      <diagonal/>
    </border>
    <border>
      <left/>
      <right style="dotted">
        <color rgb="FF00B0F0"/>
      </right>
      <top style="dotted">
        <color rgb="FF00B0F0"/>
      </top>
      <bottom style="mediumDashDot">
        <color rgb="FFFF5050"/>
      </bottom>
      <diagonal/>
    </border>
    <border>
      <left style="dotted">
        <color rgb="FF00B0F0"/>
      </left>
      <right style="dotted">
        <color rgb="FF00B0F0"/>
      </right>
      <top style="dotted">
        <color rgb="FF00B0F0"/>
      </top>
      <bottom style="mediumDashDot">
        <color rgb="FFFF5050"/>
      </bottom>
      <diagonal/>
    </border>
    <border>
      <left/>
      <right style="thin">
        <color indexed="64"/>
      </right>
      <top style="mediumDashed">
        <color rgb="FFFF0000"/>
      </top>
      <bottom style="mediumDashed">
        <color rgb="FFFF0000"/>
      </bottom>
      <diagonal/>
    </border>
    <border>
      <left style="thin">
        <color indexed="64"/>
      </left>
      <right style="thin">
        <color indexed="64"/>
      </right>
      <top style="mediumDashed">
        <color rgb="FFFF0000"/>
      </top>
      <bottom style="mediumDashed">
        <color rgb="FFFF0000"/>
      </bottom>
      <diagonal/>
    </border>
    <border>
      <left style="thin">
        <color indexed="64"/>
      </left>
      <right/>
      <top style="mediumDashed">
        <color rgb="FFFF0000"/>
      </top>
      <bottom style="mediumDashed">
        <color rgb="FFFF0000"/>
      </bottom>
      <diagonal/>
    </border>
    <border>
      <left/>
      <right style="dotted">
        <color rgb="FF00B0F0"/>
      </right>
      <top style="dotted">
        <color rgb="FF00B0F0"/>
      </top>
      <bottom style="mediumDashed">
        <color rgb="FFFF5050"/>
      </bottom>
      <diagonal/>
    </border>
    <border>
      <left style="dotted">
        <color rgb="FF00B0F0"/>
      </left>
      <right style="dotted">
        <color rgb="FF00B0F0"/>
      </right>
      <top style="dotted">
        <color rgb="FF00B0F0"/>
      </top>
      <bottom style="mediumDashed">
        <color rgb="FFFF5050"/>
      </bottom>
      <diagonal/>
    </border>
    <border>
      <left style="dotted">
        <color rgb="FF00B0F0"/>
      </left>
      <right/>
      <top style="dotted">
        <color rgb="FF00B0F0"/>
      </top>
      <bottom style="mediumDashed">
        <color rgb="FFFF5050"/>
      </bottom>
      <diagonal/>
    </border>
    <border>
      <left/>
      <right/>
      <top style="mediumDashDot">
        <color rgb="FFFF5050"/>
      </top>
      <bottom style="mediumDashDot">
        <color rgb="FFFF5050"/>
      </bottom>
      <diagonal/>
    </border>
    <border>
      <left/>
      <right style="thin">
        <color indexed="64"/>
      </right>
      <top style="mediumDashDot">
        <color rgb="FFFF5050"/>
      </top>
      <bottom style="mediumDashDot">
        <color rgb="FFFF5050"/>
      </bottom>
      <diagonal/>
    </border>
    <border>
      <left style="thin">
        <color indexed="64"/>
      </left>
      <right style="thin">
        <color indexed="64"/>
      </right>
      <top style="mediumDashDot">
        <color rgb="FFFF5050"/>
      </top>
      <bottom style="mediumDashDot">
        <color rgb="FFFF5050"/>
      </bottom>
      <diagonal/>
    </border>
    <border>
      <left style="thin">
        <color indexed="64"/>
      </left>
      <right/>
      <top style="mediumDashDot">
        <color rgb="FFFF5050"/>
      </top>
      <bottom style="mediumDashDot">
        <color rgb="FFFF5050"/>
      </bottom>
      <diagonal/>
    </border>
    <border>
      <left/>
      <right style="dotted">
        <color rgb="FF00B0F0"/>
      </right>
      <top style="mediumDashDot">
        <color rgb="FFFF0000"/>
      </top>
      <bottom style="dotted">
        <color rgb="FF00B0F0"/>
      </bottom>
      <diagonal/>
    </border>
    <border>
      <left style="dotted">
        <color rgb="FF00B0F0"/>
      </left>
      <right style="dotted">
        <color rgb="FF00B0F0"/>
      </right>
      <top style="mediumDashDot">
        <color rgb="FFFF0000"/>
      </top>
      <bottom style="dotted">
        <color rgb="FF00B0F0"/>
      </bottom>
      <diagonal/>
    </border>
    <border>
      <left style="dotted">
        <color rgb="FF00B0F0"/>
      </left>
      <right/>
      <top style="mediumDashDot">
        <color rgb="FFFF0000"/>
      </top>
      <bottom style="dotted">
        <color rgb="FF00B0F0"/>
      </bottom>
      <diagonal/>
    </border>
    <border>
      <left/>
      <right/>
      <top style="mediumDashed">
        <color rgb="FFFF5050"/>
      </top>
      <bottom style="mediumDashed">
        <color rgb="FFFF5050"/>
      </bottom>
      <diagonal/>
    </border>
    <border>
      <left/>
      <right style="dotted">
        <color rgb="FF00B0F0"/>
      </right>
      <top style="mediumDashed">
        <color rgb="FFFF5050"/>
      </top>
      <bottom style="mediumDashed">
        <color rgb="FFFF5050"/>
      </bottom>
      <diagonal/>
    </border>
    <border>
      <left style="dotted">
        <color rgb="FF00B0F0"/>
      </left>
      <right style="dotted">
        <color rgb="FF00B0F0"/>
      </right>
      <top style="mediumDashed">
        <color rgb="FFFF5050"/>
      </top>
      <bottom style="mediumDashed">
        <color rgb="FFFF5050"/>
      </bottom>
      <diagonal/>
    </border>
    <border>
      <left style="dotted">
        <color rgb="FF00B0F0"/>
      </left>
      <right/>
      <top style="mediumDashed">
        <color rgb="FFFF5050"/>
      </top>
      <bottom style="mediumDashed">
        <color rgb="FFFF505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dotted">
        <color rgb="FF00B0F0"/>
      </right>
      <top style="mediumDashed">
        <color rgb="FFFF0000"/>
      </top>
      <bottom style="dotted">
        <color rgb="FF00B0F0"/>
      </bottom>
      <diagonal/>
    </border>
    <border>
      <left style="dotted">
        <color rgb="FF00B0F0"/>
      </left>
      <right style="thin">
        <color indexed="64"/>
      </right>
      <top style="mediumDashed">
        <color rgb="FFFF0000"/>
      </top>
      <bottom style="dotted">
        <color rgb="FF00B0F0"/>
      </bottom>
      <diagonal/>
    </border>
    <border>
      <left/>
      <right style="dotted">
        <color rgb="FF00B0F0"/>
      </right>
      <top style="dotted">
        <color rgb="FF00B0F0"/>
      </top>
      <bottom style="mediumDashDot">
        <color rgb="FFFF0000"/>
      </bottom>
      <diagonal/>
    </border>
    <border>
      <left style="dotted">
        <color rgb="FF00B0F0"/>
      </left>
      <right style="dotted">
        <color rgb="FF00B0F0"/>
      </right>
      <top style="dotted">
        <color rgb="FF00B0F0"/>
      </top>
      <bottom style="mediumDashDot">
        <color rgb="FFFF0000"/>
      </bottom>
      <diagonal/>
    </border>
    <border>
      <left style="dotted">
        <color rgb="FF00B0F0"/>
      </left>
      <right/>
      <top style="dotted">
        <color rgb="FF00B0F0"/>
      </top>
      <bottom style="mediumDashDot">
        <color rgb="FFFF0000"/>
      </bottom>
      <diagonal/>
    </border>
    <border>
      <left/>
      <right/>
      <top style="dashDotDot">
        <color rgb="FFFF0000"/>
      </top>
      <bottom style="dashed">
        <color rgb="FF00B0F0"/>
      </bottom>
      <diagonal/>
    </border>
    <border>
      <left/>
      <right/>
      <top/>
      <bottom style="dashDotDot">
        <color rgb="FFFF0000"/>
      </bottom>
      <diagonal/>
    </border>
    <border>
      <left/>
      <right/>
      <top style="dashDotDot">
        <color rgb="FFFF0000"/>
      </top>
      <bottom style="dashDotDot">
        <color rgb="FFFF0000"/>
      </bottom>
      <diagonal/>
    </border>
    <border>
      <left/>
      <right/>
      <top style="mediumDashDotDot">
        <color rgb="FF00B0F0"/>
      </top>
      <bottom style="mediumDashDotDot">
        <color rgb="FF00B0F0"/>
      </bottom>
      <diagonal/>
    </border>
    <border>
      <left/>
      <right/>
      <top style="mediumDashDotDot">
        <color rgb="FF00B0F0"/>
      </top>
      <bottom/>
      <diagonal/>
    </border>
    <border>
      <left/>
      <right/>
      <top/>
      <bottom style="mediumDashDotDot">
        <color rgb="FF00B0F0"/>
      </bottom>
      <diagonal/>
    </border>
    <border>
      <left style="dotted">
        <color rgb="FF00B0F0"/>
      </left>
      <right style="dotted">
        <color rgb="FF00B0F0"/>
      </right>
      <top/>
      <bottom/>
      <diagonal/>
    </border>
    <border>
      <left/>
      <right/>
      <top style="mediumDashed">
        <color rgb="FF00B0F0"/>
      </top>
      <bottom style="dotted">
        <color rgb="FF00B0F0"/>
      </bottom>
      <diagonal/>
    </border>
    <border>
      <left style="dotted">
        <color rgb="FF00B0F0"/>
      </left>
      <right/>
      <top style="mediumDashed">
        <color rgb="FF00B0F0"/>
      </top>
      <bottom style="dotted">
        <color rgb="FF00B0F0"/>
      </bottom>
      <diagonal/>
    </border>
    <border>
      <left/>
      <right style="dotted">
        <color rgb="FF00B0F0"/>
      </right>
      <top style="dotted">
        <color rgb="FF00B0F0"/>
      </top>
      <bottom style="dotted">
        <color rgb="FFFF0000"/>
      </bottom>
      <diagonal/>
    </border>
    <border>
      <left style="dotted">
        <color rgb="FF00B0F0"/>
      </left>
      <right style="dotted">
        <color rgb="FF00B0F0"/>
      </right>
      <top style="dotted">
        <color rgb="FF00B0F0"/>
      </top>
      <bottom style="dotted">
        <color rgb="FFFF0000"/>
      </bottom>
      <diagonal/>
    </border>
    <border>
      <left style="mediumDashed">
        <color rgb="FFFF0000"/>
      </left>
      <right style="mediumDashed">
        <color rgb="FFFF0000"/>
      </right>
      <top style="mediumDashed">
        <color rgb="FFFF0000"/>
      </top>
      <bottom style="mediumDashed">
        <color rgb="FF00B0F0"/>
      </bottom>
      <diagonal/>
    </border>
    <border>
      <left style="mediumDashed">
        <color rgb="FFFF0000"/>
      </left>
      <right/>
      <top style="mediumDashed">
        <color rgb="FFFF0000"/>
      </top>
      <bottom style="mediumDashed">
        <color rgb="FF00B0F0"/>
      </bottom>
      <diagonal/>
    </border>
    <border>
      <left style="dotted">
        <color rgb="FF00B0F0"/>
      </left>
      <right/>
      <top style="dotted">
        <color rgb="FF00B0F0"/>
      </top>
      <bottom style="mediumDashDot">
        <color rgb="FFFF5050"/>
      </bottom>
      <diagonal/>
    </border>
    <border>
      <left style="hair">
        <color rgb="FF00B0F0"/>
      </left>
      <right style="hair">
        <color rgb="FF00B0F0"/>
      </right>
      <top style="hair">
        <color rgb="FF00B0F0"/>
      </top>
      <bottom style="hair">
        <color rgb="FF00B0F0"/>
      </bottom>
      <diagonal/>
    </border>
    <border>
      <left style="dotted">
        <color rgb="FF00B0F0"/>
      </left>
      <right style="thin">
        <color indexed="64"/>
      </right>
      <top style="dotted">
        <color rgb="FF00B0F0"/>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right style="medium">
        <color indexed="64"/>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medium">
        <color rgb="FF000000"/>
      </left>
      <right style="medium">
        <color indexed="64"/>
      </right>
      <top/>
      <bottom/>
      <diagonal/>
    </border>
    <border>
      <left style="medium">
        <color indexed="64"/>
      </left>
      <right style="medium">
        <color indexed="64"/>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13" fillId="0" borderId="0"/>
    <xf numFmtId="0" fontId="56" fillId="0" borderId="51" applyNumberFormat="0" applyFill="0" applyAlignment="0" applyProtection="0"/>
    <xf numFmtId="0" fontId="86" fillId="0" borderId="0" applyNumberFormat="0" applyFill="0" applyBorder="0" applyAlignment="0" applyProtection="0">
      <alignment vertical="top"/>
      <protection locked="0"/>
    </xf>
  </cellStyleXfs>
  <cellXfs count="1133">
    <xf numFmtId="0" fontId="0" fillId="0" borderId="0" xfId="0"/>
    <xf numFmtId="0" fontId="0" fillId="0" borderId="0" xfId="0" applyAlignment="1">
      <alignment horizontal="center"/>
    </xf>
    <xf numFmtId="0" fontId="3" fillId="0" borderId="0" xfId="0" applyFont="1"/>
    <xf numFmtId="0" fontId="0" fillId="0" borderId="1" xfId="0" applyBorder="1"/>
    <xf numFmtId="0" fontId="0" fillId="0" borderId="1" xfId="0" applyBorder="1" applyAlignment="1">
      <alignment horizontal="center"/>
    </xf>
    <xf numFmtId="0" fontId="6" fillId="0" borderId="1" xfId="0" applyFont="1" applyBorder="1" applyAlignment="1">
      <alignment horizontal="left" vertical="center"/>
    </xf>
    <xf numFmtId="0" fontId="8" fillId="0" borderId="1" xfId="0" applyFont="1" applyBorder="1" applyAlignment="1">
      <alignment horizontal="left"/>
    </xf>
    <xf numFmtId="0" fontId="3" fillId="0" borderId="1" xfId="0" applyFont="1" applyBorder="1"/>
    <xf numFmtId="0" fontId="3" fillId="0" borderId="1" xfId="0" applyFont="1" applyBorder="1" applyAlignment="1">
      <alignment horizontal="center"/>
    </xf>
    <xf numFmtId="0" fontId="9" fillId="0" borderId="1" xfId="0" applyFont="1" applyBorder="1" applyAlignment="1">
      <alignment horizontal="center"/>
    </xf>
    <xf numFmtId="0" fontId="2" fillId="0" borderId="0" xfId="0" applyFont="1" applyAlignment="1">
      <alignment vertical="top"/>
    </xf>
    <xf numFmtId="0" fontId="2" fillId="0" borderId="0" xfId="0" applyFont="1"/>
    <xf numFmtId="0" fontId="4" fillId="0" borderId="0" xfId="0" applyFont="1"/>
    <xf numFmtId="0" fontId="5" fillId="0" borderId="0" xfId="0" applyFont="1"/>
    <xf numFmtId="0" fontId="10" fillId="0" borderId="0" xfId="0" applyFont="1" applyAlignment="1">
      <alignment horizontal="center" vertical="top"/>
    </xf>
    <xf numFmtId="0" fontId="10" fillId="0" borderId="0" xfId="0" applyFont="1"/>
    <xf numFmtId="0" fontId="11" fillId="0" borderId="6" xfId="0" applyFont="1" applyBorder="1" applyAlignment="1">
      <alignment horizontal="center" vertical="top"/>
    </xf>
    <xf numFmtId="0" fontId="11" fillId="0" borderId="0" xfId="0" applyFont="1" applyAlignment="1">
      <alignment horizontal="center"/>
    </xf>
    <xf numFmtId="0" fontId="10" fillId="0" borderId="6" xfId="0" applyFont="1" applyBorder="1" applyAlignment="1">
      <alignment horizontal="center" vertical="top"/>
    </xf>
    <xf numFmtId="0" fontId="10" fillId="0" borderId="0" xfId="0" applyFont="1" applyAlignment="1">
      <alignment vertical="top" wrapText="1"/>
    </xf>
    <xf numFmtId="0" fontId="14" fillId="0" borderId="0" xfId="0" applyFont="1"/>
    <xf numFmtId="0" fontId="0" fillId="5" borderId="0" xfId="0" applyFill="1"/>
    <xf numFmtId="0" fontId="0" fillId="8" borderId="0" xfId="0" applyFill="1"/>
    <xf numFmtId="0" fontId="17" fillId="0" borderId="0" xfId="0" applyFont="1"/>
    <xf numFmtId="166" fontId="2" fillId="0" borderId="0" xfId="0" applyNumberFormat="1" applyFont="1" applyAlignment="1">
      <alignment horizontal="center" vertical="center"/>
    </xf>
    <xf numFmtId="0" fontId="28" fillId="0" borderId="0" xfId="0" applyFont="1"/>
    <xf numFmtId="0" fontId="28" fillId="0" borderId="0" xfId="0" applyFont="1" applyAlignment="1">
      <alignment horizontal="center"/>
    </xf>
    <xf numFmtId="0" fontId="14" fillId="0" borderId="0" xfId="0" applyFont="1" applyAlignment="1">
      <alignment horizontal="center"/>
    </xf>
    <xf numFmtId="0" fontId="14" fillId="0" borderId="0" xfId="0" applyFont="1" applyAlignment="1">
      <alignment wrapText="1"/>
    </xf>
    <xf numFmtId="0" fontId="2" fillId="0" borderId="0" xfId="0" applyFont="1" applyAlignment="1">
      <alignment vertical="center" wrapText="1"/>
    </xf>
    <xf numFmtId="0" fontId="15" fillId="0" borderId="0" xfId="0" applyFont="1"/>
    <xf numFmtId="0" fontId="25" fillId="0" borderId="0" xfId="0" applyFont="1"/>
    <xf numFmtId="0" fontId="15" fillId="0" borderId="0" xfId="0" applyFont="1" applyAlignment="1">
      <alignment wrapText="1"/>
    </xf>
    <xf numFmtId="0" fontId="14" fillId="0" borderId="1" xfId="0" applyFont="1" applyBorder="1" applyAlignment="1" applyProtection="1">
      <alignment horizontal="center"/>
      <protection hidden="1"/>
    </xf>
    <xf numFmtId="0" fontId="14" fillId="7" borderId="1" xfId="0" applyFont="1" applyFill="1" applyBorder="1" applyAlignment="1" applyProtection="1">
      <alignment horizontal="center"/>
      <protection hidden="1"/>
    </xf>
    <xf numFmtId="0" fontId="28" fillId="0" borderId="1" xfId="0" applyFont="1" applyBorder="1" applyAlignment="1" applyProtection="1">
      <alignment horizontal="center"/>
      <protection hidden="1"/>
    </xf>
    <xf numFmtId="0" fontId="14" fillId="4" borderId="1" xfId="0" applyFont="1" applyFill="1" applyBorder="1" applyAlignment="1" applyProtection="1">
      <alignment horizontal="center"/>
      <protection hidden="1"/>
    </xf>
    <xf numFmtId="0" fontId="14" fillId="4" borderId="0" xfId="0" applyFont="1" applyFill="1"/>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xf>
    <xf numFmtId="0" fontId="35" fillId="0" borderId="1" xfId="0" applyFont="1" applyBorder="1" applyAlignment="1" applyProtection="1">
      <alignment wrapText="1"/>
      <protection hidden="1"/>
    </xf>
    <xf numFmtId="0" fontId="14" fillId="7" borderId="1" xfId="0" applyFont="1" applyFill="1" applyBorder="1" applyAlignment="1" applyProtection="1">
      <alignment wrapText="1"/>
      <protection hidden="1"/>
    </xf>
    <xf numFmtId="0" fontId="35" fillId="4" borderId="1" xfId="0" applyFont="1" applyFill="1" applyBorder="1" applyAlignment="1" applyProtection="1">
      <alignment wrapText="1"/>
      <protection hidden="1"/>
    </xf>
    <xf numFmtId="0" fontId="36" fillId="0" borderId="1" xfId="0" applyFont="1" applyBorder="1" applyAlignment="1" applyProtection="1">
      <alignment wrapText="1"/>
      <protection hidden="1"/>
    </xf>
    <xf numFmtId="0" fontId="2" fillId="0" borderId="0" xfId="0" applyFont="1" applyAlignment="1">
      <alignment horizontal="left" wrapText="1"/>
    </xf>
    <xf numFmtId="0" fontId="0" fillId="4" borderId="0" xfId="0" applyFill="1"/>
    <xf numFmtId="0" fontId="31" fillId="4" borderId="0" xfId="0" applyFont="1" applyFill="1" applyAlignment="1">
      <alignment horizontal="center"/>
    </xf>
    <xf numFmtId="0" fontId="14" fillId="0" borderId="41" xfId="0" applyFont="1" applyBorder="1" applyAlignment="1">
      <alignment vertical="top" wrapText="1"/>
    </xf>
    <xf numFmtId="0" fontId="14" fillId="0" borderId="43" xfId="0" applyFont="1" applyBorder="1" applyAlignment="1">
      <alignment vertical="top" wrapText="1"/>
    </xf>
    <xf numFmtId="0" fontId="14" fillId="0" borderId="45" xfId="0" applyFont="1" applyBorder="1" applyAlignment="1">
      <alignment vertical="top" wrapText="1"/>
    </xf>
    <xf numFmtId="0" fontId="14" fillId="0" borderId="49" xfId="0" applyFont="1" applyBorder="1" applyAlignment="1">
      <alignment vertical="top" wrapText="1"/>
    </xf>
    <xf numFmtId="4" fontId="14" fillId="0" borderId="1" xfId="1" applyNumberFormat="1" applyFont="1" applyBorder="1" applyAlignment="1" applyProtection="1">
      <alignment horizontal="center"/>
      <protection hidden="1"/>
    </xf>
    <xf numFmtId="4" fontId="14" fillId="0" borderId="1" xfId="0" applyNumberFormat="1" applyFont="1" applyBorder="1" applyAlignment="1" applyProtection="1">
      <alignment horizontal="center"/>
      <protection hidden="1"/>
    </xf>
    <xf numFmtId="4" fontId="14" fillId="7" borderId="1" xfId="1" applyNumberFormat="1" applyFont="1" applyFill="1" applyBorder="1" applyAlignment="1" applyProtection="1">
      <alignment horizontal="center"/>
      <protection hidden="1"/>
    </xf>
    <xf numFmtId="4" fontId="19" fillId="4" borderId="1" xfId="1" applyNumberFormat="1" applyFont="1" applyFill="1" applyBorder="1" applyAlignment="1" applyProtection="1">
      <alignment horizontal="center"/>
      <protection hidden="1"/>
    </xf>
    <xf numFmtId="4" fontId="19" fillId="7" borderId="1" xfId="1" applyNumberFormat="1" applyFont="1" applyFill="1" applyBorder="1" applyAlignment="1" applyProtection="1">
      <alignment horizontal="center"/>
      <protection hidden="1"/>
    </xf>
    <xf numFmtId="4" fontId="28" fillId="0" borderId="1" xfId="0" applyNumberFormat="1" applyFont="1" applyBorder="1" applyAlignment="1" applyProtection="1">
      <alignment horizontal="center"/>
      <protection hidden="1"/>
    </xf>
    <xf numFmtId="0" fontId="14" fillId="7" borderId="1" xfId="0" applyFont="1" applyFill="1" applyBorder="1" applyAlignment="1">
      <alignment horizontal="center"/>
    </xf>
    <xf numFmtId="0" fontId="28" fillId="0" borderId="0" xfId="0" applyFont="1" applyAlignment="1">
      <alignment horizontal="right" wrapText="1"/>
    </xf>
    <xf numFmtId="0" fontId="14" fillId="4" borderId="0" xfId="0" applyFont="1" applyFill="1" applyAlignment="1">
      <alignment vertical="center"/>
    </xf>
    <xf numFmtId="0" fontId="14" fillId="4" borderId="1" xfId="0" applyFont="1" applyFill="1" applyBorder="1" applyAlignment="1">
      <alignment vertical="center"/>
    </xf>
    <xf numFmtId="0" fontId="14" fillId="0" borderId="1" xfId="0" applyFont="1" applyBorder="1" applyAlignment="1">
      <alignment vertical="center"/>
    </xf>
    <xf numFmtId="0" fontId="14" fillId="0" borderId="29" xfId="0" applyFont="1" applyBorder="1"/>
    <xf numFmtId="0" fontId="28" fillId="0" borderId="31"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31" xfId="0" applyFont="1" applyBorder="1" applyAlignment="1">
      <alignment horizontal="center" vertical="top"/>
    </xf>
    <xf numFmtId="0" fontId="28" fillId="0" borderId="33" xfId="0" applyFont="1" applyBorder="1" applyAlignment="1">
      <alignment horizontal="center" vertical="top"/>
    </xf>
    <xf numFmtId="0" fontId="28" fillId="0" borderId="28" xfId="0" applyFont="1" applyBorder="1" applyAlignment="1">
      <alignment horizontal="center" vertical="top" wrapText="1"/>
    </xf>
    <xf numFmtId="0" fontId="28" fillId="0" borderId="16" xfId="0" applyFont="1" applyBorder="1" applyAlignment="1">
      <alignment horizontal="center" vertical="top" wrapText="1"/>
    </xf>
    <xf numFmtId="0" fontId="48" fillId="0" borderId="0" xfId="0" applyFont="1" applyAlignment="1">
      <alignment horizontal="center"/>
    </xf>
    <xf numFmtId="0" fontId="48" fillId="4" borderId="0" xfId="0" applyFont="1" applyFill="1" applyAlignment="1">
      <alignment horizontal="center"/>
    </xf>
    <xf numFmtId="0" fontId="19" fillId="4" borderId="1" xfId="0" applyFont="1" applyFill="1" applyBorder="1" applyAlignment="1" applyProtection="1">
      <alignment horizontal="center" vertical="top" wrapText="1"/>
      <protection locked="0"/>
    </xf>
    <xf numFmtId="0" fontId="48" fillId="4" borderId="0" xfId="0" applyFont="1" applyFill="1" applyAlignment="1">
      <alignment horizontal="left"/>
    </xf>
    <xf numFmtId="169" fontId="21" fillId="4" borderId="0" xfId="0" applyNumberFormat="1" applyFont="1" applyFill="1" applyAlignment="1" applyProtection="1">
      <alignment horizontal="center" vertical="top" wrapText="1"/>
      <protection locked="0"/>
    </xf>
    <xf numFmtId="2" fontId="21" fillId="4" borderId="0" xfId="0" applyNumberFormat="1" applyFont="1" applyFill="1" applyAlignment="1" applyProtection="1">
      <alignment vertical="center" wrapText="1"/>
      <protection locked="0"/>
    </xf>
    <xf numFmtId="0" fontId="21" fillId="4" borderId="0" xfId="0" applyFont="1" applyFill="1" applyAlignment="1">
      <alignment horizontal="center"/>
    </xf>
    <xf numFmtId="0" fontId="21" fillId="4" borderId="0" xfId="0" applyFont="1" applyFill="1" applyAlignment="1">
      <alignment vertical="top" wrapText="1"/>
    </xf>
    <xf numFmtId="0" fontId="19" fillId="4" borderId="0" xfId="0" applyFont="1" applyFill="1" applyAlignment="1">
      <alignment horizontal="center"/>
    </xf>
    <xf numFmtId="0" fontId="19" fillId="0" borderId="15" xfId="0" applyFont="1" applyBorder="1" applyAlignment="1">
      <alignment horizontal="center" vertical="top" wrapText="1"/>
    </xf>
    <xf numFmtId="0" fontId="19" fillId="0" borderId="16" xfId="0" applyFont="1" applyBorder="1" applyAlignment="1">
      <alignment horizontal="center"/>
    </xf>
    <xf numFmtId="0" fontId="19" fillId="0" borderId="18" xfId="0" applyFont="1" applyBorder="1" applyAlignment="1">
      <alignment horizontal="center" vertical="top" wrapText="1"/>
    </xf>
    <xf numFmtId="0" fontId="19" fillId="0" borderId="1" xfId="0" applyFont="1" applyBorder="1" applyAlignment="1">
      <alignment horizontal="center"/>
    </xf>
    <xf numFmtId="0" fontId="19" fillId="0" borderId="20" xfId="0" applyFont="1" applyBorder="1" applyAlignment="1">
      <alignment horizontal="center" vertical="top" wrapText="1"/>
    </xf>
    <xf numFmtId="0" fontId="19" fillId="0" borderId="21" xfId="0" applyFont="1" applyBorder="1" applyAlignment="1">
      <alignment horizontal="center"/>
    </xf>
    <xf numFmtId="0" fontId="19" fillId="0" borderId="0" xfId="0" applyFont="1" applyAlignment="1">
      <alignment horizontal="left" vertical="top" wrapText="1"/>
    </xf>
    <xf numFmtId="0" fontId="21" fillId="0" borderId="28" xfId="0" applyFont="1" applyBorder="1" applyAlignment="1">
      <alignment horizontal="center" vertical="top" wrapText="1"/>
    </xf>
    <xf numFmtId="0" fontId="21" fillId="0" borderId="16" xfId="0" applyFont="1" applyBorder="1" applyAlignment="1">
      <alignment horizontal="center" vertical="top" wrapText="1"/>
    </xf>
    <xf numFmtId="0" fontId="19" fillId="0" borderId="30" xfId="0" applyFont="1" applyBorder="1" applyAlignment="1">
      <alignment horizontal="center" vertical="top" wrapText="1"/>
    </xf>
    <xf numFmtId="0" fontId="19" fillId="0" borderId="5" xfId="0" applyFont="1" applyBorder="1" applyAlignment="1">
      <alignment horizontal="center" vertical="top" wrapText="1"/>
    </xf>
    <xf numFmtId="0" fontId="21" fillId="0" borderId="31" xfId="0" applyFont="1" applyBorder="1" applyAlignment="1">
      <alignment horizontal="center" vertical="center" wrapText="1"/>
    </xf>
    <xf numFmtId="0" fontId="19" fillId="0" borderId="28" xfId="0" applyFont="1" applyBorder="1" applyAlignment="1">
      <alignment horizontal="center" vertical="top" wrapText="1"/>
    </xf>
    <xf numFmtId="0" fontId="21" fillId="0" borderId="31" xfId="0" applyFont="1" applyBorder="1" applyAlignment="1">
      <alignment horizontal="center" vertical="top"/>
    </xf>
    <xf numFmtId="0" fontId="21" fillId="0" borderId="5" xfId="0" applyFont="1" applyBorder="1" applyAlignment="1">
      <alignment horizontal="left" vertical="top" wrapText="1"/>
    </xf>
    <xf numFmtId="0" fontId="21" fillId="0" borderId="28" xfId="0" applyFont="1" applyBorder="1" applyAlignment="1">
      <alignment horizontal="left" vertical="top" wrapText="1"/>
    </xf>
    <xf numFmtId="0" fontId="19" fillId="0" borderId="16" xfId="0" applyFont="1" applyBorder="1" applyAlignment="1">
      <alignment vertical="top" wrapText="1"/>
    </xf>
    <xf numFmtId="0" fontId="21" fillId="0" borderId="5" xfId="0" applyFont="1" applyBorder="1" applyAlignment="1">
      <alignment vertical="top" wrapText="1"/>
    </xf>
    <xf numFmtId="0" fontId="21" fillId="0" borderId="5" xfId="0" applyFont="1" applyBorder="1" applyAlignment="1">
      <alignment horizontal="center" vertical="top" wrapText="1"/>
    </xf>
    <xf numFmtId="0" fontId="19" fillId="0" borderId="28" xfId="0" applyFont="1" applyBorder="1" applyAlignment="1">
      <alignment vertical="top" wrapText="1"/>
    </xf>
    <xf numFmtId="0" fontId="21" fillId="0" borderId="35" xfId="0" applyFont="1" applyBorder="1" applyAlignment="1">
      <alignment vertical="top" wrapText="1"/>
    </xf>
    <xf numFmtId="0" fontId="19" fillId="0" borderId="35" xfId="0" applyFont="1" applyBorder="1" applyAlignment="1">
      <alignment vertical="top" wrapText="1"/>
    </xf>
    <xf numFmtId="0" fontId="14" fillId="10" borderId="0" xfId="0" applyFont="1" applyFill="1"/>
    <xf numFmtId="0" fontId="28" fillId="4" borderId="1" xfId="0" applyFont="1" applyFill="1" applyBorder="1" applyAlignment="1">
      <alignment horizontal="center" vertical="center" wrapText="1"/>
    </xf>
    <xf numFmtId="0" fontId="21" fillId="4" borderId="14" xfId="0" applyFont="1" applyFill="1" applyBorder="1" applyAlignment="1">
      <alignment horizontal="left" vertical="top" wrapText="1"/>
    </xf>
    <xf numFmtId="0" fontId="21" fillId="4" borderId="30" xfId="0" applyFont="1" applyFill="1" applyBorder="1" applyAlignment="1">
      <alignment horizontal="center" vertical="top" wrapText="1"/>
    </xf>
    <xf numFmtId="0" fontId="21" fillId="4" borderId="33" xfId="0" applyFont="1" applyFill="1" applyBorder="1" applyAlignment="1">
      <alignment horizontal="center" vertical="top" wrapText="1"/>
    </xf>
    <xf numFmtId="0" fontId="49" fillId="10" borderId="0" xfId="0" applyFont="1" applyFill="1" applyAlignment="1">
      <alignment horizontal="left" vertical="top" wrapText="1"/>
    </xf>
    <xf numFmtId="0" fontId="49" fillId="10" borderId="0" xfId="0" applyFont="1" applyFill="1" applyAlignment="1">
      <alignment horizontal="center" vertical="top" wrapText="1"/>
    </xf>
    <xf numFmtId="0" fontId="51" fillId="4" borderId="0" xfId="0" applyFont="1" applyFill="1" applyAlignment="1">
      <alignment horizontal="center"/>
    </xf>
    <xf numFmtId="0" fontId="14" fillId="4" borderId="1" xfId="0" applyFont="1" applyFill="1" applyBorder="1" applyAlignment="1">
      <alignment horizontal="center" vertical="center" wrapText="1"/>
    </xf>
    <xf numFmtId="0" fontId="52" fillId="10" borderId="0" xfId="0" applyFont="1" applyFill="1" applyAlignment="1">
      <alignment horizontal="center" vertical="top" wrapText="1"/>
    </xf>
    <xf numFmtId="0" fontId="21" fillId="4" borderId="0" xfId="0" applyFont="1" applyFill="1"/>
    <xf numFmtId="0" fontId="21" fillId="0" borderId="0" xfId="0" applyFont="1" applyAlignment="1">
      <alignment horizontal="center" vertical="top" wrapText="1"/>
    </xf>
    <xf numFmtId="0" fontId="21" fillId="0" borderId="30" xfId="0" applyFont="1" applyBorder="1" applyAlignment="1">
      <alignment horizontal="center" vertical="top" wrapText="1"/>
    </xf>
    <xf numFmtId="10" fontId="21" fillId="15" borderId="28" xfId="2" applyNumberFormat="1" applyFont="1" applyFill="1" applyBorder="1" applyAlignment="1" applyProtection="1">
      <alignment horizontal="center" vertical="top" wrapText="1"/>
    </xf>
    <xf numFmtId="2" fontId="21" fillId="15" borderId="21" xfId="0" applyNumberFormat="1" applyFont="1" applyFill="1" applyBorder="1" applyAlignment="1" applyProtection="1">
      <alignment horizontal="center" vertical="top" wrapText="1"/>
      <protection locked="0"/>
    </xf>
    <xf numFmtId="0" fontId="21" fillId="0" borderId="24" xfId="0" applyFont="1" applyBorder="1" applyAlignment="1">
      <alignment horizontal="center" vertical="center" wrapText="1"/>
    </xf>
    <xf numFmtId="0" fontId="19" fillId="0" borderId="28" xfId="0" applyFont="1" applyBorder="1" applyAlignment="1">
      <alignment horizontal="left" vertical="top" wrapText="1"/>
    </xf>
    <xf numFmtId="0" fontId="21" fillId="0" borderId="31" xfId="0" applyFont="1" applyBorder="1" applyAlignment="1">
      <alignment horizontal="center" wrapText="1"/>
    </xf>
    <xf numFmtId="0" fontId="19" fillId="0" borderId="16" xfId="0" applyFont="1" applyBorder="1" applyAlignment="1">
      <alignment horizontal="left" vertical="top" wrapText="1"/>
    </xf>
    <xf numFmtId="0" fontId="19" fillId="0" borderId="35" xfId="0" applyFont="1" applyBorder="1" applyAlignment="1">
      <alignment horizontal="left" vertical="top" wrapText="1"/>
    </xf>
    <xf numFmtId="0" fontId="19" fillId="0" borderId="50" xfId="0" applyFont="1" applyBorder="1" applyAlignment="1">
      <alignment vertical="top" wrapText="1"/>
    </xf>
    <xf numFmtId="0" fontId="21" fillId="0" borderId="28" xfId="0" applyFont="1" applyBorder="1" applyAlignment="1">
      <alignment vertical="top" wrapText="1"/>
    </xf>
    <xf numFmtId="10" fontId="21" fillId="4" borderId="28" xfId="0" applyNumberFormat="1" applyFont="1" applyFill="1" applyBorder="1" applyAlignment="1" applyProtection="1">
      <alignment horizontal="center" vertical="top" wrapText="1"/>
      <protection locked="0"/>
    </xf>
    <xf numFmtId="10" fontId="21" fillId="15" borderId="28" xfId="2" applyNumberFormat="1" applyFont="1" applyFill="1" applyBorder="1" applyAlignment="1" applyProtection="1">
      <alignment horizontal="center" vertical="top" wrapText="1"/>
      <protection locked="0"/>
    </xf>
    <xf numFmtId="2" fontId="21" fillId="0" borderId="28" xfId="0" applyNumberFormat="1" applyFont="1" applyBorder="1" applyAlignment="1" applyProtection="1">
      <alignment horizontal="center" vertical="top" wrapText="1"/>
      <protection locked="0"/>
    </xf>
    <xf numFmtId="10" fontId="21" fillId="15" borderId="23" xfId="2" applyNumberFormat="1" applyFont="1" applyFill="1" applyBorder="1" applyAlignment="1" applyProtection="1">
      <alignment horizontal="center" vertical="top" wrapText="1"/>
      <protection locked="0"/>
    </xf>
    <xf numFmtId="2" fontId="21" fillId="4" borderId="28" xfId="0" applyNumberFormat="1" applyFont="1" applyFill="1" applyBorder="1" applyAlignment="1" applyProtection="1">
      <alignment horizontal="center" vertical="top" wrapText="1"/>
      <protection locked="0"/>
    </xf>
    <xf numFmtId="2" fontId="21" fillId="15" borderId="36" xfId="0" applyNumberFormat="1" applyFont="1" applyFill="1" applyBorder="1" applyAlignment="1" applyProtection="1">
      <alignment horizontal="center" vertical="top" wrapText="1"/>
      <protection locked="0"/>
    </xf>
    <xf numFmtId="0" fontId="21" fillId="4" borderId="28" xfId="0" applyFont="1" applyFill="1" applyBorder="1" applyAlignment="1">
      <alignment horizontal="center" vertical="top" wrapText="1"/>
    </xf>
    <xf numFmtId="0" fontId="21" fillId="0" borderId="32" xfId="0" applyFont="1" applyBorder="1" applyAlignment="1">
      <alignment vertical="top" wrapText="1"/>
    </xf>
    <xf numFmtId="165" fontId="21" fillId="0" borderId="28" xfId="0" applyNumberFormat="1" applyFont="1" applyBorder="1" applyAlignment="1">
      <alignment horizontal="center" vertical="top" wrapText="1"/>
    </xf>
    <xf numFmtId="0" fontId="21" fillId="0" borderId="50" xfId="0" applyFont="1" applyBorder="1" applyAlignment="1">
      <alignment vertical="top" wrapText="1"/>
    </xf>
    <xf numFmtId="0" fontId="21" fillId="0" borderId="5" xfId="0" applyFont="1" applyBorder="1" applyAlignment="1">
      <alignment horizontal="center" vertical="top"/>
    </xf>
    <xf numFmtId="0" fontId="21" fillId="0" borderId="28" xfId="0" applyFont="1" applyBorder="1" applyAlignment="1">
      <alignment horizontal="center" vertical="top"/>
    </xf>
    <xf numFmtId="0" fontId="28" fillId="0" borderId="28" xfId="0" applyFont="1" applyBorder="1" applyAlignment="1">
      <alignment horizontal="center" vertical="top"/>
    </xf>
    <xf numFmtId="10" fontId="21" fillId="15" borderId="36" xfId="2" applyNumberFormat="1" applyFont="1" applyFill="1" applyBorder="1" applyAlignment="1" applyProtection="1">
      <alignment horizontal="center" vertical="top" wrapText="1"/>
      <protection locked="0"/>
    </xf>
    <xf numFmtId="0" fontId="28" fillId="0" borderId="16" xfId="0" applyFont="1" applyBorder="1" applyAlignment="1">
      <alignment horizontal="center" vertical="top"/>
    </xf>
    <xf numFmtId="0" fontId="21" fillId="10" borderId="26" xfId="0" applyFont="1" applyFill="1" applyBorder="1" applyAlignment="1">
      <alignment vertical="top" wrapText="1"/>
    </xf>
    <xf numFmtId="0" fontId="21" fillId="10" borderId="34" xfId="0" applyFont="1" applyFill="1" applyBorder="1" applyAlignment="1">
      <alignment vertical="top" wrapText="1"/>
    </xf>
    <xf numFmtId="0" fontId="21" fillId="10" borderId="34" xfId="0" applyFont="1" applyFill="1" applyBorder="1" applyAlignment="1">
      <alignment horizontal="center" vertical="top" wrapText="1"/>
    </xf>
    <xf numFmtId="0" fontId="21" fillId="10" borderId="25" xfId="0" applyFont="1" applyFill="1" applyBorder="1" applyAlignment="1">
      <alignment horizontal="center" vertical="top" wrapText="1"/>
    </xf>
    <xf numFmtId="2" fontId="21" fillId="4" borderId="0" xfId="0" applyNumberFormat="1" applyFont="1" applyFill="1" applyAlignment="1" applyProtection="1">
      <alignment horizontal="center" vertical="center" wrapText="1"/>
      <protection locked="0"/>
    </xf>
    <xf numFmtId="0" fontId="14" fillId="4" borderId="0" xfId="0" applyFont="1" applyFill="1" applyAlignment="1">
      <alignment horizontal="center"/>
    </xf>
    <xf numFmtId="0" fontId="21" fillId="4" borderId="0" xfId="0" applyFont="1" applyFill="1" applyAlignment="1">
      <alignment horizontal="center" vertical="top" wrapText="1"/>
    </xf>
    <xf numFmtId="0" fontId="21" fillId="10" borderId="13" xfId="0" applyFont="1" applyFill="1" applyBorder="1" applyAlignment="1">
      <alignment vertical="top" wrapText="1"/>
    </xf>
    <xf numFmtId="0" fontId="28" fillId="10" borderId="3" xfId="0" applyFont="1" applyFill="1" applyBorder="1" applyAlignment="1">
      <alignment vertical="top" wrapText="1"/>
    </xf>
    <xf numFmtId="0" fontId="28" fillId="10" borderId="4" xfId="0" applyFont="1" applyFill="1" applyBorder="1" applyAlignment="1">
      <alignment vertical="top" wrapText="1"/>
    </xf>
    <xf numFmtId="0" fontId="21" fillId="10" borderId="0" xfId="0" applyFont="1" applyFill="1" applyAlignment="1">
      <alignment vertical="top" wrapText="1"/>
    </xf>
    <xf numFmtId="0" fontId="21" fillId="10" borderId="37" xfId="0" applyFont="1" applyFill="1" applyBorder="1" applyAlignment="1">
      <alignment vertical="top" wrapText="1"/>
    </xf>
    <xf numFmtId="0" fontId="28" fillId="10" borderId="4" xfId="0" applyFont="1" applyFill="1" applyBorder="1" applyAlignment="1">
      <alignment horizontal="center" vertical="top" wrapText="1"/>
    </xf>
    <xf numFmtId="0" fontId="21" fillId="10" borderId="0" xfId="0" applyFont="1" applyFill="1" applyAlignment="1">
      <alignment horizontal="center" vertical="top" wrapText="1"/>
    </xf>
    <xf numFmtId="2" fontId="19" fillId="4" borderId="0" xfId="0" applyNumberFormat="1" applyFont="1" applyFill="1" applyAlignment="1" applyProtection="1">
      <alignment horizontal="center" vertical="center" wrapText="1"/>
      <protection locked="0"/>
    </xf>
    <xf numFmtId="0" fontId="19" fillId="4" borderId="0" xfId="0" applyFont="1" applyFill="1" applyAlignment="1">
      <alignment horizontal="center" vertical="center" wrapText="1"/>
    </xf>
    <xf numFmtId="0" fontId="19" fillId="4" borderId="0" xfId="0" applyFont="1" applyFill="1" applyAlignment="1">
      <alignment horizontal="center" vertical="top" wrapText="1"/>
    </xf>
    <xf numFmtId="1" fontId="19" fillId="4" borderId="30" xfId="0" applyNumberFormat="1" applyFont="1" applyFill="1" applyBorder="1" applyAlignment="1">
      <alignment horizontal="center" vertical="top" wrapText="1"/>
    </xf>
    <xf numFmtId="0" fontId="28" fillId="4" borderId="0" xfId="0" applyFont="1" applyFill="1" applyAlignment="1">
      <alignment horizontal="center"/>
    </xf>
    <xf numFmtId="0" fontId="28" fillId="10" borderId="0" xfId="0" applyFont="1" applyFill="1" applyAlignment="1">
      <alignment horizontal="center"/>
    </xf>
    <xf numFmtId="0" fontId="21" fillId="4" borderId="0" xfId="0" applyFont="1" applyFill="1" applyAlignment="1">
      <alignment horizontal="center" vertical="center"/>
    </xf>
    <xf numFmtId="0" fontId="28" fillId="4" borderId="0" xfId="0" applyFont="1" applyFill="1" applyAlignment="1">
      <alignment horizontal="center" vertical="top" wrapText="1"/>
    </xf>
    <xf numFmtId="0" fontId="28" fillId="10" borderId="12" xfId="0" applyFont="1" applyFill="1" applyBorder="1" applyAlignment="1">
      <alignment horizontal="center"/>
    </xf>
    <xf numFmtId="0" fontId="28" fillId="10" borderId="2" xfId="0" applyFont="1" applyFill="1" applyBorder="1" applyAlignment="1">
      <alignment horizontal="center" vertical="top" wrapText="1"/>
    </xf>
    <xf numFmtId="0" fontId="21" fillId="10" borderId="12" xfId="0" applyFont="1" applyFill="1" applyBorder="1" applyAlignment="1">
      <alignment horizontal="center" vertical="top" wrapText="1"/>
    </xf>
    <xf numFmtId="0" fontId="21" fillId="10" borderId="38" xfId="0" applyFont="1" applyFill="1" applyBorder="1" applyAlignment="1">
      <alignment horizontal="center" vertical="top" wrapText="1"/>
    </xf>
    <xf numFmtId="0" fontId="19" fillId="0" borderId="16" xfId="0" applyFont="1" applyBorder="1" applyAlignment="1">
      <alignment horizontal="center" vertical="top" wrapText="1"/>
    </xf>
    <xf numFmtId="0" fontId="19" fillId="0" borderId="1" xfId="0" applyFont="1" applyBorder="1" applyAlignment="1">
      <alignment horizontal="center" vertical="top" wrapText="1"/>
    </xf>
    <xf numFmtId="0" fontId="19" fillId="0" borderId="21" xfId="0" applyFont="1" applyBorder="1" applyAlignment="1">
      <alignment horizontal="center" vertical="top" wrapText="1"/>
    </xf>
    <xf numFmtId="2" fontId="28" fillId="7" borderId="1" xfId="0" applyNumberFormat="1" applyFont="1" applyFill="1" applyBorder="1" applyAlignment="1">
      <alignment horizontal="center"/>
    </xf>
    <xf numFmtId="0" fontId="21" fillId="7" borderId="1" xfId="0" applyFont="1" applyFill="1" applyBorder="1" applyAlignment="1" applyProtection="1">
      <alignment wrapText="1"/>
      <protection hidden="1"/>
    </xf>
    <xf numFmtId="4" fontId="28" fillId="7" borderId="1" xfId="0" applyNumberFormat="1" applyFont="1" applyFill="1" applyBorder="1" applyAlignment="1" applyProtection="1">
      <alignment horizontal="center"/>
      <protection hidden="1"/>
    </xf>
    <xf numFmtId="0" fontId="28" fillId="7" borderId="1" xfId="0" applyFont="1" applyFill="1" applyBorder="1" applyAlignment="1" applyProtection="1">
      <alignment wrapText="1"/>
      <protection hidden="1"/>
    </xf>
    <xf numFmtId="4" fontId="28" fillId="7" borderId="1" xfId="1" applyNumberFormat="1" applyFont="1" applyFill="1" applyBorder="1" applyAlignment="1" applyProtection="1">
      <alignment horizontal="center"/>
      <protection hidden="1"/>
    </xf>
    <xf numFmtId="4" fontId="21" fillId="7" borderId="1" xfId="1" applyNumberFormat="1" applyFont="1" applyFill="1" applyBorder="1" applyAlignment="1" applyProtection="1">
      <alignment horizontal="center"/>
      <protection hidden="1"/>
    </xf>
    <xf numFmtId="0" fontId="21" fillId="0" borderId="31" xfId="0" applyFont="1" applyBorder="1" applyAlignment="1">
      <alignment horizontal="center" vertical="top" wrapText="1"/>
    </xf>
    <xf numFmtId="0" fontId="14" fillId="15" borderId="0" xfId="0" applyFont="1" applyFill="1"/>
    <xf numFmtId="0" fontId="14" fillId="4" borderId="0" xfId="0" applyFont="1" applyFill="1" applyAlignment="1">
      <alignment horizontal="center" vertical="center"/>
    </xf>
    <xf numFmtId="0" fontId="28" fillId="4" borderId="0" xfId="0" applyFont="1" applyFill="1" applyAlignment="1">
      <alignment horizontal="center" vertical="center" wrapText="1"/>
    </xf>
    <xf numFmtId="9" fontId="28" fillId="7" borderId="1" xfId="2" applyFont="1" applyFill="1" applyBorder="1" applyAlignment="1" applyProtection="1">
      <alignment horizontal="center"/>
      <protection hidden="1"/>
    </xf>
    <xf numFmtId="0" fontId="43" fillId="7" borderId="1" xfId="0" applyFont="1" applyFill="1" applyBorder="1" applyAlignment="1">
      <alignment wrapText="1"/>
    </xf>
    <xf numFmtId="0" fontId="17" fillId="0" borderId="1" xfId="0" applyFont="1" applyBorder="1" applyAlignment="1" applyProtection="1">
      <alignment wrapText="1"/>
      <protection hidden="1"/>
    </xf>
    <xf numFmtId="0" fontId="43" fillId="7" borderId="1" xfId="0" applyFont="1" applyFill="1" applyBorder="1" applyAlignment="1" applyProtection="1">
      <alignment wrapText="1"/>
      <protection hidden="1"/>
    </xf>
    <xf numFmtId="2" fontId="28" fillId="7" borderId="3" xfId="0" applyNumberFormat="1" applyFont="1" applyFill="1" applyBorder="1" applyAlignment="1">
      <alignment horizontal="center"/>
    </xf>
    <xf numFmtId="4" fontId="14" fillId="0" borderId="3" xfId="0" applyNumberFormat="1" applyFont="1" applyBorder="1" applyAlignment="1" applyProtection="1">
      <alignment horizontal="center"/>
      <protection hidden="1"/>
    </xf>
    <xf numFmtId="4" fontId="28" fillId="7" borderId="3" xfId="0" applyNumberFormat="1" applyFont="1" applyFill="1" applyBorder="1" applyAlignment="1" applyProtection="1">
      <alignment horizontal="center"/>
      <protection hidden="1"/>
    </xf>
    <xf numFmtId="9" fontId="28" fillId="7" borderId="3" xfId="2" applyFont="1" applyFill="1" applyBorder="1" applyAlignment="1" applyProtection="1">
      <alignment horizontal="center"/>
      <protection hidden="1"/>
    </xf>
    <xf numFmtId="4" fontId="28" fillId="7" borderId="3" xfId="1" applyNumberFormat="1" applyFont="1" applyFill="1" applyBorder="1" applyAlignment="1" applyProtection="1">
      <alignment horizontal="center"/>
      <protection hidden="1"/>
    </xf>
    <xf numFmtId="4" fontId="19" fillId="4" borderId="3" xfId="1" applyNumberFormat="1" applyFont="1" applyFill="1" applyBorder="1" applyAlignment="1" applyProtection="1">
      <alignment horizontal="center"/>
      <protection hidden="1"/>
    </xf>
    <xf numFmtId="4" fontId="21" fillId="7" borderId="3" xfId="1" applyNumberFormat="1" applyFont="1" applyFill="1" applyBorder="1" applyAlignment="1" applyProtection="1">
      <alignment horizontal="center"/>
      <protection hidden="1"/>
    </xf>
    <xf numFmtId="4" fontId="19" fillId="7" borderId="3" xfId="1" applyNumberFormat="1" applyFont="1" applyFill="1" applyBorder="1" applyAlignment="1" applyProtection="1">
      <alignment horizontal="center"/>
      <protection hidden="1"/>
    </xf>
    <xf numFmtId="4" fontId="14" fillId="7" borderId="3" xfId="1" applyNumberFormat="1" applyFont="1" applyFill="1" applyBorder="1" applyAlignment="1" applyProtection="1">
      <alignment horizontal="center"/>
      <protection hidden="1"/>
    </xf>
    <xf numFmtId="4" fontId="14" fillId="0" borderId="3" xfId="1" applyNumberFormat="1" applyFont="1" applyBorder="1" applyAlignment="1" applyProtection="1">
      <alignment horizontal="center"/>
      <protection hidden="1"/>
    </xf>
    <xf numFmtId="4" fontId="28" fillId="0" borderId="3" xfId="0" applyNumberFormat="1" applyFont="1" applyBorder="1" applyAlignment="1" applyProtection="1">
      <alignment horizontal="center"/>
      <protection hidden="1"/>
    </xf>
    <xf numFmtId="9" fontId="14" fillId="0" borderId="1" xfId="2" applyFont="1" applyBorder="1"/>
    <xf numFmtId="171" fontId="14" fillId="0" borderId="0" xfId="0" applyNumberFormat="1" applyFont="1"/>
    <xf numFmtId="171" fontId="14" fillId="0" borderId="1" xfId="0" applyNumberFormat="1" applyFont="1" applyBorder="1"/>
    <xf numFmtId="0" fontId="28" fillId="0" borderId="1" xfId="0" applyFont="1" applyBorder="1" applyAlignment="1">
      <alignment horizontal="center"/>
    </xf>
    <xf numFmtId="0" fontId="14" fillId="0" borderId="1" xfId="0" applyFont="1" applyBorder="1" applyAlignment="1">
      <alignment horizontal="center"/>
    </xf>
    <xf numFmtId="0" fontId="0" fillId="4" borderId="0" xfId="0" applyFill="1" applyAlignment="1">
      <alignment horizontal="center"/>
    </xf>
    <xf numFmtId="0" fontId="43" fillId="9" borderId="1" xfId="0" applyFont="1" applyFill="1" applyBorder="1"/>
    <xf numFmtId="0" fontId="43" fillId="12" borderId="1" xfId="0" applyFont="1" applyFill="1" applyBorder="1"/>
    <xf numFmtId="0" fontId="17" fillId="8" borderId="1" xfId="0" applyFont="1" applyFill="1" applyBorder="1"/>
    <xf numFmtId="0" fontId="19" fillId="0" borderId="69" xfId="0" applyFont="1" applyBorder="1" applyAlignment="1" applyProtection="1">
      <alignment horizontal="center"/>
      <protection locked="0"/>
    </xf>
    <xf numFmtId="0" fontId="41" fillId="0" borderId="69" xfId="0" applyFont="1" applyBorder="1" applyAlignment="1" applyProtection="1">
      <alignment horizontal="center"/>
      <protection locked="0"/>
    </xf>
    <xf numFmtId="0" fontId="41" fillId="0" borderId="69" xfId="0" applyFont="1" applyBorder="1" applyAlignment="1" applyProtection="1">
      <alignment horizontal="center" wrapText="1"/>
      <protection locked="0"/>
    </xf>
    <xf numFmtId="0" fontId="14" fillId="0" borderId="0" xfId="0" applyFont="1" applyAlignment="1">
      <alignment vertical="center"/>
    </xf>
    <xf numFmtId="0" fontId="19" fillId="4" borderId="71" xfId="0" applyFont="1" applyFill="1" applyBorder="1" applyAlignment="1">
      <alignment vertical="center" wrapText="1"/>
    </xf>
    <xf numFmtId="0" fontId="19" fillId="4" borderId="71" xfId="3" applyFont="1" applyFill="1" applyBorder="1" applyAlignment="1">
      <alignment vertical="center" wrapText="1"/>
    </xf>
    <xf numFmtId="0" fontId="21" fillId="7" borderId="71" xfId="3" applyFont="1" applyFill="1" applyBorder="1" applyAlignment="1">
      <alignment vertical="center" wrapText="1"/>
    </xf>
    <xf numFmtId="0" fontId="19" fillId="4" borderId="71" xfId="3" applyFont="1" applyFill="1" applyBorder="1" applyAlignment="1">
      <alignment horizontal="center" vertical="center" wrapText="1"/>
    </xf>
    <xf numFmtId="0" fontId="28" fillId="7" borderId="71" xfId="3" applyFont="1" applyFill="1" applyBorder="1" applyAlignment="1">
      <alignment vertical="center" wrapText="1"/>
    </xf>
    <xf numFmtId="0" fontId="19" fillId="4" borderId="71" xfId="0" applyFont="1" applyFill="1" applyBorder="1" applyAlignment="1">
      <alignment horizontal="center" vertical="center" wrapText="1"/>
    </xf>
    <xf numFmtId="0" fontId="19" fillId="7" borderId="71" xfId="0" applyFont="1" applyFill="1" applyBorder="1" applyAlignment="1">
      <alignment vertical="center" wrapText="1"/>
    </xf>
    <xf numFmtId="0" fontId="28" fillId="12" borderId="81" xfId="0" applyFont="1" applyFill="1" applyBorder="1" applyAlignment="1">
      <alignment horizontal="center" vertical="center"/>
    </xf>
    <xf numFmtId="0" fontId="13" fillId="0" borderId="0" xfId="3"/>
    <xf numFmtId="0" fontId="18" fillId="0" borderId="90" xfId="0" applyFont="1" applyBorder="1" applyProtection="1">
      <protection locked="0"/>
    </xf>
    <xf numFmtId="0" fontId="18" fillId="0" borderId="69" xfId="0" applyFont="1" applyBorder="1" applyProtection="1">
      <protection locked="0"/>
    </xf>
    <xf numFmtId="0" fontId="18" fillId="0" borderId="91" xfId="0" applyFont="1" applyBorder="1" applyProtection="1">
      <protection locked="0"/>
    </xf>
    <xf numFmtId="0" fontId="14" fillId="0" borderId="1" xfId="0" applyFont="1" applyBorder="1"/>
    <xf numFmtId="0" fontId="21" fillId="4" borderId="71" xfId="0" applyFont="1" applyFill="1" applyBorder="1" applyAlignment="1">
      <alignment horizontal="center" vertical="center" wrapText="1"/>
    </xf>
    <xf numFmtId="4" fontId="14" fillId="4" borderId="71" xfId="1" applyNumberFormat="1" applyFont="1" applyFill="1" applyBorder="1" applyAlignment="1" applyProtection="1">
      <alignment horizontal="center" vertical="top"/>
      <protection locked="0"/>
    </xf>
    <xf numFmtId="4" fontId="14" fillId="4" borderId="83" xfId="1" applyNumberFormat="1" applyFont="1" applyFill="1" applyBorder="1" applyAlignment="1" applyProtection="1">
      <alignment horizontal="center" vertical="top"/>
      <protection locked="0"/>
    </xf>
    <xf numFmtId="0" fontId="2" fillId="4" borderId="0" xfId="0" applyFont="1" applyFill="1"/>
    <xf numFmtId="0" fontId="15" fillId="4" borderId="82" xfId="0" applyFont="1" applyFill="1" applyBorder="1" applyAlignment="1">
      <alignment horizontal="center" vertical="center"/>
    </xf>
    <xf numFmtId="166" fontId="23" fillId="4" borderId="71" xfId="1" applyNumberFormat="1" applyFont="1" applyFill="1" applyBorder="1" applyAlignment="1" applyProtection="1">
      <alignment horizontal="left" vertical="center" wrapText="1"/>
    </xf>
    <xf numFmtId="39" fontId="15" fillId="4" borderId="71" xfId="0" applyNumberFormat="1" applyFont="1" applyFill="1" applyBorder="1" applyAlignment="1" applyProtection="1">
      <alignment horizontal="center" vertical="center"/>
      <protection locked="0"/>
    </xf>
    <xf numFmtId="39" fontId="15" fillId="4" borderId="83" xfId="1" applyNumberFormat="1" applyFont="1" applyFill="1" applyBorder="1" applyAlignment="1" applyProtection="1">
      <alignment horizontal="center" vertical="center"/>
      <protection locked="0"/>
    </xf>
    <xf numFmtId="39" fontId="15" fillId="4" borderId="71" xfId="1" applyNumberFormat="1" applyFont="1" applyFill="1" applyBorder="1" applyAlignment="1" applyProtection="1">
      <alignment horizontal="center" vertical="center"/>
      <protection locked="0"/>
    </xf>
    <xf numFmtId="39" fontId="15" fillId="4" borderId="83" xfId="0" applyNumberFormat="1" applyFont="1" applyFill="1" applyBorder="1" applyAlignment="1" applyProtection="1">
      <alignment horizontal="center" vertical="center"/>
      <protection locked="0"/>
    </xf>
    <xf numFmtId="0" fontId="23" fillId="4" borderId="71" xfId="0" applyFont="1" applyFill="1" applyBorder="1" applyAlignment="1">
      <alignment horizontal="left" vertical="center" wrapText="1"/>
    </xf>
    <xf numFmtId="0" fontId="15" fillId="4" borderId="84" xfId="0" applyFont="1" applyFill="1" applyBorder="1" applyAlignment="1">
      <alignment horizontal="center" vertical="center"/>
    </xf>
    <xf numFmtId="166" fontId="23" fillId="4" borderId="70" xfId="1" applyNumberFormat="1" applyFont="1" applyFill="1" applyBorder="1" applyAlignment="1" applyProtection="1">
      <alignment horizontal="left" vertical="center" wrapText="1"/>
    </xf>
    <xf numFmtId="39" fontId="15" fillId="4" borderId="70" xfId="0" applyNumberFormat="1" applyFont="1" applyFill="1" applyBorder="1" applyAlignment="1" applyProtection="1">
      <alignment horizontal="center" vertical="center"/>
      <protection locked="0"/>
    </xf>
    <xf numFmtId="0" fontId="2" fillId="0" borderId="52" xfId="0" applyFont="1" applyBorder="1"/>
    <xf numFmtId="0" fontId="2" fillId="0" borderId="52" xfId="0" applyFont="1" applyBorder="1" applyAlignment="1">
      <alignment horizontal="left" wrapText="1"/>
    </xf>
    <xf numFmtId="166" fontId="2" fillId="0" borderId="52" xfId="0" applyNumberFormat="1" applyFont="1" applyBorder="1" applyAlignment="1">
      <alignment horizontal="center" vertical="center"/>
    </xf>
    <xf numFmtId="166" fontId="15" fillId="4" borderId="71" xfId="1" applyNumberFormat="1" applyFont="1" applyFill="1" applyBorder="1" applyAlignment="1" applyProtection="1">
      <alignment horizontal="center" vertical="center"/>
    </xf>
    <xf numFmtId="166" fontId="15" fillId="4" borderId="83" xfId="1" applyNumberFormat="1" applyFont="1" applyFill="1" applyBorder="1" applyAlignment="1" applyProtection="1">
      <alignment horizontal="center" vertical="center"/>
    </xf>
    <xf numFmtId="0" fontId="15" fillId="4" borderId="71" xfId="1" applyNumberFormat="1" applyFont="1" applyFill="1" applyBorder="1" applyAlignment="1" applyProtection="1">
      <alignment horizontal="center" vertical="center"/>
    </xf>
    <xf numFmtId="0" fontId="15" fillId="4" borderId="83" xfId="1" applyNumberFormat="1" applyFont="1" applyFill="1" applyBorder="1" applyAlignment="1" applyProtection="1">
      <alignment horizontal="center" vertical="center"/>
    </xf>
    <xf numFmtId="166" fontId="15" fillId="4" borderId="71" xfId="1" applyNumberFormat="1" applyFont="1" applyFill="1" applyBorder="1" applyAlignment="1" applyProtection="1">
      <alignment horizontal="center" vertical="center" wrapText="1"/>
    </xf>
    <xf numFmtId="0" fontId="24" fillId="4" borderId="108" xfId="0" applyFont="1" applyFill="1" applyBorder="1" applyAlignment="1">
      <alignment horizontal="center" vertical="center"/>
    </xf>
    <xf numFmtId="0" fontId="24" fillId="4" borderId="109" xfId="0" applyFont="1" applyFill="1" applyBorder="1" applyAlignment="1">
      <alignment horizontal="center" vertical="center"/>
    </xf>
    <xf numFmtId="165" fontId="14" fillId="0" borderId="71" xfId="1" applyFont="1" applyBorder="1" applyAlignment="1" applyProtection="1">
      <alignment horizontal="center" vertical="top"/>
    </xf>
    <xf numFmtId="165" fontId="14" fillId="0" borderId="83" xfId="1" applyFont="1" applyBorder="1" applyAlignment="1" applyProtection="1">
      <alignment horizontal="center" vertical="top"/>
    </xf>
    <xf numFmtId="0" fontId="14" fillId="0" borderId="71" xfId="1" applyNumberFormat="1" applyFont="1" applyBorder="1" applyAlignment="1" applyProtection="1">
      <alignment horizontal="center" vertical="top"/>
    </xf>
    <xf numFmtId="0" fontId="14" fillId="0" borderId="83" xfId="1" applyNumberFormat="1" applyFont="1" applyBorder="1" applyAlignment="1" applyProtection="1">
      <alignment horizontal="center" vertical="top"/>
    </xf>
    <xf numFmtId="0" fontId="14" fillId="0" borderId="82" xfId="0" applyFont="1" applyBorder="1" applyAlignment="1">
      <alignment vertical="top"/>
    </xf>
    <xf numFmtId="0" fontId="18" fillId="0" borderId="71" xfId="0" applyFont="1" applyBorder="1" applyAlignment="1">
      <alignment vertical="center" wrapText="1"/>
    </xf>
    <xf numFmtId="165" fontId="25" fillId="0" borderId="71" xfId="1" applyFont="1" applyBorder="1" applyAlignment="1" applyProtection="1">
      <alignment horizontal="center" vertical="center"/>
      <protection hidden="1"/>
    </xf>
    <xf numFmtId="165" fontId="25" fillId="0" borderId="83" xfId="1" applyFont="1" applyBorder="1" applyAlignment="1" applyProtection="1">
      <alignment horizontal="center" vertical="center"/>
      <protection hidden="1"/>
    </xf>
    <xf numFmtId="0" fontId="25" fillId="0" borderId="71" xfId="1" applyNumberFormat="1" applyFont="1" applyBorder="1" applyAlignment="1" applyProtection="1">
      <alignment horizontal="center" vertical="center"/>
      <protection hidden="1"/>
    </xf>
    <xf numFmtId="0" fontId="25" fillId="0" borderId="83" xfId="1" applyNumberFormat="1" applyFont="1" applyBorder="1" applyAlignment="1" applyProtection="1">
      <alignment horizontal="center" vertical="center"/>
      <protection hidden="1"/>
    </xf>
    <xf numFmtId="0" fontId="25" fillId="0" borderId="64" xfId="1" applyNumberFormat="1" applyFont="1" applyBorder="1" applyAlignment="1" applyProtection="1">
      <alignment horizontal="center" vertical="center"/>
      <protection hidden="1"/>
    </xf>
    <xf numFmtId="0" fontId="25" fillId="0" borderId="65" xfId="1" applyNumberFormat="1" applyFont="1" applyBorder="1" applyAlignment="1" applyProtection="1">
      <alignment horizontal="center" vertical="center"/>
      <protection hidden="1"/>
    </xf>
    <xf numFmtId="0" fontId="25" fillId="4" borderId="110" xfId="0" applyFont="1" applyFill="1" applyBorder="1" applyAlignment="1" applyProtection="1">
      <alignment horizontal="center" vertical="center"/>
      <protection hidden="1"/>
    </xf>
    <xf numFmtId="0" fontId="25" fillId="4" borderId="111" xfId="0" applyFont="1" applyFill="1" applyBorder="1" applyAlignment="1" applyProtection="1">
      <alignment horizontal="center" vertical="center" wrapText="1"/>
      <protection hidden="1"/>
    </xf>
    <xf numFmtId="0" fontId="25" fillId="4" borderId="112" xfId="1" applyNumberFormat="1" applyFont="1" applyFill="1" applyBorder="1" applyAlignment="1" applyProtection="1">
      <alignment horizontal="center" vertical="center"/>
      <protection hidden="1"/>
    </xf>
    <xf numFmtId="0" fontId="25" fillId="4" borderId="113" xfId="1" applyNumberFormat="1" applyFont="1" applyFill="1" applyBorder="1" applyAlignment="1" applyProtection="1">
      <alignment horizontal="center" vertical="center"/>
      <protection hidden="1"/>
    </xf>
    <xf numFmtId="0" fontId="14" fillId="0" borderId="82" xfId="0" applyFont="1" applyBorder="1" applyAlignment="1" applyProtection="1">
      <alignment horizontal="center"/>
      <protection hidden="1"/>
    </xf>
    <xf numFmtId="165" fontId="14" fillId="0" borderId="0" xfId="1" applyFont="1" applyAlignment="1">
      <alignment horizontal="center" vertical="center"/>
    </xf>
    <xf numFmtId="164" fontId="28" fillId="14" borderId="28" xfId="1" applyNumberFormat="1" applyFont="1" applyFill="1" applyBorder="1" applyAlignment="1" applyProtection="1">
      <alignment horizontal="center" vertical="center"/>
      <protection hidden="1"/>
    </xf>
    <xf numFmtId="0" fontId="14" fillId="0" borderId="82" xfId="0" applyFont="1" applyBorder="1" applyAlignment="1" applyProtection="1">
      <alignment horizontal="center" vertical="center"/>
      <protection hidden="1"/>
    </xf>
    <xf numFmtId="165" fontId="14" fillId="0" borderId="71" xfId="1" applyFont="1" applyBorder="1" applyAlignment="1" applyProtection="1">
      <alignment vertical="center" wrapText="1"/>
      <protection hidden="1"/>
    </xf>
    <xf numFmtId="4" fontId="14" fillId="0" borderId="71" xfId="1" applyNumberFormat="1" applyFont="1" applyBorder="1" applyAlignment="1" applyProtection="1">
      <alignment horizontal="center" vertical="center"/>
      <protection hidden="1"/>
    </xf>
    <xf numFmtId="4" fontId="14" fillId="0" borderId="83" xfId="1" applyNumberFormat="1" applyFont="1" applyBorder="1" applyAlignment="1" applyProtection="1">
      <alignment horizontal="center" vertical="center"/>
      <protection hidden="1"/>
    </xf>
    <xf numFmtId="0" fontId="28" fillId="0" borderId="0" xfId="0" applyFont="1" applyAlignment="1">
      <alignment vertical="center"/>
    </xf>
    <xf numFmtId="165" fontId="39" fillId="0" borderId="71" xfId="1" applyFont="1" applyBorder="1" applyAlignment="1" applyProtection="1">
      <alignment horizontal="center" vertical="center" wrapText="1"/>
      <protection hidden="1"/>
    </xf>
    <xf numFmtId="0" fontId="14" fillId="2" borderId="0" xfId="0" applyFont="1" applyFill="1" applyAlignment="1">
      <alignment vertical="center"/>
    </xf>
    <xf numFmtId="0" fontId="28" fillId="14" borderId="0" xfId="0" applyFont="1" applyFill="1" applyAlignment="1">
      <alignment vertical="center"/>
    </xf>
    <xf numFmtId="4" fontId="14" fillId="14" borderId="71" xfId="1" applyNumberFormat="1" applyFont="1" applyFill="1" applyBorder="1" applyAlignment="1" applyProtection="1">
      <alignment horizontal="center" vertical="center"/>
      <protection hidden="1"/>
    </xf>
    <xf numFmtId="4" fontId="14" fillId="14" borderId="83" xfId="1" applyNumberFormat="1" applyFont="1" applyFill="1" applyBorder="1" applyAlignment="1" applyProtection="1">
      <alignment horizontal="center" vertical="center"/>
      <protection hidden="1"/>
    </xf>
    <xf numFmtId="0" fontId="33" fillId="14" borderId="0" xfId="0" applyFont="1" applyFill="1" applyAlignment="1">
      <alignment vertical="center"/>
    </xf>
    <xf numFmtId="165" fontId="19" fillId="0" borderId="71" xfId="1" applyFont="1" applyBorder="1" applyAlignment="1" applyProtection="1">
      <alignment vertical="center" wrapText="1"/>
      <protection hidden="1"/>
    </xf>
    <xf numFmtId="0" fontId="14" fillId="14" borderId="0" xfId="0" applyFont="1" applyFill="1" applyAlignment="1">
      <alignment vertical="center"/>
    </xf>
    <xf numFmtId="0" fontId="14" fillId="14" borderId="82" xfId="0" applyFont="1" applyFill="1" applyBorder="1" applyAlignment="1" applyProtection="1">
      <alignment horizontal="center" vertical="center"/>
      <protection hidden="1"/>
    </xf>
    <xf numFmtId="165" fontId="39" fillId="14" borderId="71" xfId="1" applyFont="1" applyFill="1" applyBorder="1" applyAlignment="1" applyProtection="1">
      <alignment horizontal="center" vertical="center" wrapText="1"/>
      <protection hidden="1"/>
    </xf>
    <xf numFmtId="0" fontId="32" fillId="14" borderId="0" xfId="0" applyFont="1" applyFill="1" applyAlignment="1">
      <alignment vertical="center"/>
    </xf>
    <xf numFmtId="0" fontId="28" fillId="14" borderId="0" xfId="0" applyFont="1" applyFill="1" applyAlignment="1">
      <alignment horizontal="center" vertical="center"/>
    </xf>
    <xf numFmtId="0" fontId="28" fillId="14" borderId="82" xfId="0" applyFont="1" applyFill="1" applyBorder="1" applyAlignment="1" applyProtection="1">
      <alignment horizontal="center" vertical="center"/>
      <protection hidden="1"/>
    </xf>
    <xf numFmtId="0" fontId="33" fillId="14" borderId="0" xfId="0" applyFont="1" applyFill="1" applyAlignment="1">
      <alignment horizontal="center" vertical="center"/>
    </xf>
    <xf numFmtId="0" fontId="28" fillId="0" borderId="0" xfId="0" applyFont="1" applyAlignment="1">
      <alignment horizontal="left" vertical="center"/>
    </xf>
    <xf numFmtId="0" fontId="14" fillId="0" borderId="66" xfId="0" applyFont="1" applyBorder="1" applyAlignment="1" applyProtection="1">
      <alignment horizontal="center" vertical="center"/>
      <protection hidden="1"/>
    </xf>
    <xf numFmtId="165" fontId="44" fillId="0" borderId="67" xfId="1" applyFont="1" applyBorder="1" applyAlignment="1" applyProtection="1">
      <alignment horizontal="center" vertical="center" wrapText="1"/>
      <protection hidden="1"/>
    </xf>
    <xf numFmtId="164" fontId="45" fillId="0" borderId="67" xfId="1" applyNumberFormat="1" applyFont="1" applyBorder="1" applyAlignment="1" applyProtection="1">
      <alignment horizontal="center" vertical="center"/>
      <protection hidden="1"/>
    </xf>
    <xf numFmtId="164" fontId="45" fillId="0" borderId="68" xfId="1" applyNumberFormat="1" applyFont="1" applyBorder="1" applyAlignment="1" applyProtection="1">
      <alignment horizontal="center" vertical="center"/>
      <protection hidden="1"/>
    </xf>
    <xf numFmtId="165" fontId="15" fillId="0" borderId="71" xfId="1" applyFont="1" applyBorder="1" applyAlignment="1" applyProtection="1">
      <alignment horizontal="center"/>
      <protection hidden="1"/>
    </xf>
    <xf numFmtId="165" fontId="15" fillId="0" borderId="83" xfId="1" applyFont="1" applyBorder="1" applyAlignment="1" applyProtection="1">
      <alignment horizontal="center"/>
      <protection hidden="1"/>
    </xf>
    <xf numFmtId="0" fontId="15" fillId="0" borderId="71" xfId="1" applyNumberFormat="1" applyFont="1" applyBorder="1" applyAlignment="1" applyProtection="1">
      <alignment horizontal="center"/>
      <protection hidden="1"/>
    </xf>
    <xf numFmtId="0" fontId="15" fillId="0" borderId="83" xfId="1" applyNumberFormat="1" applyFont="1" applyBorder="1" applyAlignment="1" applyProtection="1">
      <alignment horizontal="center"/>
      <protection hidden="1"/>
    </xf>
    <xf numFmtId="49" fontId="15" fillId="0" borderId="71" xfId="1" applyNumberFormat="1" applyFont="1" applyBorder="1" applyAlignment="1" applyProtection="1">
      <alignment horizontal="center"/>
      <protection hidden="1"/>
    </xf>
    <xf numFmtId="49" fontId="15" fillId="0" borderId="83" xfId="1" applyNumberFormat="1" applyFont="1" applyBorder="1" applyAlignment="1" applyProtection="1">
      <alignment horizontal="center"/>
      <protection hidden="1"/>
    </xf>
    <xf numFmtId="0" fontId="24" fillId="4" borderId="64" xfId="0" applyFont="1" applyFill="1" applyBorder="1" applyAlignment="1" applyProtection="1">
      <alignment horizontal="center"/>
      <protection hidden="1"/>
    </xf>
    <xf numFmtId="0" fontId="24" fillId="4" borderId="65" xfId="0" applyFont="1" applyFill="1" applyBorder="1" applyAlignment="1" applyProtection="1">
      <alignment horizontal="center"/>
      <protection hidden="1"/>
    </xf>
    <xf numFmtId="0" fontId="14" fillId="0" borderId="114" xfId="0" applyFont="1" applyBorder="1" applyAlignment="1" applyProtection="1">
      <alignment horizontal="center"/>
      <protection hidden="1"/>
    </xf>
    <xf numFmtId="0" fontId="14" fillId="0" borderId="115" xfId="0" applyFont="1" applyBorder="1" applyAlignment="1" applyProtection="1">
      <alignment horizontal="left" wrapText="1"/>
      <protection hidden="1"/>
    </xf>
    <xf numFmtId="39" fontId="14" fillId="0" borderId="115" xfId="0" applyNumberFormat="1" applyFont="1" applyBorder="1" applyAlignment="1" applyProtection="1">
      <alignment horizontal="center"/>
      <protection hidden="1"/>
    </xf>
    <xf numFmtId="39" fontId="14" fillId="0" borderId="116" xfId="0" applyNumberFormat="1" applyFont="1" applyBorder="1" applyAlignment="1" applyProtection="1">
      <alignment horizontal="center"/>
      <protection hidden="1"/>
    </xf>
    <xf numFmtId="0" fontId="14" fillId="0" borderId="71" xfId="0" applyFont="1" applyBorder="1" applyAlignment="1" applyProtection="1">
      <alignment horizontal="left" wrapText="1"/>
      <protection hidden="1"/>
    </xf>
    <xf numFmtId="39" fontId="14" fillId="0" borderId="71" xfId="0" applyNumberFormat="1" applyFont="1" applyBorder="1" applyAlignment="1" applyProtection="1">
      <alignment horizontal="center"/>
      <protection hidden="1"/>
    </xf>
    <xf numFmtId="39" fontId="14" fillId="0" borderId="83" xfId="0" applyNumberFormat="1" applyFont="1" applyBorder="1" applyAlignment="1" applyProtection="1">
      <alignment horizontal="center"/>
      <protection hidden="1"/>
    </xf>
    <xf numFmtId="0" fontId="28" fillId="16" borderId="82" xfId="0" applyFont="1" applyFill="1" applyBorder="1" applyAlignment="1" applyProtection="1">
      <alignment horizontal="center"/>
      <protection hidden="1"/>
    </xf>
    <xf numFmtId="0" fontId="28" fillId="16" borderId="71" xfId="0" applyFont="1" applyFill="1" applyBorder="1" applyAlignment="1" applyProtection="1">
      <alignment horizontal="left" wrapText="1"/>
      <protection hidden="1"/>
    </xf>
    <xf numFmtId="39" fontId="28" fillId="16" borderId="71" xfId="0" applyNumberFormat="1" applyFont="1" applyFill="1" applyBorder="1" applyAlignment="1" applyProtection="1">
      <alignment horizontal="center"/>
      <protection hidden="1"/>
    </xf>
    <xf numFmtId="39" fontId="28" fillId="16" borderId="83" xfId="0" applyNumberFormat="1" applyFont="1" applyFill="1" applyBorder="1" applyAlignment="1" applyProtection="1">
      <alignment horizontal="center"/>
      <protection hidden="1"/>
    </xf>
    <xf numFmtId="0" fontId="14" fillId="16" borderId="82" xfId="0" applyFont="1" applyFill="1" applyBorder="1" applyAlignment="1" applyProtection="1">
      <alignment horizontal="center" vertical="center"/>
      <protection hidden="1"/>
    </xf>
    <xf numFmtId="165" fontId="28" fillId="16" borderId="71" xfId="1" applyFont="1" applyFill="1" applyBorder="1" applyAlignment="1" applyProtection="1">
      <alignment horizontal="left" vertical="center" wrapText="1"/>
      <protection hidden="1"/>
    </xf>
    <xf numFmtId="4" fontId="28" fillId="16" borderId="71" xfId="1" applyNumberFormat="1" applyFont="1" applyFill="1" applyBorder="1" applyAlignment="1" applyProtection="1">
      <alignment horizontal="center" vertical="center"/>
      <protection hidden="1"/>
    </xf>
    <xf numFmtId="4" fontId="28" fillId="16" borderId="83" xfId="1" applyNumberFormat="1" applyFont="1" applyFill="1" applyBorder="1" applyAlignment="1" applyProtection="1">
      <alignment horizontal="center" vertical="center"/>
      <protection hidden="1"/>
    </xf>
    <xf numFmtId="0" fontId="28" fillId="16" borderId="82" xfId="0" applyFont="1" applyFill="1" applyBorder="1" applyAlignment="1" applyProtection="1">
      <alignment horizontal="center" vertical="center"/>
      <protection hidden="1"/>
    </xf>
    <xf numFmtId="165" fontId="28" fillId="16" borderId="71" xfId="1" applyFont="1" applyFill="1" applyBorder="1" applyAlignment="1" applyProtection="1">
      <alignment vertical="center" wrapText="1"/>
      <protection hidden="1"/>
    </xf>
    <xf numFmtId="49" fontId="14" fillId="0" borderId="64" xfId="1" applyNumberFormat="1" applyFont="1" applyBorder="1" applyAlignment="1" applyProtection="1">
      <alignment horizontal="center" vertical="top"/>
    </xf>
    <xf numFmtId="49" fontId="14" fillId="0" borderId="65" xfId="1" applyNumberFormat="1" applyFont="1" applyBorder="1" applyAlignment="1" applyProtection="1">
      <alignment horizontal="center" vertical="top"/>
    </xf>
    <xf numFmtId="0" fontId="28" fillId="4" borderId="87" xfId="1" applyNumberFormat="1" applyFont="1" applyFill="1" applyBorder="1" applyAlignment="1" applyProtection="1">
      <alignment horizontal="center" vertical="top"/>
    </xf>
    <xf numFmtId="0" fontId="28" fillId="4" borderId="75" xfId="1" applyNumberFormat="1" applyFont="1" applyFill="1" applyBorder="1" applyAlignment="1" applyProtection="1">
      <alignment horizontal="center" vertical="top"/>
    </xf>
    <xf numFmtId="0" fontId="19" fillId="16" borderId="82" xfId="0" applyFont="1" applyFill="1" applyBorder="1" applyAlignment="1">
      <alignment vertical="top"/>
    </xf>
    <xf numFmtId="0" fontId="21" fillId="16" borderId="71" xfId="0" applyFont="1" applyFill="1" applyBorder="1" applyAlignment="1">
      <alignment vertical="center" wrapText="1"/>
    </xf>
    <xf numFmtId="4" fontId="21" fillId="16" borderId="71" xfId="1" applyNumberFormat="1" applyFont="1" applyFill="1" applyBorder="1" applyAlignment="1" applyProtection="1">
      <alignment horizontal="center" vertical="top"/>
    </xf>
    <xf numFmtId="4" fontId="21" fillId="16" borderId="83" xfId="1" applyNumberFormat="1" applyFont="1" applyFill="1" applyBorder="1" applyAlignment="1" applyProtection="1">
      <alignment horizontal="center" vertical="top"/>
    </xf>
    <xf numFmtId="0" fontId="14" fillId="16" borderId="66" xfId="0" applyFont="1" applyFill="1" applyBorder="1" applyAlignment="1">
      <alignment vertical="top"/>
    </xf>
    <xf numFmtId="0" fontId="28" fillId="16" borderId="67" xfId="0" applyFont="1" applyFill="1" applyBorder="1" applyAlignment="1">
      <alignment vertical="center" wrapText="1"/>
    </xf>
    <xf numFmtId="4" fontId="28" fillId="16" borderId="67" xfId="0" applyNumberFormat="1" applyFont="1" applyFill="1" applyBorder="1" applyAlignment="1">
      <alignment horizontal="center" vertical="top"/>
    </xf>
    <xf numFmtId="4" fontId="28" fillId="16" borderId="68" xfId="0" applyNumberFormat="1" applyFont="1" applyFill="1" applyBorder="1" applyAlignment="1">
      <alignment horizontal="center" vertical="top"/>
    </xf>
    <xf numFmtId="0" fontId="15" fillId="16" borderId="82" xfId="0" applyFont="1" applyFill="1" applyBorder="1" applyAlignment="1">
      <alignment horizontal="center" vertical="center"/>
    </xf>
    <xf numFmtId="166" fontId="24" fillId="16" borderId="71" xfId="1" applyNumberFormat="1" applyFont="1" applyFill="1" applyBorder="1" applyAlignment="1" applyProtection="1">
      <alignment horizontal="left" vertical="center" wrapText="1"/>
    </xf>
    <xf numFmtId="39" fontId="25" fillId="16" borderId="71" xfId="1" applyNumberFormat="1" applyFont="1" applyFill="1" applyBorder="1" applyAlignment="1" applyProtection="1">
      <alignment horizontal="center" vertical="center"/>
    </xf>
    <xf numFmtId="39" fontId="25" fillId="16" borderId="83" xfId="1" applyNumberFormat="1" applyFont="1" applyFill="1" applyBorder="1" applyAlignment="1" applyProtection="1">
      <alignment horizontal="center" vertical="center"/>
    </xf>
    <xf numFmtId="0" fontId="15" fillId="16" borderId="107" xfId="0" applyFont="1" applyFill="1" applyBorder="1" applyAlignment="1">
      <alignment horizontal="center" vertical="center"/>
    </xf>
    <xf numFmtId="0" fontId="25" fillId="16" borderId="108" xfId="0" applyFont="1" applyFill="1" applyBorder="1" applyAlignment="1">
      <alignment horizontal="left" vertical="center" wrapText="1"/>
    </xf>
    <xf numFmtId="39" fontId="25" fillId="16" borderId="108" xfId="0" applyNumberFormat="1" applyFont="1" applyFill="1" applyBorder="1" applyAlignment="1">
      <alignment horizontal="center" vertical="center"/>
    </xf>
    <xf numFmtId="39" fontId="25" fillId="16" borderId="109" xfId="0" applyNumberFormat="1" applyFont="1" applyFill="1" applyBorder="1" applyAlignment="1">
      <alignment horizontal="center" vertical="center"/>
    </xf>
    <xf numFmtId="165" fontId="14" fillId="0" borderId="71" xfId="1" applyFont="1" applyBorder="1" applyAlignment="1" applyProtection="1">
      <alignment horizontal="center"/>
      <protection hidden="1"/>
    </xf>
    <xf numFmtId="165" fontId="14" fillId="0" borderId="83" xfId="1" applyFont="1" applyBorder="1" applyAlignment="1" applyProtection="1">
      <alignment horizontal="center"/>
      <protection hidden="1"/>
    </xf>
    <xf numFmtId="0" fontId="14" fillId="0" borderId="71" xfId="1" applyNumberFormat="1" applyFont="1" applyBorder="1" applyAlignment="1" applyProtection="1">
      <alignment horizontal="center"/>
      <protection hidden="1"/>
    </xf>
    <xf numFmtId="0" fontId="14" fillId="0" borderId="83" xfId="1" applyNumberFormat="1" applyFont="1" applyBorder="1" applyAlignment="1" applyProtection="1">
      <alignment horizontal="center"/>
      <protection hidden="1"/>
    </xf>
    <xf numFmtId="165" fontId="14" fillId="0" borderId="82" xfId="1" applyFont="1" applyBorder="1" applyProtection="1">
      <protection hidden="1"/>
    </xf>
    <xf numFmtId="165" fontId="14" fillId="0" borderId="71" xfId="1" applyFont="1" applyBorder="1" applyProtection="1">
      <protection hidden="1"/>
    </xf>
    <xf numFmtId="39" fontId="14" fillId="0" borderId="71" xfId="1" applyNumberFormat="1" applyFont="1" applyBorder="1" applyAlignment="1" applyProtection="1">
      <alignment horizontal="center"/>
      <protection hidden="1"/>
    </xf>
    <xf numFmtId="39" fontId="14" fillId="0" borderId="83" xfId="1" applyNumberFormat="1" applyFont="1" applyBorder="1" applyAlignment="1" applyProtection="1">
      <alignment horizontal="center"/>
      <protection hidden="1"/>
    </xf>
    <xf numFmtId="49" fontId="14" fillId="0" borderId="64" xfId="1" applyNumberFormat="1" applyFont="1" applyBorder="1" applyAlignment="1" applyProtection="1">
      <alignment horizontal="center"/>
      <protection hidden="1"/>
    </xf>
    <xf numFmtId="49" fontId="14" fillId="0" borderId="65" xfId="1" applyNumberFormat="1" applyFont="1" applyBorder="1" applyAlignment="1" applyProtection="1">
      <alignment horizontal="center"/>
      <protection hidden="1"/>
    </xf>
    <xf numFmtId="0" fontId="28" fillId="0" borderId="87" xfId="1" applyNumberFormat="1" applyFont="1" applyBorder="1" applyAlignment="1" applyProtection="1">
      <alignment horizontal="center"/>
      <protection hidden="1"/>
    </xf>
    <xf numFmtId="0" fontId="28" fillId="0" borderId="75" xfId="1" applyNumberFormat="1" applyFont="1" applyBorder="1" applyAlignment="1" applyProtection="1">
      <alignment horizontal="center"/>
      <protection hidden="1"/>
    </xf>
    <xf numFmtId="165" fontId="28" fillId="16" borderId="82" xfId="1" applyFont="1" applyFill="1" applyBorder="1" applyProtection="1">
      <protection hidden="1"/>
    </xf>
    <xf numFmtId="165" fontId="28" fillId="16" borderId="71" xfId="1" applyFont="1" applyFill="1" applyBorder="1" applyProtection="1">
      <protection hidden="1"/>
    </xf>
    <xf numFmtId="39" fontId="28" fillId="16" borderId="71" xfId="1" applyNumberFormat="1" applyFont="1" applyFill="1" applyBorder="1" applyAlignment="1" applyProtection="1">
      <alignment horizontal="center"/>
      <protection hidden="1"/>
    </xf>
    <xf numFmtId="39" fontId="28" fillId="16" borderId="83" xfId="1" applyNumberFormat="1" applyFont="1" applyFill="1" applyBorder="1" applyAlignment="1" applyProtection="1">
      <alignment horizontal="center"/>
      <protection hidden="1"/>
    </xf>
    <xf numFmtId="0" fontId="28" fillId="16" borderId="82" xfId="0" applyFont="1" applyFill="1" applyBorder="1" applyProtection="1">
      <protection hidden="1"/>
    </xf>
    <xf numFmtId="0" fontId="28" fillId="16" borderId="71" xfId="0" applyFont="1" applyFill="1" applyBorder="1" applyProtection="1">
      <protection hidden="1"/>
    </xf>
    <xf numFmtId="0" fontId="14" fillId="4" borderId="84" xfId="0" applyFont="1" applyFill="1" applyBorder="1" applyAlignment="1">
      <alignment vertical="center"/>
    </xf>
    <xf numFmtId="0" fontId="14" fillId="4" borderId="82" xfId="0" applyFont="1" applyFill="1" applyBorder="1" applyAlignment="1">
      <alignment vertical="center"/>
    </xf>
    <xf numFmtId="0" fontId="14" fillId="0" borderId="82" xfId="0" applyFont="1" applyBorder="1" applyAlignment="1">
      <alignment vertical="center"/>
    </xf>
    <xf numFmtId="169" fontId="21" fillId="4" borderId="0" xfId="0" applyNumberFormat="1" applyFont="1" applyFill="1" applyAlignment="1" applyProtection="1">
      <alignment horizontal="center" vertical="center" wrapText="1"/>
      <protection locked="0"/>
    </xf>
    <xf numFmtId="0" fontId="28" fillId="4" borderId="0" xfId="0" applyFont="1" applyFill="1" applyAlignment="1">
      <alignment horizontal="center" vertical="center"/>
    </xf>
    <xf numFmtId="0" fontId="21" fillId="4" borderId="0" xfId="0" applyFont="1" applyFill="1" applyAlignment="1">
      <alignment horizontal="center" vertical="center" wrapText="1"/>
    </xf>
    <xf numFmtId="0" fontId="28" fillId="0" borderId="0" xfId="0" applyFont="1" applyAlignment="1">
      <alignment horizontal="center" vertical="center"/>
    </xf>
    <xf numFmtId="0" fontId="48" fillId="4" borderId="0" xfId="0" applyFont="1" applyFill="1" applyAlignment="1">
      <alignment horizontal="center" vertical="center"/>
    </xf>
    <xf numFmtId="0" fontId="51" fillId="4" borderId="0" xfId="0" applyFont="1" applyFill="1" applyAlignment="1">
      <alignment horizontal="center" vertical="center"/>
    </xf>
    <xf numFmtId="0" fontId="19" fillId="4" borderId="0" xfId="0" applyFont="1" applyFill="1" applyAlignment="1">
      <alignment horizontal="center" vertical="center"/>
    </xf>
    <xf numFmtId="0" fontId="19" fillId="4" borderId="70" xfId="0" applyFont="1" applyFill="1" applyBorder="1" applyAlignment="1" applyProtection="1">
      <alignment horizontal="center" vertical="center" wrapText="1"/>
      <protection locked="0"/>
    </xf>
    <xf numFmtId="0" fontId="19" fillId="4" borderId="71" xfId="0" applyFont="1" applyFill="1" applyBorder="1" applyAlignment="1" applyProtection="1">
      <alignment horizontal="center" vertical="center" wrapText="1"/>
      <protection locked="0"/>
    </xf>
    <xf numFmtId="0" fontId="19" fillId="4" borderId="0" xfId="0" applyFont="1" applyFill="1" applyAlignment="1" applyProtection="1">
      <alignment horizontal="center" vertical="center" wrapText="1"/>
      <protection locked="0"/>
    </xf>
    <xf numFmtId="0" fontId="28" fillId="4" borderId="124" xfId="0" applyFont="1" applyFill="1" applyBorder="1" applyAlignment="1">
      <alignment horizontal="center" vertical="center" wrapText="1"/>
    </xf>
    <xf numFmtId="0" fontId="28" fillId="4" borderId="70" xfId="0" applyFont="1" applyFill="1" applyBorder="1" applyAlignment="1">
      <alignment horizontal="center" vertical="center" wrapText="1"/>
    </xf>
    <xf numFmtId="0" fontId="28" fillId="4" borderId="125" xfId="0" applyFont="1" applyFill="1" applyBorder="1" applyAlignment="1">
      <alignment horizontal="center" vertical="center" wrapText="1"/>
    </xf>
    <xf numFmtId="0" fontId="21" fillId="15" borderId="80" xfId="0" applyFont="1" applyFill="1" applyBorder="1" applyAlignment="1">
      <alignment vertical="center" wrapText="1"/>
    </xf>
    <xf numFmtId="0" fontId="21" fillId="15" borderId="71" xfId="0" applyFont="1" applyFill="1" applyBorder="1" applyAlignment="1">
      <alignment horizontal="center" vertical="center" wrapText="1"/>
    </xf>
    <xf numFmtId="0" fontId="21" fillId="15" borderId="81" xfId="0" applyFont="1" applyFill="1" applyBorder="1" applyAlignment="1">
      <alignment horizontal="center" vertical="center" wrapText="1"/>
    </xf>
    <xf numFmtId="0" fontId="21" fillId="0" borderId="80" xfId="0" applyFont="1" applyBorder="1" applyAlignment="1">
      <alignment vertical="center" wrapText="1"/>
    </xf>
    <xf numFmtId="0" fontId="19" fillId="0" borderId="71" xfId="0" applyFont="1" applyBorder="1" applyAlignment="1">
      <alignment horizontal="center" vertical="center" wrapText="1"/>
    </xf>
    <xf numFmtId="2" fontId="21" fillId="9" borderId="71" xfId="0" applyNumberFormat="1" applyFont="1" applyFill="1" applyBorder="1" applyAlignment="1" applyProtection="1">
      <alignment horizontal="center" vertical="center" wrapText="1"/>
      <protection locked="0"/>
    </xf>
    <xf numFmtId="0" fontId="21" fillId="12" borderId="81" xfId="0" applyFont="1" applyFill="1" applyBorder="1" applyAlignment="1">
      <alignment horizontal="center" vertical="center" wrapText="1"/>
    </xf>
    <xf numFmtId="0" fontId="19" fillId="0" borderId="80" xfId="0" applyFont="1" applyBorder="1" applyAlignment="1">
      <alignment horizontal="left" vertical="center" wrapText="1"/>
    </xf>
    <xf numFmtId="0" fontId="21" fillId="0" borderId="71" xfId="0" applyFont="1" applyBorder="1" applyAlignment="1">
      <alignment horizontal="center" vertical="center" wrapText="1"/>
    </xf>
    <xf numFmtId="0" fontId="21" fillId="0" borderId="81" xfId="0" applyFont="1" applyBorder="1" applyAlignment="1">
      <alignment horizontal="center" vertical="center" wrapText="1"/>
    </xf>
    <xf numFmtId="0" fontId="28" fillId="12" borderId="81" xfId="0" applyFont="1" applyFill="1" applyBorder="1" applyAlignment="1">
      <alignment horizontal="center" vertical="center" wrapText="1"/>
    </xf>
    <xf numFmtId="0" fontId="28" fillId="0" borderId="81" xfId="0" applyFont="1" applyBorder="1" applyAlignment="1">
      <alignment horizontal="center" vertical="center" wrapText="1"/>
    </xf>
    <xf numFmtId="0" fontId="19" fillId="0" borderId="80" xfId="0" applyFont="1" applyBorder="1" applyAlignment="1">
      <alignment vertical="center" wrapText="1"/>
    </xf>
    <xf numFmtId="0" fontId="14" fillId="15" borderId="71" xfId="0" applyFont="1" applyFill="1" applyBorder="1" applyAlignment="1">
      <alignment horizontal="center" vertical="center"/>
    </xf>
    <xf numFmtId="0" fontId="28" fillId="15" borderId="81" xfId="0" applyFont="1" applyFill="1" applyBorder="1" applyAlignment="1">
      <alignment horizontal="center" vertical="center"/>
    </xf>
    <xf numFmtId="10" fontId="21" fillId="4" borderId="71" xfId="0" applyNumberFormat="1" applyFont="1" applyFill="1" applyBorder="1" applyAlignment="1" applyProtection="1">
      <alignment horizontal="center" vertical="center" wrapText="1"/>
      <protection locked="0"/>
    </xf>
    <xf numFmtId="0" fontId="14" fillId="0" borderId="71" xfId="0" applyFont="1" applyBorder="1" applyAlignment="1">
      <alignment horizontal="center" vertical="center"/>
    </xf>
    <xf numFmtId="0" fontId="28" fillId="15" borderId="80" xfId="0" applyFont="1" applyFill="1" applyBorder="1" applyAlignment="1">
      <alignment vertical="center" wrapText="1"/>
    </xf>
    <xf numFmtId="0" fontId="28" fillId="15" borderId="71" xfId="0" applyFont="1" applyFill="1" applyBorder="1" applyAlignment="1">
      <alignment horizontal="center" vertical="center" wrapText="1"/>
    </xf>
    <xf numFmtId="0" fontId="28" fillId="15" borderId="81" xfId="0" applyFont="1" applyFill="1" applyBorder="1" applyAlignment="1">
      <alignment horizontal="center" vertical="center" wrapText="1"/>
    </xf>
    <xf numFmtId="10" fontId="21" fillId="9" borderId="71" xfId="2" applyNumberFormat="1" applyFont="1" applyFill="1" applyBorder="1" applyAlignment="1" applyProtection="1">
      <alignment horizontal="center" vertical="center" wrapText="1"/>
      <protection locked="0"/>
    </xf>
    <xf numFmtId="0" fontId="21" fillId="12" borderId="81" xfId="0" applyFont="1" applyFill="1" applyBorder="1" applyAlignment="1">
      <alignment horizontal="center" vertical="center"/>
    </xf>
    <xf numFmtId="0" fontId="19" fillId="0" borderId="80" xfId="0" applyFont="1" applyBorder="1" applyAlignment="1">
      <alignment horizontal="center" vertical="center" wrapText="1"/>
    </xf>
    <xf numFmtId="2" fontId="21" fillId="0" borderId="71" xfId="0" applyNumberFormat="1" applyFont="1" applyBorder="1" applyAlignment="1" applyProtection="1">
      <alignment horizontal="center" vertical="center" wrapText="1"/>
      <protection locked="0"/>
    </xf>
    <xf numFmtId="0" fontId="21" fillId="0" borderId="81" xfId="0" applyFont="1" applyBorder="1" applyAlignment="1">
      <alignment horizontal="center" vertical="center"/>
    </xf>
    <xf numFmtId="2" fontId="21" fillId="4" borderId="71" xfId="0" applyNumberFormat="1" applyFont="1" applyFill="1" applyBorder="1" applyAlignment="1" applyProtection="1">
      <alignment horizontal="center" vertical="center" wrapText="1"/>
      <protection locked="0"/>
    </xf>
    <xf numFmtId="0" fontId="28" fillId="0" borderId="81" xfId="0" applyFont="1" applyBorder="1" applyAlignment="1">
      <alignment horizontal="center" vertical="center"/>
    </xf>
    <xf numFmtId="0" fontId="21" fillId="0" borderId="80" xfId="0" applyFont="1" applyBorder="1" applyAlignment="1">
      <alignment horizontal="left" vertical="center" wrapText="1"/>
    </xf>
    <xf numFmtId="10" fontId="21" fillId="9" borderId="71" xfId="2" applyNumberFormat="1" applyFont="1" applyFill="1" applyBorder="1" applyAlignment="1" applyProtection="1">
      <alignment horizontal="center" vertical="center" wrapText="1"/>
    </xf>
    <xf numFmtId="2" fontId="33" fillId="9" borderId="71" xfId="0" applyNumberFormat="1" applyFont="1" applyFill="1" applyBorder="1" applyAlignment="1" applyProtection="1">
      <alignment horizontal="center" vertical="center" wrapText="1"/>
      <protection locked="0"/>
    </xf>
    <xf numFmtId="165" fontId="21" fillId="9" borderId="71" xfId="0" applyNumberFormat="1" applyFont="1" applyFill="1" applyBorder="1" applyAlignment="1">
      <alignment horizontal="center" vertical="center" wrapText="1"/>
    </xf>
    <xf numFmtId="1" fontId="21" fillId="9" borderId="71" xfId="0" applyNumberFormat="1" applyFont="1" applyFill="1" applyBorder="1" applyAlignment="1" applyProtection="1">
      <alignment horizontal="center" vertical="center" wrapText="1"/>
      <protection locked="0"/>
    </xf>
    <xf numFmtId="0" fontId="21" fillId="4" borderId="126" xfId="0" applyFont="1" applyFill="1" applyBorder="1" applyAlignment="1">
      <alignment horizontal="center" vertical="center" wrapText="1"/>
    </xf>
    <xf numFmtId="0" fontId="21" fillId="4" borderId="127" xfId="0" applyFont="1" applyFill="1" applyBorder="1" applyAlignment="1">
      <alignment horizontal="center" vertical="center" wrapText="1"/>
    </xf>
    <xf numFmtId="0" fontId="28" fillId="15" borderId="71" xfId="0" applyFont="1" applyFill="1" applyBorder="1" applyAlignment="1">
      <alignment horizontal="center" vertical="center"/>
    </xf>
    <xf numFmtId="0" fontId="21" fillId="17" borderId="80" xfId="0" applyFont="1" applyFill="1" applyBorder="1" applyAlignment="1">
      <alignment horizontal="center" vertical="center" wrapText="1"/>
    </xf>
    <xf numFmtId="0" fontId="21" fillId="17" borderId="71" xfId="0" applyFont="1" applyFill="1" applyBorder="1" applyAlignment="1">
      <alignment horizontal="center" vertical="center" wrapText="1"/>
    </xf>
    <xf numFmtId="0" fontId="21" fillId="17" borderId="81" xfId="0" applyFont="1" applyFill="1" applyBorder="1" applyAlignment="1">
      <alignment horizontal="center" vertical="center" wrapText="1"/>
    </xf>
    <xf numFmtId="9" fontId="14" fillId="0" borderId="0" xfId="0" applyNumberFormat="1" applyFont="1"/>
    <xf numFmtId="0" fontId="19" fillId="4" borderId="71" xfId="0" applyFont="1" applyFill="1" applyBorder="1" applyAlignment="1" applyProtection="1">
      <alignment horizontal="center" vertical="center"/>
      <protection locked="0"/>
    </xf>
    <xf numFmtId="0" fontId="28" fillId="0" borderId="0" xfId="0" applyFont="1" applyAlignment="1">
      <alignment horizontal="center" wrapText="1"/>
    </xf>
    <xf numFmtId="0" fontId="28" fillId="7" borderId="1" xfId="0" applyFont="1" applyFill="1" applyBorder="1" applyAlignment="1">
      <alignment vertical="center" wrapText="1"/>
    </xf>
    <xf numFmtId="2" fontId="28" fillId="7" borderId="1" xfId="0" applyNumberFormat="1" applyFont="1" applyFill="1" applyBorder="1" applyAlignment="1">
      <alignment horizontal="center" vertical="center"/>
    </xf>
    <xf numFmtId="0" fontId="65" fillId="0" borderId="69" xfId="0" applyFont="1" applyBorder="1" applyAlignment="1" applyProtection="1">
      <alignment horizontal="center"/>
      <protection locked="0"/>
    </xf>
    <xf numFmtId="168" fontId="65" fillId="0" borderId="69" xfId="0" applyNumberFormat="1" applyFont="1" applyBorder="1" applyAlignment="1" applyProtection="1">
      <alignment horizontal="center"/>
      <protection locked="0"/>
    </xf>
    <xf numFmtId="168" fontId="65" fillId="0" borderId="91" xfId="0" applyNumberFormat="1" applyFont="1" applyBorder="1" applyAlignment="1" applyProtection="1">
      <alignment horizontal="center"/>
      <protection locked="0"/>
    </xf>
    <xf numFmtId="0" fontId="65" fillId="0" borderId="90" xfId="0" applyFont="1" applyBorder="1" applyAlignment="1" applyProtection="1">
      <alignment horizontal="center"/>
      <protection locked="0"/>
    </xf>
    <xf numFmtId="0" fontId="65" fillId="0" borderId="69" xfId="0" applyFont="1" applyBorder="1" applyAlignment="1" applyProtection="1">
      <alignment horizontal="center" wrapText="1"/>
      <protection locked="0"/>
    </xf>
    <xf numFmtId="39" fontId="25" fillId="16" borderId="71" xfId="1" applyNumberFormat="1" applyFont="1" applyFill="1" applyBorder="1" applyAlignment="1" applyProtection="1">
      <alignment horizontal="center" vertical="center" wrapText="1"/>
    </xf>
    <xf numFmtId="166" fontId="26" fillId="2" borderId="71" xfId="1" applyNumberFormat="1" applyFont="1" applyFill="1" applyBorder="1" applyAlignment="1" applyProtection="1">
      <alignment horizontal="left" vertical="center" wrapText="1"/>
    </xf>
    <xf numFmtId="0" fontId="66" fillId="0" borderId="71" xfId="0" applyFont="1" applyBorder="1" applyAlignment="1">
      <alignment horizontal="center" vertical="center" wrapText="1"/>
    </xf>
    <xf numFmtId="171" fontId="28" fillId="7" borderId="1" xfId="0" applyNumberFormat="1" applyFont="1" applyFill="1" applyBorder="1" applyAlignment="1">
      <alignment horizontal="center" vertical="center"/>
    </xf>
    <xf numFmtId="171" fontId="14" fillId="0" borderId="1" xfId="0" applyNumberFormat="1" applyFont="1" applyBorder="1" applyAlignment="1" applyProtection="1">
      <alignment horizontal="center"/>
      <protection hidden="1"/>
    </xf>
    <xf numFmtId="171" fontId="28" fillId="7" borderId="1" xfId="0" applyNumberFormat="1" applyFont="1" applyFill="1" applyBorder="1" applyAlignment="1" applyProtection="1">
      <alignment horizontal="center"/>
      <protection hidden="1"/>
    </xf>
    <xf numFmtId="171" fontId="28" fillId="7" borderId="3" xfId="0" applyNumberFormat="1" applyFont="1" applyFill="1" applyBorder="1" applyAlignment="1">
      <alignment horizontal="center" vertical="center"/>
    </xf>
    <xf numFmtId="171" fontId="14" fillId="0" borderId="3" xfId="0" applyNumberFormat="1" applyFont="1" applyBorder="1" applyAlignment="1" applyProtection="1">
      <alignment horizontal="center"/>
      <protection hidden="1"/>
    </xf>
    <xf numFmtId="171" fontId="28" fillId="7" borderId="3" xfId="0" applyNumberFormat="1" applyFont="1" applyFill="1" applyBorder="1" applyAlignment="1" applyProtection="1">
      <alignment horizontal="center"/>
      <protection hidden="1"/>
    </xf>
    <xf numFmtId="167" fontId="14" fillId="0" borderId="1" xfId="2" applyNumberFormat="1" applyFont="1" applyFill="1" applyBorder="1" applyAlignment="1" applyProtection="1">
      <alignment horizontal="center"/>
    </xf>
    <xf numFmtId="0" fontId="0" fillId="20" borderId="0" xfId="0" applyFill="1"/>
    <xf numFmtId="0" fontId="0" fillId="4" borderId="0" xfId="0" applyFill="1" applyAlignment="1">
      <alignment horizontal="right"/>
    </xf>
    <xf numFmtId="0" fontId="31" fillId="4" borderId="0" xfId="0" applyFont="1" applyFill="1" applyAlignment="1">
      <alignment horizontal="right"/>
    </xf>
    <xf numFmtId="0" fontId="0" fillId="5" borderId="0" xfId="0" applyFill="1" applyAlignment="1">
      <alignment horizontal="right"/>
    </xf>
    <xf numFmtId="0" fontId="0" fillId="8" borderId="0" xfId="0" applyFill="1" applyAlignment="1">
      <alignment horizontal="right"/>
    </xf>
    <xf numFmtId="0" fontId="0" fillId="0" borderId="0" xfId="0" applyAlignment="1">
      <alignment horizontal="right"/>
    </xf>
    <xf numFmtId="0" fontId="68" fillId="4" borderId="1" xfId="0" applyFont="1" applyFill="1" applyBorder="1" applyAlignment="1">
      <alignment horizontal="center"/>
    </xf>
    <xf numFmtId="0" fontId="0" fillId="5" borderId="0" xfId="0" applyFill="1" applyAlignment="1">
      <alignment horizontal="center"/>
    </xf>
    <xf numFmtId="0" fontId="0" fillId="8" borderId="0" xfId="0" applyFill="1" applyAlignment="1">
      <alignment horizontal="center"/>
    </xf>
    <xf numFmtId="0" fontId="24" fillId="16" borderId="71" xfId="0" applyFont="1" applyFill="1" applyBorder="1" applyAlignment="1" applyProtection="1">
      <alignment horizontal="center" vertical="center" wrapText="1"/>
      <protection hidden="1"/>
    </xf>
    <xf numFmtId="4" fontId="24" fillId="16" borderId="71" xfId="1" applyNumberFormat="1" applyFont="1" applyFill="1" applyBorder="1" applyAlignment="1" applyProtection="1">
      <alignment horizontal="center" vertical="top"/>
      <protection hidden="1"/>
    </xf>
    <xf numFmtId="4" fontId="24" fillId="16" borderId="83" xfId="1" applyNumberFormat="1" applyFont="1" applyFill="1" applyBorder="1" applyAlignment="1" applyProtection="1">
      <alignment horizontal="center" vertical="top"/>
      <protection hidden="1"/>
    </xf>
    <xf numFmtId="0" fontId="2" fillId="0" borderId="0" xfId="0" applyFont="1" applyAlignment="1">
      <alignment wrapText="1"/>
    </xf>
    <xf numFmtId="0" fontId="15" fillId="16" borderId="82" xfId="0" applyFont="1" applyFill="1" applyBorder="1" applyAlignment="1">
      <alignment horizontal="center" vertical="center" wrapText="1"/>
    </xf>
    <xf numFmtId="0" fontId="72" fillId="0" borderId="0" xfId="0" applyFont="1" applyAlignment="1">
      <alignment horizontal="left" wrapText="1"/>
    </xf>
    <xf numFmtId="166" fontId="72" fillId="0" borderId="0" xfId="0" applyNumberFormat="1" applyFont="1" applyAlignment="1">
      <alignment horizontal="center" vertical="center"/>
    </xf>
    <xf numFmtId="0" fontId="71" fillId="0" borderId="0" xfId="0" applyFont="1" applyAlignment="1">
      <alignment vertical="center" wrapText="1"/>
    </xf>
    <xf numFmtId="0" fontId="71" fillId="0" borderId="0" xfId="0" applyFont="1" applyAlignment="1">
      <alignment vertical="top"/>
    </xf>
    <xf numFmtId="0" fontId="19" fillId="21"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21" fillId="21" borderId="1" xfId="0" applyFont="1" applyFill="1" applyBorder="1" applyAlignment="1">
      <alignment horizontal="center" vertical="center" wrapText="1"/>
    </xf>
    <xf numFmtId="0" fontId="19" fillId="21" borderId="71" xfId="0" applyFont="1" applyFill="1" applyBorder="1" applyAlignment="1">
      <alignment horizontal="center" vertical="center" wrapText="1"/>
    </xf>
    <xf numFmtId="0" fontId="17" fillId="21" borderId="71" xfId="0" applyFont="1" applyFill="1" applyBorder="1" applyAlignment="1">
      <alignment horizontal="center" vertical="center" wrapText="1"/>
    </xf>
    <xf numFmtId="0" fontId="21" fillId="21" borderId="71" xfId="0" applyFont="1" applyFill="1" applyBorder="1" applyAlignment="1">
      <alignment horizontal="center" vertical="center" wrapText="1"/>
    </xf>
    <xf numFmtId="0" fontId="19" fillId="21" borderId="1" xfId="0" applyFont="1" applyFill="1" applyBorder="1" applyAlignment="1">
      <alignment horizontal="center" vertical="center"/>
    </xf>
    <xf numFmtId="0" fontId="55" fillId="21" borderId="1" xfId="0" applyFont="1" applyFill="1" applyBorder="1"/>
    <xf numFmtId="0" fontId="19" fillId="14" borderId="1" xfId="0" applyFont="1" applyFill="1" applyBorder="1" applyAlignment="1">
      <alignment horizontal="center" vertical="center"/>
    </xf>
    <xf numFmtId="0" fontId="21" fillId="14" borderId="1" xfId="0" applyFont="1" applyFill="1" applyBorder="1" applyAlignment="1">
      <alignment horizontal="center" vertical="center" wrapText="1"/>
    </xf>
    <xf numFmtId="0" fontId="21" fillId="15" borderId="1" xfId="0" applyFont="1" applyFill="1" applyBorder="1" applyAlignment="1">
      <alignment horizontal="center" vertical="center" wrapText="1"/>
    </xf>
    <xf numFmtId="0" fontId="17" fillId="0" borderId="71" xfId="0" applyFont="1" applyBorder="1" applyAlignment="1">
      <alignment horizontal="center" vertical="center" wrapText="1"/>
    </xf>
    <xf numFmtId="173" fontId="19" fillId="0" borderId="71" xfId="0" applyNumberFormat="1" applyFont="1" applyBorder="1" applyAlignment="1">
      <alignment horizontal="center" vertical="center" wrapText="1"/>
    </xf>
    <xf numFmtId="0" fontId="19" fillId="4" borderId="1" xfId="0" applyFont="1" applyFill="1" applyBorder="1" applyAlignment="1">
      <alignment horizontal="center" vertical="center" wrapText="1"/>
    </xf>
    <xf numFmtId="0" fontId="13" fillId="8" borderId="0" xfId="3" applyFill="1"/>
    <xf numFmtId="0" fontId="5" fillId="8" borderId="0" xfId="0" applyFont="1" applyFill="1"/>
    <xf numFmtId="0" fontId="0" fillId="11" borderId="0" xfId="0" applyFill="1"/>
    <xf numFmtId="0" fontId="13" fillId="11" borderId="0" xfId="3" applyFill="1"/>
    <xf numFmtId="0" fontId="8" fillId="11" borderId="1" xfId="0" applyFont="1" applyFill="1" applyBorder="1" applyAlignment="1">
      <alignment horizontal="left"/>
    </xf>
    <xf numFmtId="0" fontId="9" fillId="11" borderId="1" xfId="0" applyFont="1" applyFill="1" applyBorder="1" applyAlignment="1">
      <alignment horizontal="center"/>
    </xf>
    <xf numFmtId="0" fontId="6" fillId="11" borderId="1" xfId="0" applyFont="1" applyFill="1" applyBorder="1" applyAlignment="1">
      <alignment horizontal="left" vertical="center"/>
    </xf>
    <xf numFmtId="0" fontId="0" fillId="11" borderId="1" xfId="0" applyFill="1" applyBorder="1" applyAlignment="1">
      <alignment horizontal="center"/>
    </xf>
    <xf numFmtId="0" fontId="5" fillId="11" borderId="0" xfId="0" applyFont="1" applyFill="1"/>
    <xf numFmtId="0" fontId="43" fillId="11" borderId="0" xfId="0" applyFont="1" applyFill="1"/>
    <xf numFmtId="0" fontId="17" fillId="11" borderId="0" xfId="0" applyFont="1" applyFill="1"/>
    <xf numFmtId="0" fontId="0" fillId="22" borderId="0" xfId="0" applyFill="1"/>
    <xf numFmtId="0" fontId="13" fillId="22" borderId="0" xfId="3" applyFill="1"/>
    <xf numFmtId="0" fontId="5" fillId="22" borderId="0" xfId="0" applyFont="1" applyFill="1"/>
    <xf numFmtId="0" fontId="73" fillId="0" borderId="1" xfId="0" applyFont="1" applyBorder="1" applyAlignment="1" applyProtection="1">
      <alignment wrapText="1"/>
      <protection hidden="1"/>
    </xf>
    <xf numFmtId="0" fontId="15" fillId="11" borderId="0" xfId="0" applyFont="1" applyFill="1"/>
    <xf numFmtId="0" fontId="25" fillId="11" borderId="0" xfId="0" applyFont="1" applyFill="1"/>
    <xf numFmtId="0" fontId="15" fillId="11" borderId="0" xfId="0" applyFont="1" applyFill="1" applyAlignment="1">
      <alignment horizontal="center" wrapText="1"/>
    </xf>
    <xf numFmtId="0" fontId="2" fillId="14" borderId="0" xfId="0" applyFont="1" applyFill="1"/>
    <xf numFmtId="0" fontId="2" fillId="14" borderId="0" xfId="0" applyFont="1" applyFill="1" applyAlignment="1">
      <alignment wrapText="1"/>
    </xf>
    <xf numFmtId="0" fontId="4" fillId="14" borderId="0" xfId="0" applyFont="1" applyFill="1"/>
    <xf numFmtId="0" fontId="2" fillId="14" borderId="0" xfId="0" applyFont="1" applyFill="1" applyAlignment="1">
      <alignment horizontal="left" wrapText="1"/>
    </xf>
    <xf numFmtId="166" fontId="2" fillId="14" borderId="0" xfId="0" applyNumberFormat="1" applyFont="1" applyFill="1" applyAlignment="1">
      <alignment horizontal="center" vertical="center"/>
    </xf>
    <xf numFmtId="0" fontId="2" fillId="14" borderId="0" xfId="0" applyFont="1" applyFill="1" applyAlignment="1">
      <alignment vertical="top"/>
    </xf>
    <xf numFmtId="0" fontId="2" fillId="14" borderId="0" xfId="0" applyFont="1" applyFill="1" applyAlignment="1">
      <alignment vertical="center" wrapText="1"/>
    </xf>
    <xf numFmtId="0" fontId="33" fillId="14" borderId="0" xfId="0" applyFont="1" applyFill="1" applyAlignment="1">
      <alignment horizontal="left" vertical="center"/>
    </xf>
    <xf numFmtId="0" fontId="28" fillId="14" borderId="0" xfId="0" applyFont="1" applyFill="1" applyAlignment="1">
      <alignment horizontal="left" vertical="center"/>
    </xf>
    <xf numFmtId="0" fontId="14" fillId="14" borderId="0" xfId="0" applyFont="1" applyFill="1" applyAlignment="1">
      <alignment horizontal="center" vertical="center"/>
    </xf>
    <xf numFmtId="0" fontId="14" fillId="14" borderId="0" xfId="0" applyFont="1" applyFill="1" applyAlignment="1">
      <alignment vertical="center" wrapText="1"/>
    </xf>
    <xf numFmtId="165" fontId="14" fillId="14" borderId="0" xfId="1" applyFont="1" applyFill="1" applyAlignment="1">
      <alignment horizontal="center" vertical="center"/>
    </xf>
    <xf numFmtId="0" fontId="15" fillId="14" borderId="0" xfId="0" applyFont="1" applyFill="1"/>
    <xf numFmtId="0" fontId="25" fillId="14" borderId="0" xfId="0" applyFont="1" applyFill="1"/>
    <xf numFmtId="0" fontId="15" fillId="14" borderId="0" xfId="0" applyFont="1" applyFill="1" applyAlignment="1">
      <alignment wrapText="1"/>
    </xf>
    <xf numFmtId="0" fontId="18" fillId="0" borderId="90" xfId="0" applyFont="1" applyBorder="1"/>
    <xf numFmtId="0" fontId="18" fillId="0" borderId="69" xfId="0" applyFont="1" applyBorder="1"/>
    <xf numFmtId="0" fontId="35" fillId="0" borderId="69" xfId="0" applyFont="1" applyBorder="1"/>
    <xf numFmtId="0" fontId="19" fillId="0" borderId="69" xfId="0" applyFont="1" applyBorder="1"/>
    <xf numFmtId="0" fontId="18" fillId="0" borderId="91" xfId="0" applyFont="1" applyBorder="1"/>
    <xf numFmtId="0" fontId="79" fillId="11" borderId="0" xfId="0" applyFont="1" applyFill="1"/>
    <xf numFmtId="0" fontId="14" fillId="14" borderId="0" xfId="0" applyFont="1" applyFill="1" applyAlignment="1" applyProtection="1">
      <alignment vertical="top"/>
      <protection hidden="1"/>
    </xf>
    <xf numFmtId="0" fontId="19" fillId="14" borderId="0" xfId="0" applyFont="1" applyFill="1" applyAlignment="1" applyProtection="1">
      <alignment vertical="top"/>
      <protection hidden="1"/>
    </xf>
    <xf numFmtId="0" fontId="14" fillId="14" borderId="0" xfId="0" applyFont="1" applyFill="1" applyAlignment="1" applyProtection="1">
      <alignment vertical="center" wrapText="1"/>
      <protection hidden="1"/>
    </xf>
    <xf numFmtId="165" fontId="14" fillId="14" borderId="0" xfId="1" applyFont="1" applyFill="1" applyAlignment="1" applyProtection="1">
      <alignment horizontal="center" vertical="top"/>
      <protection hidden="1"/>
    </xf>
    <xf numFmtId="0" fontId="14" fillId="8" borderId="0" xfId="0" applyFont="1" applyFill="1" applyAlignment="1" applyProtection="1">
      <alignment vertical="top"/>
      <protection hidden="1"/>
    </xf>
    <xf numFmtId="0" fontId="19" fillId="8" borderId="0" xfId="0" applyFont="1" applyFill="1" applyAlignment="1" applyProtection="1">
      <alignment vertical="top"/>
      <protection hidden="1"/>
    </xf>
    <xf numFmtId="0" fontId="14" fillId="8" borderId="0" xfId="0" applyFont="1" applyFill="1" applyAlignment="1" applyProtection="1">
      <alignment vertical="center" wrapText="1"/>
      <protection hidden="1"/>
    </xf>
    <xf numFmtId="165" fontId="14" fillId="8" borderId="0" xfId="1" applyFont="1" applyFill="1" applyAlignment="1" applyProtection="1">
      <alignment horizontal="center" vertical="top"/>
      <protection hidden="1"/>
    </xf>
    <xf numFmtId="0" fontId="14" fillId="0" borderId="0" xfId="0" applyFont="1" applyAlignment="1" applyProtection="1">
      <alignment vertical="top"/>
      <protection hidden="1"/>
    </xf>
    <xf numFmtId="165" fontId="14" fillId="4" borderId="97" xfId="1" applyFont="1" applyFill="1" applyBorder="1" applyAlignment="1" applyProtection="1">
      <alignment horizontal="center" vertical="top"/>
      <protection hidden="1"/>
    </xf>
    <xf numFmtId="165" fontId="14" fillId="4" borderId="98" xfId="1" applyFont="1" applyFill="1" applyBorder="1" applyAlignment="1" applyProtection="1">
      <alignment horizontal="center" vertical="top"/>
      <protection hidden="1"/>
    </xf>
    <xf numFmtId="0" fontId="14" fillId="4" borderId="0" xfId="0" applyFont="1" applyFill="1" applyAlignment="1" applyProtection="1">
      <alignment vertical="top"/>
      <protection hidden="1"/>
    </xf>
    <xf numFmtId="165" fontId="17" fillId="14" borderId="70" xfId="1" applyFont="1" applyFill="1" applyBorder="1" applyAlignment="1" applyProtection="1">
      <alignment horizontal="center" vertical="top"/>
      <protection hidden="1"/>
    </xf>
    <xf numFmtId="165" fontId="17" fillId="14" borderId="85" xfId="1" applyFont="1" applyFill="1" applyBorder="1" applyAlignment="1" applyProtection="1">
      <alignment horizontal="center" vertical="top"/>
      <protection hidden="1"/>
    </xf>
    <xf numFmtId="165" fontId="21" fillId="14" borderId="72" xfId="1" applyFont="1" applyFill="1" applyBorder="1" applyAlignment="1" applyProtection="1">
      <alignment horizontal="center" vertical="top"/>
      <protection hidden="1"/>
    </xf>
    <xf numFmtId="0" fontId="19" fillId="4" borderId="82" xfId="0" applyFont="1" applyFill="1" applyBorder="1" applyAlignment="1" applyProtection="1">
      <alignment horizontal="center" vertical="top"/>
      <protection hidden="1"/>
    </xf>
    <xf numFmtId="0" fontId="18" fillId="4" borderId="71" xfId="0" applyFont="1" applyFill="1" applyBorder="1" applyAlignment="1" applyProtection="1">
      <alignment vertical="center" wrapText="1"/>
      <protection hidden="1"/>
    </xf>
    <xf numFmtId="10" fontId="14" fillId="0" borderId="143" xfId="2" applyNumberFormat="1" applyFont="1" applyFill="1" applyBorder="1" applyAlignment="1" applyProtection="1">
      <alignment vertical="top"/>
      <protection hidden="1"/>
    </xf>
    <xf numFmtId="0" fontId="19" fillId="0" borderId="0" xfId="0" applyFont="1" applyAlignment="1" applyProtection="1">
      <alignment vertical="top"/>
      <protection hidden="1"/>
    </xf>
    <xf numFmtId="0" fontId="19" fillId="4" borderId="0" xfId="0" applyFont="1" applyFill="1" applyAlignment="1" applyProtection="1">
      <alignment vertical="top"/>
      <protection hidden="1"/>
    </xf>
    <xf numFmtId="0" fontId="19" fillId="14" borderId="82" xfId="0" applyFont="1" applyFill="1" applyBorder="1" applyAlignment="1" applyProtection="1">
      <alignment horizontal="center" vertical="top"/>
      <protection hidden="1"/>
    </xf>
    <xf numFmtId="0" fontId="38" fillId="14" borderId="71" xfId="0" applyFont="1" applyFill="1" applyBorder="1" applyAlignment="1" applyProtection="1">
      <alignment horizontal="center" vertical="center" wrapText="1"/>
      <protection hidden="1"/>
    </xf>
    <xf numFmtId="4" fontId="21" fillId="14" borderId="71" xfId="1" applyNumberFormat="1" applyFont="1" applyFill="1" applyBorder="1" applyAlignment="1" applyProtection="1">
      <alignment horizontal="center" vertical="top"/>
      <protection hidden="1"/>
    </xf>
    <xf numFmtId="4" fontId="21" fillId="14" borderId="83" xfId="1" applyNumberFormat="1" applyFont="1" applyFill="1" applyBorder="1" applyAlignment="1" applyProtection="1">
      <alignment horizontal="center" vertical="top"/>
      <protection hidden="1"/>
    </xf>
    <xf numFmtId="0" fontId="18" fillId="4" borderId="71" xfId="0" applyFont="1" applyFill="1" applyBorder="1" applyAlignment="1" applyProtection="1">
      <alignment horizontal="left" vertical="center" wrapText="1"/>
      <protection hidden="1"/>
    </xf>
    <xf numFmtId="0" fontId="19" fillId="16" borderId="82" xfId="0" applyFont="1" applyFill="1" applyBorder="1" applyAlignment="1" applyProtection="1">
      <alignment horizontal="center" vertical="top"/>
      <protection hidden="1"/>
    </xf>
    <xf numFmtId="0" fontId="21" fillId="16" borderId="71" xfId="0" applyFont="1" applyFill="1" applyBorder="1" applyAlignment="1" applyProtection="1">
      <alignment vertical="center" wrapText="1"/>
      <protection hidden="1"/>
    </xf>
    <xf numFmtId="4" fontId="21" fillId="16" borderId="71" xfId="1" applyNumberFormat="1" applyFont="1" applyFill="1" applyBorder="1" applyAlignment="1" applyProtection="1">
      <alignment horizontal="center" vertical="top"/>
      <protection hidden="1"/>
    </xf>
    <xf numFmtId="0" fontId="24" fillId="16" borderId="71" xfId="0" applyFont="1" applyFill="1" applyBorder="1" applyAlignment="1" applyProtection="1">
      <alignment horizontal="left" vertical="center" wrapText="1"/>
      <protection hidden="1"/>
    </xf>
    <xf numFmtId="4" fontId="70" fillId="16" borderId="71" xfId="1" applyNumberFormat="1" applyFont="1" applyFill="1" applyBorder="1" applyAlignment="1" applyProtection="1">
      <alignment horizontal="center" vertical="top"/>
      <protection hidden="1"/>
    </xf>
    <xf numFmtId="4" fontId="70" fillId="16" borderId="83" xfId="1" applyNumberFormat="1" applyFont="1" applyFill="1" applyBorder="1" applyAlignment="1" applyProtection="1">
      <alignment horizontal="center" vertical="top"/>
      <protection hidden="1"/>
    </xf>
    <xf numFmtId="0" fontId="19" fillId="14" borderId="82" xfId="0" applyFont="1" applyFill="1" applyBorder="1" applyAlignment="1" applyProtection="1">
      <alignment vertical="top"/>
      <protection hidden="1"/>
    </xf>
    <xf numFmtId="4" fontId="27" fillId="14" borderId="71" xfId="1" applyNumberFormat="1" applyFont="1" applyFill="1" applyBorder="1" applyAlignment="1" applyProtection="1">
      <alignment horizontal="center" vertical="top"/>
      <protection hidden="1"/>
    </xf>
    <xf numFmtId="4" fontId="27" fillId="14" borderId="83" xfId="1" applyNumberFormat="1" applyFont="1" applyFill="1" applyBorder="1" applyAlignment="1" applyProtection="1">
      <alignment horizontal="center" vertical="top"/>
      <protection hidden="1"/>
    </xf>
    <xf numFmtId="0" fontId="18" fillId="2" borderId="71" xfId="0" applyFont="1" applyFill="1" applyBorder="1" applyAlignment="1" applyProtection="1">
      <alignment vertical="center" wrapText="1"/>
      <protection hidden="1"/>
    </xf>
    <xf numFmtId="166" fontId="18" fillId="4" borderId="71" xfId="1" applyNumberFormat="1" applyFont="1" applyFill="1" applyBorder="1" applyAlignment="1" applyProtection="1">
      <alignment vertical="center" wrapText="1"/>
      <protection hidden="1"/>
    </xf>
    <xf numFmtId="4" fontId="21" fillId="16" borderId="71" xfId="1" applyNumberFormat="1" applyFont="1" applyFill="1" applyBorder="1" applyAlignment="1" applyProtection="1">
      <alignment horizontal="center" vertical="top" wrapText="1"/>
      <protection hidden="1"/>
    </xf>
    <xf numFmtId="4" fontId="21" fillId="16" borderId="83" xfId="1" applyNumberFormat="1" applyFont="1" applyFill="1" applyBorder="1" applyAlignment="1" applyProtection="1">
      <alignment horizontal="center" vertical="top" wrapText="1"/>
      <protection hidden="1"/>
    </xf>
    <xf numFmtId="4" fontId="21" fillId="16" borderId="71" xfId="1" applyNumberFormat="1" applyFont="1" applyFill="1" applyBorder="1" applyAlignment="1" applyProtection="1">
      <alignment horizontal="center" vertical="center" wrapText="1"/>
      <protection hidden="1"/>
    </xf>
    <xf numFmtId="4" fontId="21" fillId="16" borderId="83" xfId="1" applyNumberFormat="1" applyFont="1" applyFill="1" applyBorder="1" applyAlignment="1" applyProtection="1">
      <alignment horizontal="center" vertical="center" wrapText="1"/>
      <protection hidden="1"/>
    </xf>
    <xf numFmtId="4" fontId="21" fillId="16" borderId="83" xfId="1" applyNumberFormat="1" applyFont="1" applyFill="1" applyBorder="1" applyAlignment="1" applyProtection="1">
      <alignment horizontal="center" vertical="top"/>
      <protection hidden="1"/>
    </xf>
    <xf numFmtId="0" fontId="38" fillId="16" borderId="71" xfId="0" applyFont="1" applyFill="1" applyBorder="1" applyAlignment="1" applyProtection="1">
      <alignment horizontal="center" vertical="center" wrapText="1"/>
      <protection hidden="1"/>
    </xf>
    <xf numFmtId="0" fontId="21" fillId="16" borderId="71" xfId="0" applyFont="1" applyFill="1" applyBorder="1" applyAlignment="1" applyProtection="1">
      <alignment horizontal="left" vertical="center" wrapText="1"/>
      <protection hidden="1"/>
    </xf>
    <xf numFmtId="4" fontId="27" fillId="16" borderId="71" xfId="1" applyNumberFormat="1" applyFont="1" applyFill="1" applyBorder="1" applyAlignment="1" applyProtection="1">
      <alignment horizontal="center" vertical="top"/>
      <protection hidden="1"/>
    </xf>
    <xf numFmtId="4" fontId="27" fillId="16" borderId="83" xfId="1" applyNumberFormat="1" applyFont="1" applyFill="1" applyBorder="1" applyAlignment="1" applyProtection="1">
      <alignment horizontal="center" vertical="top"/>
      <protection hidden="1"/>
    </xf>
    <xf numFmtId="0" fontId="19" fillId="4" borderId="102" xfId="0" applyFont="1" applyFill="1" applyBorder="1" applyAlignment="1" applyProtection="1">
      <alignment vertical="top"/>
      <protection hidden="1"/>
    </xf>
    <xf numFmtId="166" fontId="14" fillId="4" borderId="103" xfId="1" applyNumberFormat="1" applyFont="1" applyFill="1" applyBorder="1" applyAlignment="1" applyProtection="1">
      <alignment vertical="center" wrapText="1"/>
      <protection hidden="1"/>
    </xf>
    <xf numFmtId="165" fontId="28" fillId="4" borderId="103" xfId="1" applyFont="1" applyFill="1" applyBorder="1" applyAlignment="1" applyProtection="1">
      <alignment horizontal="center" vertical="top"/>
      <protection hidden="1"/>
    </xf>
    <xf numFmtId="165" fontId="28" fillId="4" borderId="142" xfId="1" applyFont="1" applyFill="1" applyBorder="1" applyAlignment="1" applyProtection="1">
      <alignment horizontal="center" vertical="top"/>
      <protection hidden="1"/>
    </xf>
    <xf numFmtId="0" fontId="14" fillId="0" borderId="143" xfId="0" applyFont="1" applyBorder="1" applyAlignment="1" applyProtection="1">
      <alignment vertical="top"/>
      <protection hidden="1"/>
    </xf>
    <xf numFmtId="0" fontId="14" fillId="0" borderId="0" xfId="0" applyFont="1" applyAlignment="1" applyProtection="1">
      <alignment vertical="center" wrapText="1"/>
      <protection hidden="1"/>
    </xf>
    <xf numFmtId="172" fontId="14" fillId="0" borderId="0" xfId="1" applyNumberFormat="1" applyFont="1" applyFill="1" applyAlignment="1" applyProtection="1">
      <alignment horizontal="center" vertical="top"/>
      <protection hidden="1"/>
    </xf>
    <xf numFmtId="0" fontId="74" fillId="14" borderId="0" xfId="0" applyFont="1" applyFill="1" applyAlignment="1" applyProtection="1">
      <alignment vertical="top"/>
      <protection hidden="1"/>
    </xf>
    <xf numFmtId="0" fontId="74" fillId="14" borderId="0" xfId="0" applyFont="1" applyFill="1" applyAlignment="1" applyProtection="1">
      <alignment vertical="center" wrapText="1"/>
      <protection hidden="1"/>
    </xf>
    <xf numFmtId="165" fontId="74" fillId="14" borderId="0" xfId="1" applyFont="1" applyFill="1" applyAlignment="1" applyProtection="1">
      <alignment horizontal="center" vertical="top"/>
      <protection hidden="1"/>
    </xf>
    <xf numFmtId="165" fontId="14" fillId="0" borderId="0" xfId="1" applyFont="1" applyFill="1" applyAlignment="1" applyProtection="1">
      <alignment horizontal="center" vertical="top"/>
      <protection hidden="1"/>
    </xf>
    <xf numFmtId="4" fontId="19" fillId="4" borderId="71" xfId="1" applyNumberFormat="1" applyFont="1" applyFill="1" applyBorder="1" applyAlignment="1" applyProtection="1">
      <alignment horizontal="center" vertical="top"/>
      <protection locked="0"/>
    </xf>
    <xf numFmtId="0" fontId="14" fillId="15" borderId="71" xfId="0" applyFont="1" applyFill="1" applyBorder="1" applyAlignment="1" applyProtection="1">
      <alignment horizontal="center" vertical="center" wrapText="1"/>
      <protection locked="0"/>
    </xf>
    <xf numFmtId="0" fontId="28" fillId="15" borderId="71" xfId="0" applyFont="1" applyFill="1" applyBorder="1" applyAlignment="1" applyProtection="1">
      <alignment horizontal="center" vertical="center" wrapText="1"/>
      <protection locked="0"/>
    </xf>
    <xf numFmtId="0" fontId="21" fillId="15" borderId="71" xfId="0" applyFont="1" applyFill="1" applyBorder="1" applyAlignment="1" applyProtection="1">
      <alignment horizontal="center" vertical="center" wrapText="1"/>
      <protection locked="0"/>
    </xf>
    <xf numFmtId="0" fontId="74" fillId="11" borderId="0" xfId="0" applyFont="1" applyFill="1" applyProtection="1">
      <protection hidden="1"/>
    </xf>
    <xf numFmtId="0" fontId="14" fillId="0" borderId="0" xfId="0" applyFont="1" applyProtection="1">
      <protection hidden="1"/>
    </xf>
    <xf numFmtId="0" fontId="14" fillId="8" borderId="0" xfId="0" applyFont="1" applyFill="1" applyProtection="1">
      <protection hidden="1"/>
    </xf>
    <xf numFmtId="0" fontId="14" fillId="11" borderId="0" xfId="0" applyFont="1" applyFill="1" applyProtection="1">
      <protection hidden="1"/>
    </xf>
    <xf numFmtId="0" fontId="14" fillId="16" borderId="70" xfId="0" applyFont="1" applyFill="1" applyBorder="1" applyAlignment="1" applyProtection="1">
      <alignment horizontal="center" vertical="center" wrapText="1"/>
      <protection hidden="1"/>
    </xf>
    <xf numFmtId="0" fontId="14" fillId="4" borderId="71" xfId="0" applyFont="1" applyFill="1" applyBorder="1" applyAlignment="1" applyProtection="1">
      <alignment horizontal="center" vertical="center" wrapText="1"/>
      <protection hidden="1"/>
    </xf>
    <xf numFmtId="0" fontId="14" fillId="16" borderId="71" xfId="0" applyFont="1" applyFill="1" applyBorder="1" applyAlignment="1" applyProtection="1">
      <alignment horizontal="center" vertical="center" wrapText="1"/>
      <protection hidden="1"/>
    </xf>
    <xf numFmtId="0" fontId="28" fillId="7" borderId="81" xfId="0" applyFont="1" applyFill="1" applyBorder="1" applyAlignment="1" applyProtection="1">
      <alignment horizontal="center" vertical="center" wrapText="1"/>
      <protection hidden="1"/>
    </xf>
    <xf numFmtId="0" fontId="14" fillId="4" borderId="71" xfId="0" applyFont="1" applyFill="1" applyBorder="1" applyAlignment="1" applyProtection="1">
      <alignment horizontal="center" vertical="center"/>
      <protection hidden="1"/>
    </xf>
    <xf numFmtId="0" fontId="32" fillId="9" borderId="1" xfId="0" applyFont="1" applyFill="1" applyBorder="1" applyAlignment="1" applyProtection="1">
      <alignment horizontal="center" vertical="center"/>
      <protection hidden="1"/>
    </xf>
    <xf numFmtId="167" fontId="14" fillId="16" borderId="71" xfId="2" applyNumberFormat="1" applyFont="1" applyFill="1" applyBorder="1" applyAlignment="1" applyProtection="1">
      <alignment horizontal="center" vertical="center"/>
      <protection hidden="1"/>
    </xf>
    <xf numFmtId="0" fontId="32" fillId="12" borderId="1" xfId="0" applyFont="1" applyFill="1" applyBorder="1" applyAlignment="1" applyProtection="1">
      <alignment horizontal="center" vertical="center"/>
      <protection hidden="1"/>
    </xf>
    <xf numFmtId="0" fontId="14" fillId="2" borderId="1" xfId="0" applyFont="1" applyFill="1" applyBorder="1" applyAlignment="1" applyProtection="1">
      <alignment horizontal="center" vertical="center"/>
      <protection hidden="1"/>
    </xf>
    <xf numFmtId="0" fontId="59" fillId="6" borderId="1" xfId="0" applyFont="1" applyFill="1" applyBorder="1" applyAlignment="1" applyProtection="1">
      <alignment horizontal="center" vertical="center"/>
      <protection hidden="1"/>
    </xf>
    <xf numFmtId="14" fontId="14" fillId="4" borderId="71" xfId="0" applyNumberFormat="1" applyFont="1" applyFill="1" applyBorder="1" applyAlignment="1" applyProtection="1">
      <alignment horizontal="center" vertical="center" wrapText="1"/>
      <protection hidden="1"/>
    </xf>
    <xf numFmtId="14" fontId="14" fillId="16" borderId="64" xfId="0" applyNumberFormat="1" applyFont="1" applyFill="1" applyBorder="1" applyAlignment="1" applyProtection="1">
      <alignment horizontal="center" vertical="center" wrapText="1"/>
      <protection hidden="1"/>
    </xf>
    <xf numFmtId="0" fontId="32" fillId="4" borderId="62" xfId="0" applyFont="1" applyFill="1" applyBorder="1" applyAlignment="1" applyProtection="1">
      <alignment horizontal="center" vertical="center"/>
      <protection hidden="1"/>
    </xf>
    <xf numFmtId="0" fontId="14" fillId="4" borderId="56" xfId="0" applyFont="1" applyFill="1" applyBorder="1" applyAlignment="1" applyProtection="1">
      <alignment horizontal="center" vertical="center"/>
      <protection hidden="1"/>
    </xf>
    <xf numFmtId="0" fontId="14" fillId="4" borderId="56" xfId="0" applyFont="1" applyFill="1" applyBorder="1" applyAlignment="1" applyProtection="1">
      <alignment vertical="center" wrapText="1"/>
      <protection hidden="1"/>
    </xf>
    <xf numFmtId="170" fontId="14" fillId="4" borderId="56" xfId="0" applyNumberFormat="1" applyFont="1" applyFill="1" applyBorder="1" applyAlignment="1" applyProtection="1">
      <alignment horizontal="center" vertical="center" wrapText="1"/>
      <protection hidden="1"/>
    </xf>
    <xf numFmtId="0" fontId="21" fillId="4" borderId="56" xfId="0" applyFont="1" applyFill="1" applyBorder="1" applyAlignment="1" applyProtection="1">
      <alignment horizontal="center" vertical="center"/>
      <protection hidden="1"/>
    </xf>
    <xf numFmtId="0" fontId="28" fillId="4" borderId="56" xfId="0" applyFont="1" applyFill="1" applyBorder="1" applyAlignment="1" applyProtection="1">
      <alignment horizontal="center" vertical="center"/>
      <protection hidden="1"/>
    </xf>
    <xf numFmtId="0" fontId="17" fillId="4" borderId="56" xfId="0" applyFont="1" applyFill="1" applyBorder="1" applyAlignment="1" applyProtection="1">
      <alignment horizontal="center" vertical="center"/>
      <protection hidden="1"/>
    </xf>
    <xf numFmtId="0" fontId="14" fillId="0" borderId="2" xfId="0" applyFont="1" applyBorder="1" applyAlignment="1" applyProtection="1">
      <alignment horizontal="center"/>
      <protection hidden="1"/>
    </xf>
    <xf numFmtId="0" fontId="14" fillId="0" borderId="1" xfId="0" applyFont="1" applyBorder="1" applyAlignment="1" applyProtection="1">
      <alignment horizontal="center" vertical="center"/>
      <protection hidden="1"/>
    </xf>
    <xf numFmtId="0" fontId="59" fillId="13" borderId="1" xfId="0" applyFont="1" applyFill="1" applyBorder="1" applyAlignment="1" applyProtection="1">
      <alignment horizontal="center"/>
      <protection hidden="1"/>
    </xf>
    <xf numFmtId="0" fontId="19" fillId="4" borderId="77" xfId="0" applyFont="1" applyFill="1" applyBorder="1" applyAlignment="1" applyProtection="1">
      <alignment horizontal="center" vertical="center"/>
      <protection hidden="1"/>
    </xf>
    <xf numFmtId="0" fontId="19" fillId="4" borderId="77" xfId="0" applyFont="1" applyFill="1" applyBorder="1" applyAlignment="1" applyProtection="1">
      <alignment vertical="center" wrapText="1"/>
      <protection hidden="1"/>
    </xf>
    <xf numFmtId="170" fontId="21" fillId="4" borderId="140" xfId="0" applyNumberFormat="1" applyFont="1" applyFill="1" applyBorder="1" applyAlignment="1" applyProtection="1">
      <alignment horizontal="center" vertical="center" wrapText="1"/>
      <protection hidden="1"/>
    </xf>
    <xf numFmtId="0" fontId="21" fillId="4" borderId="140" xfId="0" applyFont="1" applyFill="1" applyBorder="1" applyAlignment="1" applyProtection="1">
      <alignment horizontal="center" vertical="center" wrapText="1"/>
      <protection hidden="1"/>
    </xf>
    <xf numFmtId="0" fontId="21" fillId="4" borderId="141" xfId="0" applyFont="1" applyFill="1" applyBorder="1" applyAlignment="1" applyProtection="1">
      <alignment horizontal="center" vertical="center" wrapText="1"/>
      <protection hidden="1"/>
    </xf>
    <xf numFmtId="0" fontId="32" fillId="4" borderId="2" xfId="0" applyFont="1" applyFill="1" applyBorder="1" applyAlignment="1" applyProtection="1">
      <alignment horizontal="center" vertical="center"/>
      <protection hidden="1"/>
    </xf>
    <xf numFmtId="0" fontId="32" fillId="4" borderId="1" xfId="0" applyFont="1" applyFill="1" applyBorder="1" applyAlignment="1" applyProtection="1">
      <alignment horizontal="center" vertical="center"/>
      <protection hidden="1"/>
    </xf>
    <xf numFmtId="0" fontId="32" fillId="4" borderId="1" xfId="0" applyFont="1" applyFill="1" applyBorder="1" applyAlignment="1" applyProtection="1">
      <alignment horizontal="center"/>
      <protection hidden="1"/>
    </xf>
    <xf numFmtId="0" fontId="21" fillId="11" borderId="79" xfId="0" applyFont="1" applyFill="1" applyBorder="1" applyAlignment="1" applyProtection="1">
      <alignment horizontal="center" vertical="center"/>
      <protection hidden="1"/>
    </xf>
    <xf numFmtId="167" fontId="21" fillId="11" borderId="137" xfId="2" applyNumberFormat="1" applyFont="1" applyFill="1" applyBorder="1" applyAlignment="1" applyProtection="1">
      <alignment horizontal="center" vertical="center"/>
      <protection hidden="1"/>
    </xf>
    <xf numFmtId="0" fontId="19" fillId="9" borderId="136" xfId="0" applyFont="1" applyFill="1" applyBorder="1" applyAlignment="1" applyProtection="1">
      <alignment horizontal="center" vertical="center"/>
      <protection hidden="1"/>
    </xf>
    <xf numFmtId="0" fontId="14" fillId="4" borderId="0" xfId="0" applyFont="1" applyFill="1" applyProtection="1">
      <protection hidden="1"/>
    </xf>
    <xf numFmtId="0" fontId="78" fillId="11" borderId="0" xfId="0" applyFont="1" applyFill="1" applyProtection="1">
      <protection hidden="1"/>
    </xf>
    <xf numFmtId="0" fontId="21" fillId="19" borderId="80" xfId="0" applyFont="1" applyFill="1" applyBorder="1" applyAlignment="1" applyProtection="1">
      <alignment horizontal="center" vertical="center"/>
      <protection hidden="1"/>
    </xf>
    <xf numFmtId="0" fontId="38" fillId="19" borderId="71" xfId="0" applyFont="1" applyFill="1" applyBorder="1" applyAlignment="1" applyProtection="1">
      <alignment vertical="center" wrapText="1"/>
      <protection hidden="1"/>
    </xf>
    <xf numFmtId="170" fontId="38" fillId="19" borderId="71" xfId="0" applyNumberFormat="1" applyFont="1" applyFill="1" applyBorder="1" applyAlignment="1" applyProtection="1">
      <alignment horizontal="center" vertical="center" wrapText="1"/>
      <protection hidden="1"/>
    </xf>
    <xf numFmtId="2" fontId="21" fillId="19" borderId="71" xfId="0" applyNumberFormat="1" applyFont="1" applyFill="1" applyBorder="1" applyAlignment="1" applyProtection="1">
      <alignment horizontal="center" vertical="center"/>
      <protection hidden="1"/>
    </xf>
    <xf numFmtId="167" fontId="19" fillId="19" borderId="137" xfId="2" applyNumberFormat="1" applyFont="1" applyFill="1" applyBorder="1" applyAlignment="1" applyProtection="1">
      <alignment horizontal="center" vertical="center"/>
      <protection hidden="1"/>
    </xf>
    <xf numFmtId="0" fontId="28" fillId="4" borderId="0" xfId="0" applyFont="1" applyFill="1" applyProtection="1">
      <protection hidden="1"/>
    </xf>
    <xf numFmtId="0" fontId="28" fillId="4" borderId="0" xfId="0" applyFont="1" applyFill="1" applyAlignment="1" applyProtection="1">
      <alignment horizontal="center" wrapText="1"/>
      <protection hidden="1"/>
    </xf>
    <xf numFmtId="0" fontId="28" fillId="8" borderId="0" xfId="0" applyFont="1" applyFill="1" applyProtection="1">
      <protection hidden="1"/>
    </xf>
    <xf numFmtId="0" fontId="28" fillId="11" borderId="0" xfId="0" applyFont="1" applyFill="1" applyProtection="1">
      <protection hidden="1"/>
    </xf>
    <xf numFmtId="0" fontId="28" fillId="0" borderId="0" xfId="0" applyFont="1" applyProtection="1">
      <protection hidden="1"/>
    </xf>
    <xf numFmtId="0" fontId="14" fillId="4" borderId="80" xfId="0" applyFont="1" applyFill="1" applyBorder="1" applyAlignment="1" applyProtection="1">
      <alignment horizontal="center" vertical="center"/>
      <protection hidden="1"/>
    </xf>
    <xf numFmtId="0" fontId="19" fillId="4" borderId="71" xfId="0" applyFont="1" applyFill="1" applyBorder="1" applyAlignment="1" applyProtection="1">
      <alignment vertical="center" wrapText="1"/>
      <protection hidden="1"/>
    </xf>
    <xf numFmtId="2" fontId="14" fillId="0" borderId="0" xfId="0" applyNumberFormat="1" applyFont="1" applyAlignment="1" applyProtection="1">
      <alignment horizontal="center"/>
      <protection hidden="1"/>
    </xf>
    <xf numFmtId="2" fontId="14" fillId="4" borderId="71" xfId="0" applyNumberFormat="1" applyFont="1" applyFill="1" applyBorder="1" applyAlignment="1" applyProtection="1">
      <alignment horizontal="center" vertical="center"/>
      <protection hidden="1"/>
    </xf>
    <xf numFmtId="167" fontId="19" fillId="4" borderId="137" xfId="2" applyNumberFormat="1" applyFont="1" applyFill="1" applyBorder="1" applyAlignment="1" applyProtection="1">
      <alignment horizontal="center" vertical="center"/>
      <protection hidden="1"/>
    </xf>
    <xf numFmtId="0" fontId="38" fillId="19" borderId="80" xfId="0" applyFont="1" applyFill="1" applyBorder="1" applyAlignment="1" applyProtection="1">
      <alignment horizontal="center" vertical="center"/>
      <protection hidden="1"/>
    </xf>
    <xf numFmtId="0" fontId="38" fillId="19" borderId="71" xfId="0" applyFont="1" applyFill="1" applyBorder="1" applyAlignment="1" applyProtection="1">
      <alignment horizontal="center" vertical="center"/>
      <protection hidden="1"/>
    </xf>
    <xf numFmtId="167" fontId="21" fillId="19" borderId="137" xfId="2" applyNumberFormat="1" applyFont="1" applyFill="1" applyBorder="1" applyAlignment="1" applyProtection="1">
      <alignment horizontal="center" vertical="center"/>
      <protection hidden="1"/>
    </xf>
    <xf numFmtId="0" fontId="19" fillId="4" borderId="71" xfId="3" applyFont="1" applyFill="1" applyBorder="1" applyAlignment="1" applyProtection="1">
      <alignment vertical="center" wrapText="1"/>
      <protection hidden="1"/>
    </xf>
    <xf numFmtId="2" fontId="0" fillId="0" borderId="0" xfId="0" applyNumberFormat="1" applyAlignment="1" applyProtection="1">
      <alignment horizontal="center"/>
      <protection hidden="1"/>
    </xf>
    <xf numFmtId="0" fontId="19" fillId="4" borderId="80" xfId="0" applyFont="1" applyFill="1" applyBorder="1" applyAlignment="1" applyProtection="1">
      <alignment horizontal="center" vertical="center"/>
      <protection hidden="1"/>
    </xf>
    <xf numFmtId="2" fontId="19" fillId="4" borderId="71" xfId="0" applyNumberFormat="1" applyFont="1" applyFill="1" applyBorder="1" applyAlignment="1" applyProtection="1">
      <alignment horizontal="center" vertical="center"/>
      <protection hidden="1"/>
    </xf>
    <xf numFmtId="0" fontId="19" fillId="4" borderId="71" xfId="0" applyFont="1" applyFill="1" applyBorder="1" applyAlignment="1" applyProtection="1">
      <alignment horizontal="center" vertical="center"/>
      <protection hidden="1"/>
    </xf>
    <xf numFmtId="0" fontId="19" fillId="4" borderId="71" xfId="0" applyFont="1" applyFill="1" applyBorder="1" applyAlignment="1" applyProtection="1">
      <alignment horizontal="left" vertical="center" wrapText="1"/>
      <protection hidden="1"/>
    </xf>
    <xf numFmtId="2" fontId="38" fillId="19" borderId="71" xfId="0" applyNumberFormat="1" applyFont="1" applyFill="1" applyBorder="1" applyAlignment="1" applyProtection="1">
      <alignment horizontal="center" vertical="center"/>
      <protection hidden="1"/>
    </xf>
    <xf numFmtId="0" fontId="14" fillId="4" borderId="71" xfId="0" applyFont="1" applyFill="1" applyBorder="1" applyAlignment="1" applyProtection="1">
      <alignment vertical="center" wrapText="1"/>
      <protection hidden="1"/>
    </xf>
    <xf numFmtId="0" fontId="21" fillId="11" borderId="71" xfId="0" applyFont="1" applyFill="1" applyBorder="1" applyAlignment="1" applyProtection="1">
      <alignment horizontal="center" vertical="center"/>
      <protection hidden="1"/>
    </xf>
    <xf numFmtId="0" fontId="21" fillId="19" borderId="71" xfId="0" applyFont="1" applyFill="1" applyBorder="1" applyAlignment="1" applyProtection="1">
      <alignment horizontal="center" vertical="center"/>
      <protection hidden="1"/>
    </xf>
    <xf numFmtId="0" fontId="19" fillId="0" borderId="0" xfId="0" applyFont="1" applyProtection="1">
      <protection hidden="1"/>
    </xf>
    <xf numFmtId="0" fontId="19" fillId="0" borderId="0" xfId="0" applyFont="1" applyAlignment="1" applyProtection="1">
      <alignment horizontal="center" wrapText="1"/>
      <protection hidden="1"/>
    </xf>
    <xf numFmtId="0" fontId="19" fillId="8" borderId="0" xfId="0" applyFont="1" applyFill="1" applyProtection="1">
      <protection hidden="1"/>
    </xf>
    <xf numFmtId="0" fontId="19" fillId="11" borderId="0" xfId="0" applyFont="1" applyFill="1" applyProtection="1">
      <protection hidden="1"/>
    </xf>
    <xf numFmtId="170" fontId="14" fillId="4" borderId="71"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wrapText="1"/>
      <protection hidden="1"/>
    </xf>
    <xf numFmtId="0" fontId="17" fillId="0" borderId="0" xfId="0" applyFont="1" applyProtection="1">
      <protection hidden="1"/>
    </xf>
    <xf numFmtId="0" fontId="37" fillId="19" borderId="80" xfId="0" applyFont="1" applyFill="1" applyBorder="1" applyAlignment="1" applyProtection="1">
      <alignment horizontal="center" vertical="center"/>
      <protection hidden="1"/>
    </xf>
    <xf numFmtId="0" fontId="37" fillId="19" borderId="71" xfId="0" applyFont="1" applyFill="1" applyBorder="1" applyAlignment="1" applyProtection="1">
      <alignment vertical="center" wrapText="1"/>
      <protection hidden="1"/>
    </xf>
    <xf numFmtId="170" fontId="37" fillId="19" borderId="71" xfId="0" applyNumberFormat="1" applyFont="1" applyFill="1" applyBorder="1" applyAlignment="1" applyProtection="1">
      <alignment horizontal="center" vertical="center" wrapText="1"/>
      <protection hidden="1"/>
    </xf>
    <xf numFmtId="0" fontId="39" fillId="19" borderId="71" xfId="0" applyFont="1" applyFill="1" applyBorder="1" applyAlignment="1" applyProtection="1">
      <alignment horizontal="center" vertical="center"/>
      <protection hidden="1"/>
    </xf>
    <xf numFmtId="0" fontId="28" fillId="0" borderId="0" xfId="0" applyFont="1" applyAlignment="1" applyProtection="1">
      <alignment wrapText="1"/>
      <protection hidden="1"/>
    </xf>
    <xf numFmtId="170" fontId="19" fillId="4" borderId="71" xfId="3" applyNumberFormat="1" applyFont="1" applyFill="1" applyBorder="1" applyAlignment="1" applyProtection="1">
      <alignment horizontal="center" vertical="center" wrapText="1"/>
      <protection hidden="1"/>
    </xf>
    <xf numFmtId="170" fontId="66" fillId="4" borderId="71" xfId="3" applyNumberFormat="1" applyFont="1" applyFill="1" applyBorder="1" applyAlignment="1" applyProtection="1">
      <alignment horizontal="center" vertical="center" wrapText="1"/>
      <protection hidden="1"/>
    </xf>
    <xf numFmtId="170" fontId="61" fillId="4" borderId="71" xfId="0" applyNumberFormat="1" applyFont="1" applyFill="1" applyBorder="1" applyAlignment="1" applyProtection="1">
      <alignment horizontal="center" vertical="center" wrapText="1"/>
      <protection hidden="1"/>
    </xf>
    <xf numFmtId="0" fontId="28" fillId="0" borderId="0" xfId="0" applyFont="1" applyAlignment="1" applyProtection="1">
      <alignment horizontal="center"/>
      <protection hidden="1"/>
    </xf>
    <xf numFmtId="9" fontId="28" fillId="0" borderId="0" xfId="0" applyNumberFormat="1" applyFont="1" applyAlignment="1" applyProtection="1">
      <alignment horizontal="center"/>
      <protection hidden="1"/>
    </xf>
    <xf numFmtId="9" fontId="28" fillId="8" borderId="0" xfId="0" applyNumberFormat="1" applyFont="1" applyFill="1" applyAlignment="1" applyProtection="1">
      <alignment horizontal="center"/>
      <protection hidden="1"/>
    </xf>
    <xf numFmtId="170" fontId="66" fillId="4" borderId="71" xfId="0" applyNumberFormat="1" applyFont="1" applyFill="1" applyBorder="1" applyAlignment="1" applyProtection="1">
      <alignment horizontal="center" vertical="center" wrapText="1"/>
      <protection hidden="1"/>
    </xf>
    <xf numFmtId="170" fontId="19" fillId="4" borderId="71"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protection hidden="1"/>
    </xf>
    <xf numFmtId="0" fontId="14" fillId="8" borderId="0" xfId="0" applyFont="1" applyFill="1" applyAlignment="1" applyProtection="1">
      <alignment horizontal="center"/>
      <protection hidden="1"/>
    </xf>
    <xf numFmtId="0" fontId="14" fillId="4" borderId="71" xfId="0" applyFont="1" applyFill="1" applyBorder="1" applyAlignment="1" applyProtection="1">
      <alignment horizontal="left" vertical="center" wrapText="1"/>
      <protection hidden="1"/>
    </xf>
    <xf numFmtId="170" fontId="39" fillId="19" borderId="71" xfId="0" applyNumberFormat="1" applyFont="1" applyFill="1" applyBorder="1" applyAlignment="1" applyProtection="1">
      <alignment horizontal="center" vertical="center"/>
      <protection hidden="1"/>
    </xf>
    <xf numFmtId="0" fontId="37" fillId="4" borderId="80" xfId="0" applyFont="1" applyFill="1" applyBorder="1" applyAlignment="1" applyProtection="1">
      <alignment horizontal="center" vertical="center"/>
      <protection hidden="1"/>
    </xf>
    <xf numFmtId="0" fontId="37" fillId="4" borderId="71" xfId="0" applyFont="1" applyFill="1" applyBorder="1" applyAlignment="1" applyProtection="1">
      <alignment horizontal="center" vertical="center"/>
      <protection hidden="1"/>
    </xf>
    <xf numFmtId="0" fontId="14" fillId="11" borderId="0" xfId="0" applyFont="1" applyFill="1" applyAlignment="1" applyProtection="1">
      <alignment horizontal="center" vertical="center"/>
      <protection hidden="1"/>
    </xf>
    <xf numFmtId="0" fontId="14" fillId="11" borderId="0" xfId="0" applyFont="1" applyFill="1" applyAlignment="1" applyProtection="1">
      <alignment vertical="center" wrapText="1"/>
      <protection hidden="1"/>
    </xf>
    <xf numFmtId="170" fontId="14" fillId="11" borderId="0" xfId="0" applyNumberFormat="1" applyFont="1" applyFill="1" applyAlignment="1" applyProtection="1">
      <alignment horizontal="center" vertical="center" wrapText="1"/>
      <protection hidden="1"/>
    </xf>
    <xf numFmtId="0" fontId="14" fillId="4" borderId="0" xfId="0" applyFont="1" applyFill="1" applyAlignment="1" applyProtection="1">
      <alignment horizontal="center" vertical="center"/>
      <protection hidden="1"/>
    </xf>
    <xf numFmtId="170" fontId="14" fillId="0" borderId="0" xfId="0" applyNumberFormat="1" applyFont="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0" fillId="11" borderId="0" xfId="0" applyFill="1" applyProtection="1">
      <protection hidden="1"/>
    </xf>
    <xf numFmtId="0" fontId="15" fillId="4" borderId="0" xfId="0" applyFont="1" applyFill="1" applyAlignment="1" applyProtection="1">
      <alignment horizontal="center" vertical="center"/>
      <protection hidden="1"/>
    </xf>
    <xf numFmtId="0" fontId="15" fillId="4" borderId="0" xfId="0" applyFont="1" applyFill="1" applyAlignment="1" applyProtection="1">
      <alignment vertical="center" wrapText="1"/>
      <protection hidden="1"/>
    </xf>
    <xf numFmtId="0" fontId="15" fillId="4" borderId="0" xfId="0" applyFont="1" applyFill="1" applyProtection="1">
      <protection hidden="1"/>
    </xf>
    <xf numFmtId="0" fontId="0" fillId="4" borderId="0" xfId="0" applyFill="1" applyProtection="1">
      <protection hidden="1"/>
    </xf>
    <xf numFmtId="0" fontId="75" fillId="11" borderId="0" xfId="0" applyFont="1" applyFill="1" applyProtection="1">
      <protection hidden="1"/>
    </xf>
    <xf numFmtId="0" fontId="0" fillId="0" borderId="0" xfId="0" applyProtection="1">
      <protection hidden="1"/>
    </xf>
    <xf numFmtId="0" fontId="14" fillId="5" borderId="129" xfId="0" applyFont="1" applyFill="1" applyBorder="1" applyAlignment="1" applyProtection="1">
      <alignment vertical="center"/>
      <protection hidden="1"/>
    </xf>
    <xf numFmtId="0" fontId="61" fillId="5" borderId="129" xfId="0" applyFont="1" applyFill="1" applyBorder="1" applyAlignment="1" applyProtection="1">
      <alignment horizontal="center" vertical="center"/>
      <protection hidden="1"/>
    </xf>
    <xf numFmtId="0" fontId="14" fillId="4" borderId="53" xfId="0" applyFont="1" applyFill="1" applyBorder="1" applyAlignment="1" applyProtection="1">
      <alignment vertical="center"/>
      <protection hidden="1"/>
    </xf>
    <xf numFmtId="0" fontId="61" fillId="4" borderId="53" xfId="0" applyFont="1" applyFill="1" applyBorder="1" applyAlignment="1" applyProtection="1">
      <alignment horizontal="center" vertical="center" wrapText="1"/>
      <protection hidden="1"/>
    </xf>
    <xf numFmtId="0" fontId="14" fillId="5" borderId="53" xfId="0" applyFont="1" applyFill="1" applyBorder="1" applyAlignment="1" applyProtection="1">
      <alignment vertical="center"/>
      <protection hidden="1"/>
    </xf>
    <xf numFmtId="0" fontId="61" fillId="5" borderId="53" xfId="0" applyFont="1" applyFill="1" applyBorder="1" applyAlignment="1" applyProtection="1">
      <alignment horizontal="center" vertical="center" wrapText="1"/>
      <protection hidden="1"/>
    </xf>
    <xf numFmtId="0" fontId="75" fillId="11" borderId="0" xfId="0" applyFont="1" applyFill="1" applyAlignment="1" applyProtection="1">
      <alignment horizontal="center"/>
      <protection hidden="1"/>
    </xf>
    <xf numFmtId="0" fontId="61" fillId="4" borderId="53" xfId="0" applyFont="1" applyFill="1" applyBorder="1" applyAlignment="1" applyProtection="1">
      <alignment horizontal="center" vertical="center"/>
      <protection hidden="1"/>
    </xf>
    <xf numFmtId="0" fontId="28" fillId="4" borderId="0" xfId="0" applyFont="1" applyFill="1" applyAlignment="1" applyProtection="1">
      <alignment horizontal="center" vertical="center" wrapText="1"/>
      <protection hidden="1"/>
    </xf>
    <xf numFmtId="0" fontId="33" fillId="4" borderId="0" xfId="0" applyFont="1" applyFill="1" applyAlignment="1" applyProtection="1">
      <alignment vertical="center"/>
      <protection hidden="1"/>
    </xf>
    <xf numFmtId="0" fontId="14" fillId="4" borderId="0" xfId="0" applyFont="1" applyFill="1" applyAlignment="1" applyProtection="1">
      <alignment vertical="center" wrapText="1"/>
      <protection hidden="1"/>
    </xf>
    <xf numFmtId="14" fontId="61" fillId="4" borderId="53" xfId="0" applyNumberFormat="1" applyFont="1" applyFill="1" applyBorder="1" applyAlignment="1" applyProtection="1">
      <alignment horizontal="center" vertical="center" wrapText="1"/>
      <protection hidden="1"/>
    </xf>
    <xf numFmtId="0" fontId="76" fillId="11" borderId="0" xfId="0" applyFont="1" applyFill="1" applyAlignment="1" applyProtection="1">
      <alignment horizontal="center"/>
      <protection hidden="1"/>
    </xf>
    <xf numFmtId="0" fontId="76" fillId="11" borderId="0" xfId="0" applyFont="1" applyFill="1" applyAlignment="1" applyProtection="1">
      <alignment horizontal="center" vertical="center"/>
      <protection hidden="1"/>
    </xf>
    <xf numFmtId="14" fontId="61" fillId="5" borderId="53" xfId="0" applyNumberFormat="1" applyFont="1" applyFill="1" applyBorder="1" applyAlignment="1" applyProtection="1">
      <alignment horizontal="center" vertical="center" wrapText="1"/>
      <protection hidden="1"/>
    </xf>
    <xf numFmtId="0" fontId="14" fillId="4" borderId="130" xfId="0" applyFont="1" applyFill="1" applyBorder="1" applyAlignment="1" applyProtection="1">
      <alignment vertical="center" wrapText="1"/>
      <protection hidden="1"/>
    </xf>
    <xf numFmtId="0" fontId="17" fillId="4" borderId="0" xfId="0" applyFont="1" applyFill="1" applyAlignment="1" applyProtection="1">
      <alignment horizontal="center"/>
      <protection hidden="1"/>
    </xf>
    <xf numFmtId="0" fontId="0" fillId="11" borderId="29" xfId="0" applyFill="1" applyBorder="1" applyProtection="1">
      <protection hidden="1"/>
    </xf>
    <xf numFmtId="0" fontId="14" fillId="0" borderId="131" xfId="0" applyFont="1" applyBorder="1" applyAlignment="1" applyProtection="1">
      <alignment horizontal="center" vertical="center" wrapText="1"/>
      <protection hidden="1"/>
    </xf>
    <xf numFmtId="0" fontId="19" fillId="4" borderId="131" xfId="0" applyFont="1" applyFill="1" applyBorder="1" applyAlignment="1" applyProtection="1">
      <alignment horizontal="center" vertical="center" wrapText="1"/>
      <protection hidden="1"/>
    </xf>
    <xf numFmtId="0" fontId="60" fillId="11" borderId="58" xfId="0" applyFont="1" applyFill="1" applyBorder="1" applyAlignment="1" applyProtection="1">
      <alignment horizontal="center" vertical="center"/>
      <protection hidden="1"/>
    </xf>
    <xf numFmtId="167" fontId="38" fillId="11" borderId="58" xfId="2" applyNumberFormat="1" applyFont="1" applyFill="1" applyBorder="1" applyAlignment="1" applyProtection="1">
      <alignment horizontal="center" vertical="center" wrapText="1"/>
      <protection hidden="1"/>
    </xf>
    <xf numFmtId="0" fontId="33" fillId="9" borderId="59" xfId="0" applyFont="1" applyFill="1" applyBorder="1" applyAlignment="1" applyProtection="1">
      <alignment horizontal="center"/>
      <protection hidden="1"/>
    </xf>
    <xf numFmtId="0" fontId="59" fillId="4" borderId="54" xfId="0" applyFont="1" applyFill="1" applyBorder="1" applyAlignment="1" applyProtection="1">
      <alignment horizontal="center" vertical="center"/>
      <protection hidden="1"/>
    </xf>
    <xf numFmtId="0" fontId="59" fillId="4" borderId="55" xfId="0" applyFont="1" applyFill="1" applyBorder="1" applyAlignment="1" applyProtection="1">
      <alignment vertical="center" wrapText="1"/>
      <protection hidden="1"/>
    </xf>
    <xf numFmtId="0" fontId="59" fillId="4" borderId="55" xfId="0" applyFont="1" applyFill="1" applyBorder="1" applyAlignment="1" applyProtection="1">
      <alignment horizontal="center" vertical="center"/>
      <protection hidden="1"/>
    </xf>
    <xf numFmtId="167" fontId="19" fillId="4" borderId="58" xfId="2" applyNumberFormat="1" applyFont="1" applyFill="1" applyBorder="1" applyAlignment="1" applyProtection="1">
      <alignment horizontal="center" vertical="center" wrapText="1"/>
      <protection hidden="1"/>
    </xf>
    <xf numFmtId="0" fontId="75" fillId="11" borderId="0" xfId="0" applyFont="1" applyFill="1" applyAlignment="1" applyProtection="1">
      <alignment horizontal="center" wrapText="1"/>
      <protection hidden="1"/>
    </xf>
    <xf numFmtId="0" fontId="60" fillId="11" borderId="55" xfId="0" applyFont="1" applyFill="1" applyBorder="1" applyAlignment="1" applyProtection="1">
      <alignment horizontal="center" vertical="center"/>
      <protection hidden="1"/>
    </xf>
    <xf numFmtId="0" fontId="62" fillId="4" borderId="55" xfId="0" applyFont="1" applyFill="1" applyBorder="1" applyAlignment="1" applyProtection="1">
      <alignment vertical="center" wrapText="1"/>
      <protection hidden="1"/>
    </xf>
    <xf numFmtId="0" fontId="77" fillId="11" borderId="0" xfId="0" applyFont="1" applyFill="1" applyAlignment="1" applyProtection="1">
      <alignment wrapText="1"/>
      <protection hidden="1"/>
    </xf>
    <xf numFmtId="0" fontId="59" fillId="4" borderId="60" xfId="0" applyFont="1" applyFill="1" applyBorder="1" applyAlignment="1" applyProtection="1">
      <alignment horizontal="center" vertical="center"/>
      <protection hidden="1"/>
    </xf>
    <xf numFmtId="0" fontId="59" fillId="4" borderId="61" xfId="0" applyFont="1" applyFill="1" applyBorder="1" applyAlignment="1" applyProtection="1">
      <alignment vertical="center" wrapText="1"/>
      <protection hidden="1"/>
    </xf>
    <xf numFmtId="0" fontId="59" fillId="4" borderId="61" xfId="0" applyFont="1" applyFill="1" applyBorder="1" applyAlignment="1" applyProtection="1">
      <alignment horizontal="center" vertical="center"/>
      <protection hidden="1"/>
    </xf>
    <xf numFmtId="0" fontId="25" fillId="11" borderId="139" xfId="0" applyFont="1" applyFill="1" applyBorder="1" applyAlignment="1" applyProtection="1">
      <alignment horizontal="center" vertical="top"/>
      <protection hidden="1"/>
    </xf>
    <xf numFmtId="0" fontId="0" fillId="11" borderId="0" xfId="0" applyFill="1" applyAlignment="1" applyProtection="1">
      <alignment horizontal="center" vertical="center"/>
      <protection hidden="1"/>
    </xf>
    <xf numFmtId="0" fontId="0" fillId="11" borderId="0" xfId="0" applyFill="1" applyAlignment="1" applyProtection="1">
      <alignment vertical="center" wrapText="1"/>
      <protection hidden="1"/>
    </xf>
    <xf numFmtId="0" fontId="15" fillId="11" borderId="0" xfId="0" applyFont="1" applyFill="1" applyAlignment="1" applyProtection="1">
      <alignment horizontal="center" vertical="center"/>
      <protection hidden="1"/>
    </xf>
    <xf numFmtId="0" fontId="0" fillId="4" borderId="0" xfId="0" applyFill="1" applyAlignment="1" applyProtection="1">
      <alignment horizontal="center" vertical="center"/>
      <protection hidden="1"/>
    </xf>
    <xf numFmtId="0" fontId="0" fillId="0" borderId="0" xfId="0" applyAlignment="1" applyProtection="1">
      <alignment vertical="center" wrapText="1"/>
      <protection hidden="1"/>
    </xf>
    <xf numFmtId="0" fontId="15"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14" fillId="4" borderId="84" xfId="0" applyFont="1" applyFill="1" applyBorder="1" applyAlignment="1" applyProtection="1">
      <alignment vertical="center"/>
      <protection hidden="1"/>
    </xf>
    <xf numFmtId="0" fontId="19" fillId="4" borderId="70" xfId="0" applyFont="1" applyFill="1" applyBorder="1" applyAlignment="1" applyProtection="1">
      <alignment horizontal="center" vertical="center" wrapText="1"/>
      <protection hidden="1"/>
    </xf>
    <xf numFmtId="0" fontId="51" fillId="4"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169" fontId="21" fillId="4" borderId="0" xfId="0" applyNumberFormat="1" applyFont="1" applyFill="1" applyAlignment="1" applyProtection="1">
      <alignment horizontal="center" vertical="center" wrapText="1"/>
      <protection hidden="1"/>
    </xf>
    <xf numFmtId="0" fontId="14" fillId="4" borderId="82" xfId="0" applyFont="1" applyFill="1" applyBorder="1" applyAlignment="1" applyProtection="1">
      <alignment vertical="center"/>
      <protection hidden="1"/>
    </xf>
    <xf numFmtId="0" fontId="19" fillId="4" borderId="71" xfId="0" applyFont="1" applyFill="1" applyBorder="1" applyAlignment="1" applyProtection="1">
      <alignment horizontal="center" vertical="center" wrapText="1"/>
      <protection hidden="1"/>
    </xf>
    <xf numFmtId="2" fontId="19" fillId="4" borderId="0" xfId="0" applyNumberFormat="1" applyFont="1" applyFill="1" applyAlignment="1" applyProtection="1">
      <alignment horizontal="center" vertical="center" wrapText="1"/>
      <protection hidden="1"/>
    </xf>
    <xf numFmtId="2" fontId="21" fillId="4" borderId="0" xfId="0" applyNumberFormat="1" applyFont="1" applyFill="1" applyAlignment="1" applyProtection="1">
      <alignment horizontal="center" vertical="center" wrapText="1"/>
      <protection hidden="1"/>
    </xf>
    <xf numFmtId="0" fontId="14" fillId="0" borderId="82" xfId="0" applyFont="1" applyBorder="1" applyAlignment="1" applyProtection="1">
      <alignment vertical="center"/>
      <protection hidden="1"/>
    </xf>
    <xf numFmtId="0" fontId="19" fillId="4" borderId="0" xfId="0" applyFont="1" applyFill="1" applyAlignment="1" applyProtection="1">
      <alignment horizontal="center" vertical="center" wrapText="1"/>
      <protection hidden="1"/>
    </xf>
    <xf numFmtId="0" fontId="21" fillId="4" borderId="0" xfId="0" applyFont="1" applyFill="1" applyAlignment="1" applyProtection="1">
      <alignment horizontal="center" vertical="center"/>
      <protection hidden="1"/>
    </xf>
    <xf numFmtId="0" fontId="19" fillId="4" borderId="0" xfId="0" applyFont="1" applyFill="1" applyAlignment="1" applyProtection="1">
      <alignment horizontal="center" vertical="center"/>
      <protection hidden="1"/>
    </xf>
    <xf numFmtId="9" fontId="14" fillId="0" borderId="0" xfId="0" applyNumberFormat="1" applyFont="1" applyProtection="1">
      <protection hidden="1"/>
    </xf>
    <xf numFmtId="0" fontId="28" fillId="4" borderId="0" xfId="0" applyFont="1" applyFill="1" applyAlignment="1" applyProtection="1">
      <alignment horizontal="center" vertical="center"/>
      <protection hidden="1"/>
    </xf>
    <xf numFmtId="0" fontId="21" fillId="4" borderId="0" xfId="0" applyFont="1" applyFill="1" applyAlignment="1" applyProtection="1">
      <alignment horizontal="center" vertical="center" wrapText="1"/>
      <protection hidden="1"/>
    </xf>
    <xf numFmtId="0" fontId="14" fillId="4" borderId="0" xfId="0" applyFont="1" applyFill="1" applyAlignment="1" applyProtection="1">
      <alignment vertical="center"/>
      <protection hidden="1"/>
    </xf>
    <xf numFmtId="0" fontId="14" fillId="15" borderId="0" xfId="0" applyFont="1" applyFill="1" applyProtection="1">
      <protection hidden="1"/>
    </xf>
    <xf numFmtId="0" fontId="28" fillId="4" borderId="124" xfId="0" applyFont="1" applyFill="1" applyBorder="1" applyAlignment="1" applyProtection="1">
      <alignment horizontal="center" vertical="center" wrapText="1"/>
      <protection hidden="1"/>
    </xf>
    <xf numFmtId="0" fontId="28" fillId="4" borderId="70" xfId="0" applyFont="1" applyFill="1" applyBorder="1" applyAlignment="1" applyProtection="1">
      <alignment horizontal="center" vertical="center" wrapText="1"/>
      <protection hidden="1"/>
    </xf>
    <xf numFmtId="0" fontId="28" fillId="4" borderId="125" xfId="0" applyFont="1" applyFill="1" applyBorder="1" applyAlignment="1" applyProtection="1">
      <alignment horizontal="center" vertical="center" wrapText="1"/>
      <protection hidden="1"/>
    </xf>
    <xf numFmtId="0" fontId="21" fillId="15" borderId="80" xfId="0" applyFont="1" applyFill="1" applyBorder="1" applyAlignment="1" applyProtection="1">
      <alignment vertical="center" wrapText="1"/>
      <protection hidden="1"/>
    </xf>
    <xf numFmtId="0" fontId="21" fillId="15" borderId="71" xfId="0" applyFont="1" applyFill="1" applyBorder="1" applyAlignment="1" applyProtection="1">
      <alignment horizontal="center" vertical="center" wrapText="1"/>
      <protection hidden="1"/>
    </xf>
    <xf numFmtId="0" fontId="21" fillId="15" borderId="81" xfId="0" applyFont="1" applyFill="1" applyBorder="1" applyAlignment="1" applyProtection="1">
      <alignment horizontal="center" vertical="center" wrapText="1"/>
      <protection hidden="1"/>
    </xf>
    <xf numFmtId="0" fontId="21" fillId="0" borderId="80" xfId="0" applyFont="1" applyBorder="1" applyAlignment="1" applyProtection="1">
      <alignment vertical="center" wrapText="1"/>
      <protection hidden="1"/>
    </xf>
    <xf numFmtId="0" fontId="19" fillId="21" borderId="1" xfId="0" applyFont="1" applyFill="1" applyBorder="1" applyAlignment="1" applyProtection="1">
      <alignment horizontal="center" vertical="center" wrapText="1"/>
      <protection hidden="1"/>
    </xf>
    <xf numFmtId="2" fontId="21" fillId="9" borderId="71" xfId="0" applyNumberFormat="1" applyFont="1" applyFill="1" applyBorder="1" applyAlignment="1" applyProtection="1">
      <alignment horizontal="center" vertical="center" wrapText="1"/>
      <protection hidden="1"/>
    </xf>
    <xf numFmtId="0" fontId="21" fillId="12" borderId="81" xfId="0" applyFont="1" applyFill="1" applyBorder="1" applyAlignment="1" applyProtection="1">
      <alignment horizontal="center" vertical="center" wrapText="1"/>
      <protection hidden="1"/>
    </xf>
    <xf numFmtId="0" fontId="19" fillId="0" borderId="80" xfId="0" applyFont="1" applyBorder="1" applyAlignment="1" applyProtection="1">
      <alignment horizontal="left" vertical="center" wrapText="1"/>
      <protection hidden="1"/>
    </xf>
    <xf numFmtId="0" fontId="21" fillId="0" borderId="71" xfId="0" applyFont="1" applyBorder="1" applyAlignment="1" applyProtection="1">
      <alignment horizontal="center" vertical="center" wrapText="1"/>
      <protection hidden="1"/>
    </xf>
    <xf numFmtId="0" fontId="21" fillId="0" borderId="81" xfId="0" applyFont="1" applyBorder="1" applyAlignment="1" applyProtection="1">
      <alignment horizontal="center" vertical="center" wrapText="1"/>
      <protection hidden="1"/>
    </xf>
    <xf numFmtId="0" fontId="28" fillId="12" borderId="81" xfId="0" applyFont="1" applyFill="1" applyBorder="1" applyAlignment="1" applyProtection="1">
      <alignment horizontal="center" vertical="center" wrapText="1"/>
      <protection hidden="1"/>
    </xf>
    <xf numFmtId="0" fontId="28" fillId="0" borderId="81" xfId="0" applyFont="1" applyBorder="1" applyAlignment="1" applyProtection="1">
      <alignment horizontal="center" vertical="center" wrapText="1"/>
      <protection hidden="1"/>
    </xf>
    <xf numFmtId="0" fontId="19" fillId="0" borderId="71" xfId="0" applyFont="1" applyBorder="1" applyAlignment="1" applyProtection="1">
      <alignment horizontal="center" vertical="center" wrapText="1"/>
      <protection hidden="1"/>
    </xf>
    <xf numFmtId="0" fontId="19" fillId="0" borderId="80" xfId="0" applyFont="1" applyBorder="1" applyAlignment="1" applyProtection="1">
      <alignment vertical="center" wrapText="1"/>
      <protection hidden="1"/>
    </xf>
    <xf numFmtId="0" fontId="14" fillId="15" borderId="71" xfId="0" applyFont="1" applyFill="1" applyBorder="1" applyAlignment="1" applyProtection="1">
      <alignment horizontal="center" vertical="center"/>
      <protection hidden="1"/>
    </xf>
    <xf numFmtId="0" fontId="28" fillId="15" borderId="71" xfId="0" applyFont="1" applyFill="1" applyBorder="1" applyAlignment="1" applyProtection="1">
      <alignment horizontal="center" vertical="center"/>
      <protection hidden="1"/>
    </xf>
    <xf numFmtId="0" fontId="28" fillId="15" borderId="81" xfId="0" applyFont="1" applyFill="1" applyBorder="1" applyAlignment="1" applyProtection="1">
      <alignment horizontal="center" vertical="center"/>
      <protection hidden="1"/>
    </xf>
    <xf numFmtId="10" fontId="21" fillId="4" borderId="71" xfId="0" applyNumberFormat="1" applyFont="1" applyFill="1" applyBorder="1" applyAlignment="1" applyProtection="1">
      <alignment horizontal="center" vertical="center" wrapText="1"/>
      <protection hidden="1"/>
    </xf>
    <xf numFmtId="0" fontId="19" fillId="21" borderId="1" xfId="0" applyFont="1" applyFill="1" applyBorder="1" applyAlignment="1" applyProtection="1">
      <alignment horizontal="center" vertical="center"/>
      <protection hidden="1"/>
    </xf>
    <xf numFmtId="0" fontId="28" fillId="15" borderId="80" xfId="0" applyFont="1" applyFill="1" applyBorder="1" applyAlignment="1" applyProtection="1">
      <alignment vertical="center" wrapText="1"/>
      <protection hidden="1"/>
    </xf>
    <xf numFmtId="0" fontId="21" fillId="21" borderId="1" xfId="0" applyFont="1" applyFill="1" applyBorder="1" applyAlignment="1" applyProtection="1">
      <alignment horizontal="center" vertical="center" wrapText="1"/>
      <protection hidden="1"/>
    </xf>
    <xf numFmtId="0" fontId="28" fillId="15" borderId="71" xfId="0" applyFont="1" applyFill="1" applyBorder="1" applyAlignment="1" applyProtection="1">
      <alignment horizontal="center" vertical="center" wrapText="1"/>
      <protection hidden="1"/>
    </xf>
    <xf numFmtId="0" fontId="28" fillId="15" borderId="81" xfId="0" applyFont="1" applyFill="1" applyBorder="1" applyAlignment="1" applyProtection="1">
      <alignment horizontal="center" vertical="center" wrapText="1"/>
      <protection hidden="1"/>
    </xf>
    <xf numFmtId="10" fontId="21" fillId="9" borderId="71" xfId="2" applyNumberFormat="1" applyFont="1" applyFill="1" applyBorder="1" applyAlignment="1" applyProtection="1">
      <alignment horizontal="center" vertical="center" wrapText="1"/>
      <protection hidden="1"/>
    </xf>
    <xf numFmtId="0" fontId="21" fillId="12" borderId="81" xfId="0" applyFont="1" applyFill="1" applyBorder="1" applyAlignment="1" applyProtection="1">
      <alignment horizontal="center" vertical="center"/>
      <protection hidden="1"/>
    </xf>
    <xf numFmtId="0" fontId="19" fillId="0" borderId="80" xfId="0" applyFont="1" applyBorder="1" applyAlignment="1" applyProtection="1">
      <alignment horizontal="center" vertical="center" wrapText="1"/>
      <protection hidden="1"/>
    </xf>
    <xf numFmtId="2" fontId="21" fillId="0" borderId="71" xfId="0" applyNumberFormat="1" applyFont="1" applyBorder="1" applyAlignment="1" applyProtection="1">
      <alignment horizontal="center" vertical="center" wrapText="1"/>
      <protection hidden="1"/>
    </xf>
    <xf numFmtId="0" fontId="21" fillId="0" borderId="81" xfId="0" applyFont="1" applyBorder="1" applyAlignment="1" applyProtection="1">
      <alignment horizontal="center" vertical="center"/>
      <protection hidden="1"/>
    </xf>
    <xf numFmtId="0" fontId="28" fillId="12" borderId="81" xfId="0" applyFont="1" applyFill="1" applyBorder="1" applyAlignment="1" applyProtection="1">
      <alignment horizontal="center" vertical="center"/>
      <protection hidden="1"/>
    </xf>
    <xf numFmtId="2" fontId="21" fillId="4" borderId="71" xfId="0" applyNumberFormat="1" applyFont="1" applyFill="1" applyBorder="1" applyAlignment="1" applyProtection="1">
      <alignment horizontal="center" vertical="center" wrapText="1"/>
      <protection hidden="1"/>
    </xf>
    <xf numFmtId="0" fontId="28" fillId="0" borderId="81" xfId="0" applyFont="1" applyBorder="1" applyAlignment="1" applyProtection="1">
      <alignment horizontal="center" vertical="center"/>
      <protection hidden="1"/>
    </xf>
    <xf numFmtId="0" fontId="21" fillId="0" borderId="80" xfId="0" applyFont="1" applyBorder="1" applyAlignment="1" applyProtection="1">
      <alignment horizontal="left" vertical="center" wrapText="1"/>
      <protection hidden="1"/>
    </xf>
    <xf numFmtId="0" fontId="21" fillId="4" borderId="71" xfId="0" applyFont="1" applyFill="1" applyBorder="1" applyAlignment="1" applyProtection="1">
      <alignment horizontal="center" vertical="center" wrapText="1"/>
      <protection hidden="1"/>
    </xf>
    <xf numFmtId="2" fontId="33" fillId="9" borderId="71" xfId="0" applyNumberFormat="1" applyFont="1" applyFill="1" applyBorder="1" applyAlignment="1" applyProtection="1">
      <alignment horizontal="center" vertical="center" wrapText="1"/>
      <protection hidden="1"/>
    </xf>
    <xf numFmtId="165" fontId="21" fillId="9" borderId="71" xfId="0" applyNumberFormat="1" applyFont="1" applyFill="1" applyBorder="1" applyAlignment="1" applyProtection="1">
      <alignment horizontal="center" vertical="center" wrapText="1"/>
      <protection hidden="1"/>
    </xf>
    <xf numFmtId="1" fontId="21" fillId="9" borderId="71" xfId="0" applyNumberFormat="1" applyFont="1" applyFill="1" applyBorder="1" applyAlignment="1" applyProtection="1">
      <alignment horizontal="center" vertical="center" wrapText="1"/>
      <protection hidden="1"/>
    </xf>
    <xf numFmtId="0" fontId="21" fillId="17" borderId="80" xfId="0" applyFont="1" applyFill="1" applyBorder="1" applyAlignment="1" applyProtection="1">
      <alignment horizontal="center" vertical="center" wrapText="1"/>
      <protection hidden="1"/>
    </xf>
    <xf numFmtId="0" fontId="21" fillId="17" borderId="71" xfId="0" applyFont="1" applyFill="1" applyBorder="1" applyAlignment="1" applyProtection="1">
      <alignment horizontal="center" vertical="center" wrapText="1"/>
      <protection hidden="1"/>
    </xf>
    <xf numFmtId="0" fontId="21" fillId="17" borderId="81" xfId="0" applyFont="1" applyFill="1" applyBorder="1" applyAlignment="1" applyProtection="1">
      <alignment horizontal="center" vertical="center" wrapText="1"/>
      <protection hidden="1"/>
    </xf>
    <xf numFmtId="0" fontId="21" fillId="4" borderId="126" xfId="0" applyFont="1" applyFill="1" applyBorder="1" applyAlignment="1" applyProtection="1">
      <alignment horizontal="center" vertical="center" wrapText="1"/>
      <protection hidden="1"/>
    </xf>
    <xf numFmtId="0" fontId="21" fillId="4" borderId="127" xfId="0" applyFont="1" applyFill="1" applyBorder="1" applyAlignment="1" applyProtection="1">
      <alignment horizontal="center" vertical="center" wrapText="1"/>
      <protection hidden="1"/>
    </xf>
    <xf numFmtId="0" fontId="14" fillId="0" borderId="0" xfId="0" applyFont="1" applyAlignment="1" applyProtection="1">
      <alignment vertical="center"/>
      <protection hidden="1"/>
    </xf>
    <xf numFmtId="0" fontId="28" fillId="0" borderId="0" xfId="0" applyFont="1" applyAlignment="1" applyProtection="1">
      <alignment horizontal="center" vertical="center"/>
      <protection hidden="1"/>
    </xf>
    <xf numFmtId="0" fontId="28" fillId="7" borderId="71" xfId="0" applyFont="1" applyFill="1" applyBorder="1" applyAlignment="1" applyProtection="1">
      <alignment horizontal="center" vertical="center" wrapText="1"/>
      <protection hidden="1"/>
    </xf>
    <xf numFmtId="0" fontId="14" fillId="19" borderId="71" xfId="0" applyFont="1" applyFill="1" applyBorder="1" applyAlignment="1" applyProtection="1">
      <alignment vertical="center" wrapText="1"/>
      <protection hidden="1"/>
    </xf>
    <xf numFmtId="2" fontId="21" fillId="12" borderId="81" xfId="0" applyNumberFormat="1" applyFont="1" applyFill="1" applyBorder="1" applyAlignment="1">
      <alignment horizontal="center" vertical="center" wrapText="1"/>
    </xf>
    <xf numFmtId="2" fontId="28" fillId="12" borderId="81" xfId="0" applyNumberFormat="1" applyFont="1" applyFill="1" applyBorder="1" applyAlignment="1">
      <alignment horizontal="center" vertical="center" wrapText="1"/>
    </xf>
    <xf numFmtId="2" fontId="21" fillId="12" borderId="81" xfId="0" applyNumberFormat="1" applyFont="1" applyFill="1" applyBorder="1" applyAlignment="1">
      <alignment horizontal="center" vertical="center"/>
    </xf>
    <xf numFmtId="2" fontId="28" fillId="12" borderId="81" xfId="0" applyNumberFormat="1" applyFont="1" applyFill="1" applyBorder="1" applyAlignment="1">
      <alignment horizontal="center" vertical="center"/>
    </xf>
    <xf numFmtId="2" fontId="0" fillId="0" borderId="0" xfId="0" applyNumberFormat="1" applyAlignment="1" applyProtection="1">
      <alignment horizontal="center" vertical="center"/>
      <protection hidden="1"/>
    </xf>
    <xf numFmtId="2" fontId="14" fillId="0" borderId="0" xfId="0" applyNumberFormat="1" applyFont="1" applyAlignment="1" applyProtection="1">
      <alignment horizontal="center" vertical="center"/>
      <protection hidden="1"/>
    </xf>
    <xf numFmtId="2" fontId="15" fillId="0" borderId="0" xfId="0" applyNumberFormat="1" applyFont="1" applyAlignment="1" applyProtection="1">
      <alignment horizontal="center" vertical="center"/>
      <protection hidden="1"/>
    </xf>
    <xf numFmtId="2" fontId="21" fillId="15" borderId="81" xfId="0" applyNumberFormat="1" applyFont="1" applyFill="1" applyBorder="1" applyAlignment="1">
      <alignment horizontal="center" vertical="center" wrapText="1"/>
    </xf>
    <xf numFmtId="0" fontId="82" fillId="0" borderId="69" xfId="0" applyFont="1" applyBorder="1"/>
    <xf numFmtId="165" fontId="21" fillId="9" borderId="71" xfId="0" applyNumberFormat="1" applyFont="1" applyFill="1" applyBorder="1" applyAlignment="1">
      <alignment horizontal="left" vertical="center"/>
    </xf>
    <xf numFmtId="0" fontId="84" fillId="11" borderId="0" xfId="0" applyFont="1" applyFill="1" applyProtection="1">
      <protection hidden="1"/>
    </xf>
    <xf numFmtId="0" fontId="84" fillId="11" borderId="0" xfId="0" applyFont="1" applyFill="1" applyAlignment="1" applyProtection="1">
      <alignment horizontal="center"/>
      <protection hidden="1"/>
    </xf>
    <xf numFmtId="167" fontId="84" fillId="11" borderId="0" xfId="0" applyNumberFormat="1" applyFont="1" applyFill="1" applyProtection="1">
      <protection hidden="1"/>
    </xf>
    <xf numFmtId="0" fontId="85" fillId="23" borderId="0" xfId="0" applyFont="1" applyFill="1"/>
    <xf numFmtId="9" fontId="85" fillId="23" borderId="0" xfId="0" applyNumberFormat="1" applyFont="1" applyFill="1"/>
    <xf numFmtId="0" fontId="14" fillId="23" borderId="0" xfId="0" applyFont="1" applyFill="1" applyAlignment="1">
      <alignment vertical="center"/>
    </xf>
    <xf numFmtId="0" fontId="14" fillId="23" borderId="0" xfId="0" applyFont="1" applyFill="1" applyAlignment="1">
      <alignment horizontal="center" vertical="center"/>
    </xf>
    <xf numFmtId="0" fontId="28" fillId="23" borderId="0" xfId="0" applyFont="1" applyFill="1" applyAlignment="1">
      <alignment horizontal="center" vertical="center"/>
    </xf>
    <xf numFmtId="0" fontId="14" fillId="23" borderId="0" xfId="0" applyFont="1" applyFill="1"/>
    <xf numFmtId="0" fontId="74" fillId="23" borderId="0" xfId="0" applyFont="1" applyFill="1"/>
    <xf numFmtId="9" fontId="85" fillId="23" borderId="0" xfId="2" applyFont="1" applyFill="1"/>
    <xf numFmtId="0" fontId="28" fillId="23" borderId="0" xfId="0" applyFont="1" applyFill="1"/>
    <xf numFmtId="0" fontId="14" fillId="23" borderId="0" xfId="0" applyFont="1" applyFill="1" applyAlignment="1">
      <alignment vertical="center" wrapText="1"/>
    </xf>
    <xf numFmtId="0" fontId="14" fillId="23" borderId="0" xfId="0" applyFont="1" applyFill="1" applyAlignment="1">
      <alignment horizontal="center" vertical="center" wrapText="1"/>
    </xf>
    <xf numFmtId="10" fontId="14" fillId="0" borderId="143" xfId="2" applyNumberFormat="1" applyFont="1" applyFill="1" applyBorder="1" applyAlignment="1" applyProtection="1">
      <alignment horizontal="center" vertical="top"/>
      <protection hidden="1"/>
    </xf>
    <xf numFmtId="0" fontId="21" fillId="4" borderId="100" xfId="1" applyNumberFormat="1" applyFont="1" applyFill="1" applyBorder="1" applyAlignment="1" applyProtection="1">
      <alignment horizontal="center" vertical="top"/>
      <protection locked="0"/>
    </xf>
    <xf numFmtId="0" fontId="21" fillId="4" borderId="101" xfId="1" applyNumberFormat="1" applyFont="1" applyFill="1" applyBorder="1" applyAlignment="1" applyProtection="1">
      <alignment horizontal="center" vertical="top"/>
      <protection locked="0"/>
    </xf>
    <xf numFmtId="165" fontId="14" fillId="4" borderId="97" xfId="1" applyFont="1" applyFill="1" applyBorder="1" applyAlignment="1" applyProtection="1">
      <alignment horizontal="center" vertical="top"/>
      <protection locked="0"/>
    </xf>
    <xf numFmtId="0" fontId="14" fillId="4" borderId="97" xfId="1" applyNumberFormat="1" applyFont="1" applyFill="1" applyBorder="1" applyAlignment="1" applyProtection="1">
      <alignment horizontal="center" vertical="top"/>
      <protection locked="0"/>
    </xf>
    <xf numFmtId="0" fontId="14" fillId="4" borderId="98" xfId="1" applyNumberFormat="1" applyFont="1" applyFill="1" applyBorder="1" applyAlignment="1" applyProtection="1">
      <alignment horizontal="center" vertical="top"/>
      <protection locked="0"/>
    </xf>
    <xf numFmtId="167" fontId="28" fillId="0" borderId="1" xfId="2" applyNumberFormat="1" applyFont="1" applyFill="1" applyBorder="1" applyAlignment="1" applyProtection="1">
      <alignment horizontal="center"/>
    </xf>
    <xf numFmtId="0" fontId="86" fillId="4" borderId="71" xfId="5" applyFill="1" applyBorder="1" applyAlignment="1" applyProtection="1">
      <alignment vertical="center" wrapText="1"/>
    </xf>
    <xf numFmtId="0" fontId="0" fillId="24" borderId="0" xfId="0" applyFill="1"/>
    <xf numFmtId="0" fontId="15" fillId="4" borderId="0" xfId="0" applyFont="1" applyFill="1"/>
    <xf numFmtId="0" fontId="0" fillId="25" borderId="0" xfId="0" applyFill="1"/>
    <xf numFmtId="0" fontId="88" fillId="26" borderId="148" xfId="0" applyFont="1" applyFill="1" applyBorder="1" applyAlignment="1">
      <alignment wrapText="1"/>
    </xf>
    <xf numFmtId="0" fontId="88" fillId="26" borderId="149" xfId="0" applyFont="1" applyFill="1" applyBorder="1" applyAlignment="1">
      <alignment wrapText="1"/>
    </xf>
    <xf numFmtId="0" fontId="88" fillId="26" borderId="150" xfId="0" applyFont="1" applyFill="1" applyBorder="1" applyAlignment="1">
      <alignment wrapText="1"/>
    </xf>
    <xf numFmtId="0" fontId="88" fillId="26" borderId="11" xfId="0" applyFont="1" applyFill="1" applyBorder="1" applyAlignment="1">
      <alignment wrapText="1"/>
    </xf>
    <xf numFmtId="0" fontId="88" fillId="0" borderId="12" xfId="0" applyFont="1" applyBorder="1" applyAlignment="1">
      <alignment horizontal="left" wrapText="1" indent="1"/>
    </xf>
    <xf numFmtId="0" fontId="88" fillId="0" borderId="146" xfId="0" applyFont="1" applyBorder="1" applyAlignment="1">
      <alignment horizontal="left" wrapText="1" indent="1"/>
    </xf>
    <xf numFmtId="0" fontId="88" fillId="0" borderId="146" xfId="0" applyFont="1" applyBorder="1" applyAlignment="1">
      <alignment wrapText="1"/>
    </xf>
    <xf numFmtId="0" fontId="88" fillId="0" borderId="12" xfId="0" applyFont="1" applyBorder="1" applyAlignment="1">
      <alignment wrapText="1"/>
    </xf>
    <xf numFmtId="0" fontId="88" fillId="0" borderId="151" xfId="0" applyFont="1" applyBorder="1" applyAlignment="1">
      <alignment horizontal="left" wrapText="1" indent="1"/>
    </xf>
    <xf numFmtId="0" fontId="88" fillId="0" borderId="153" xfId="0" applyFont="1" applyBorder="1" applyAlignment="1">
      <alignment wrapText="1"/>
    </xf>
    <xf numFmtId="0" fontId="88" fillId="0" borderId="155" xfId="0" applyFont="1" applyBorder="1" applyAlignment="1">
      <alignment horizontal="left" wrapText="1" indent="1"/>
    </xf>
    <xf numFmtId="0" fontId="0" fillId="0" borderId="146" xfId="0" applyBorder="1" applyAlignment="1">
      <alignment wrapText="1"/>
    </xf>
    <xf numFmtId="0" fontId="88" fillId="0" borderId="153" xfId="0" applyFont="1" applyBorder="1" applyAlignment="1">
      <alignment horizontal="left" wrapText="1" indent="1"/>
    </xf>
    <xf numFmtId="0" fontId="88" fillId="0" borderId="154" xfId="0" applyFont="1" applyBorder="1" applyAlignment="1">
      <alignment horizontal="left" wrapText="1" indent="1"/>
    </xf>
    <xf numFmtId="0" fontId="88" fillId="0" borderId="158" xfId="0" applyFont="1" applyBorder="1" applyAlignment="1">
      <alignment horizontal="left" wrapText="1" indent="1"/>
    </xf>
    <xf numFmtId="0" fontId="88" fillId="0" borderId="159" xfId="0" applyFont="1" applyBorder="1" applyAlignment="1">
      <alignment wrapText="1"/>
    </xf>
    <xf numFmtId="0" fontId="88" fillId="0" borderId="158" xfId="0" applyFont="1" applyBorder="1" applyAlignment="1">
      <alignment wrapText="1"/>
    </xf>
    <xf numFmtId="0" fontId="19" fillId="4" borderId="64" xfId="3" applyFont="1" applyFill="1" applyBorder="1" applyAlignment="1">
      <alignment horizontal="center" vertical="center" wrapText="1"/>
    </xf>
    <xf numFmtId="0" fontId="19" fillId="4" borderId="135" xfId="3" applyFont="1" applyFill="1" applyBorder="1" applyAlignment="1">
      <alignment horizontal="center" vertical="center" wrapText="1"/>
    </xf>
    <xf numFmtId="0" fontId="19" fillId="4" borderId="87" xfId="3" applyFont="1" applyFill="1" applyBorder="1" applyAlignment="1">
      <alignment horizontal="center" vertical="center" wrapText="1"/>
    </xf>
    <xf numFmtId="0" fontId="14" fillId="4" borderId="52" xfId="0" applyFont="1" applyFill="1" applyBorder="1" applyAlignment="1">
      <alignment horizontal="center" vertical="center"/>
    </xf>
    <xf numFmtId="0" fontId="14" fillId="4" borderId="70" xfId="0" applyFont="1" applyFill="1" applyBorder="1" applyAlignment="1">
      <alignment horizontal="center" vertical="center" wrapText="1"/>
    </xf>
    <xf numFmtId="0" fontId="14" fillId="4" borderId="0" xfId="0" applyFont="1" applyFill="1" applyAlignment="1">
      <alignment horizontal="center" vertical="center" wrapText="1"/>
    </xf>
    <xf numFmtId="0" fontId="14" fillId="4" borderId="71" xfId="0" applyFont="1" applyFill="1" applyBorder="1" applyAlignment="1">
      <alignment horizontal="center" vertical="center" wrapText="1"/>
    </xf>
    <xf numFmtId="0" fontId="46" fillId="4" borderId="0" xfId="0" applyFont="1" applyFill="1" applyAlignment="1">
      <alignment vertical="top"/>
    </xf>
    <xf numFmtId="14" fontId="14" fillId="4" borderId="71" xfId="0" applyNumberFormat="1" applyFont="1" applyFill="1" applyBorder="1" applyAlignment="1">
      <alignment horizontal="center" vertical="center" wrapText="1"/>
    </xf>
    <xf numFmtId="0" fontId="14" fillId="4" borderId="52" xfId="0" applyFont="1" applyFill="1" applyBorder="1" applyAlignment="1">
      <alignment horizontal="center" vertical="center" wrapText="1"/>
    </xf>
    <xf numFmtId="0" fontId="40" fillId="4" borderId="52" xfId="0" applyFont="1" applyFill="1" applyBorder="1" applyAlignment="1">
      <alignment horizontal="center" vertical="center" wrapText="1"/>
    </xf>
    <xf numFmtId="0" fontId="40" fillId="4" borderId="52" xfId="0" applyFont="1" applyFill="1" applyBorder="1" applyAlignment="1">
      <alignment horizontal="center" vertical="center"/>
    </xf>
    <xf numFmtId="0" fontId="28" fillId="4" borderId="86" xfId="0" applyFont="1" applyFill="1" applyBorder="1" applyAlignment="1">
      <alignment horizontal="center" vertical="center" wrapText="1"/>
    </xf>
    <xf numFmtId="0" fontId="28" fillId="4" borderId="87" xfId="0" applyFont="1" applyFill="1" applyBorder="1" applyAlignment="1">
      <alignment horizontal="center" vertical="center" wrapText="1"/>
    </xf>
    <xf numFmtId="0" fontId="28" fillId="4" borderId="88" xfId="0" applyFont="1" applyFill="1" applyBorder="1" applyAlignment="1">
      <alignment horizontal="center" vertical="center" wrapText="1"/>
    </xf>
    <xf numFmtId="0" fontId="14" fillId="10" borderId="82" xfId="0" applyFont="1" applyFill="1" applyBorder="1" applyAlignment="1">
      <alignment horizontal="center" vertical="center"/>
    </xf>
    <xf numFmtId="0" fontId="39" fillId="10" borderId="71" xfId="0" applyFont="1" applyFill="1" applyBorder="1" applyAlignment="1">
      <alignment vertical="center" wrapText="1"/>
    </xf>
    <xf numFmtId="0" fontId="14" fillId="10" borderId="71" xfId="0" applyFont="1" applyFill="1" applyBorder="1" applyAlignment="1">
      <alignment horizontal="center" vertical="center" wrapText="1"/>
    </xf>
    <xf numFmtId="0" fontId="14" fillId="10" borderId="71" xfId="0" applyFont="1" applyFill="1" applyBorder="1" applyAlignment="1">
      <alignment horizontal="center" vertical="center"/>
    </xf>
    <xf numFmtId="0" fontId="14" fillId="10" borderId="81" xfId="0" applyFont="1" applyFill="1" applyBorder="1" applyAlignment="1">
      <alignment horizontal="center" vertical="center"/>
    </xf>
    <xf numFmtId="0" fontId="28" fillId="7" borderId="82" xfId="0" applyFont="1" applyFill="1" applyBorder="1" applyAlignment="1">
      <alignment horizontal="center" vertical="center"/>
    </xf>
    <xf numFmtId="0" fontId="28" fillId="7" borderId="71" xfId="0" applyFont="1" applyFill="1" applyBorder="1" applyAlignment="1">
      <alignment vertical="center" wrapText="1"/>
    </xf>
    <xf numFmtId="0" fontId="14" fillId="7" borderId="71" xfId="0" applyFont="1" applyFill="1" applyBorder="1" applyAlignment="1">
      <alignment horizontal="center" vertical="center" wrapText="1"/>
    </xf>
    <xf numFmtId="0" fontId="14" fillId="7" borderId="71" xfId="0" applyFont="1" applyFill="1" applyBorder="1" applyAlignment="1">
      <alignment horizontal="center" vertical="center"/>
    </xf>
    <xf numFmtId="0" fontId="14" fillId="7" borderId="81" xfId="0" applyFont="1" applyFill="1" applyBorder="1" applyAlignment="1">
      <alignment horizontal="center" vertical="center"/>
    </xf>
    <xf numFmtId="0" fontId="14" fillId="4" borderId="82" xfId="0" applyFont="1" applyFill="1" applyBorder="1" applyAlignment="1">
      <alignment horizontal="center" vertical="center"/>
    </xf>
    <xf numFmtId="0" fontId="14" fillId="4" borderId="71" xfId="0" applyFont="1" applyFill="1" applyBorder="1" applyAlignment="1">
      <alignment vertical="center" wrapText="1"/>
    </xf>
    <xf numFmtId="0" fontId="14" fillId="0" borderId="71" xfId="0" applyFont="1" applyBorder="1" applyAlignment="1">
      <alignment vertical="center" wrapText="1"/>
    </xf>
    <xf numFmtId="0" fontId="14" fillId="0" borderId="71" xfId="0" applyFont="1" applyBorder="1" applyAlignment="1">
      <alignment vertical="center"/>
    </xf>
    <xf numFmtId="0" fontId="14" fillId="12" borderId="81" xfId="0" applyFont="1" applyFill="1" applyBorder="1" applyAlignment="1">
      <alignment horizontal="center" vertical="center"/>
    </xf>
    <xf numFmtId="0" fontId="14" fillId="4" borderId="64" xfId="0" applyFont="1" applyFill="1" applyBorder="1" applyAlignment="1">
      <alignment horizontal="center" vertical="center" wrapText="1"/>
    </xf>
    <xf numFmtId="0" fontId="14" fillId="4" borderId="71" xfId="0" applyFont="1" applyFill="1" applyBorder="1" applyAlignment="1">
      <alignment horizontal="center" vertical="center"/>
    </xf>
    <xf numFmtId="0" fontId="14" fillId="0" borderId="81" xfId="0" applyFont="1" applyBorder="1" applyAlignment="1">
      <alignment horizontal="center" vertical="center"/>
    </xf>
    <xf numFmtId="0" fontId="14" fillId="4" borderId="87" xfId="0" applyFont="1" applyFill="1" applyBorder="1" applyAlignment="1">
      <alignment horizontal="center" vertical="center" wrapText="1"/>
    </xf>
    <xf numFmtId="0" fontId="14" fillId="7" borderId="82" xfId="0" applyFont="1" applyFill="1" applyBorder="1" applyAlignment="1">
      <alignment horizontal="center" vertical="center"/>
    </xf>
    <xf numFmtId="0" fontId="14" fillId="7" borderId="71" xfId="0" applyFont="1" applyFill="1" applyBorder="1" applyAlignment="1">
      <alignment vertical="center" wrapText="1"/>
    </xf>
    <xf numFmtId="0" fontId="28" fillId="10" borderId="82" xfId="0" applyFont="1" applyFill="1" applyBorder="1" applyAlignment="1">
      <alignment horizontal="center" vertical="center"/>
    </xf>
    <xf numFmtId="0" fontId="28" fillId="10" borderId="71" xfId="0" applyFont="1" applyFill="1" applyBorder="1" applyAlignment="1">
      <alignment vertical="center" wrapText="1"/>
    </xf>
    <xf numFmtId="0" fontId="28" fillId="10" borderId="71" xfId="0" applyFont="1" applyFill="1" applyBorder="1" applyAlignment="1">
      <alignment horizontal="center" vertical="center" wrapText="1"/>
    </xf>
    <xf numFmtId="0" fontId="28" fillId="10" borderId="71" xfId="0" applyFont="1" applyFill="1" applyBorder="1" applyAlignment="1">
      <alignment horizontal="center" vertical="center"/>
    </xf>
    <xf numFmtId="0" fontId="28" fillId="10" borderId="81" xfId="0" applyFont="1" applyFill="1" applyBorder="1" applyAlignment="1">
      <alignment horizontal="center" vertical="center"/>
    </xf>
    <xf numFmtId="0" fontId="28" fillId="7" borderId="71" xfId="0" applyFont="1" applyFill="1" applyBorder="1" applyAlignment="1">
      <alignment horizontal="center" vertical="center" wrapText="1"/>
    </xf>
    <xf numFmtId="0" fontId="28" fillId="7" borderId="71" xfId="0" applyFont="1" applyFill="1" applyBorder="1" applyAlignment="1">
      <alignment horizontal="center" vertical="center"/>
    </xf>
    <xf numFmtId="16" fontId="14" fillId="4" borderId="71" xfId="0" applyNumberFormat="1" applyFont="1" applyFill="1" applyBorder="1" applyAlignment="1">
      <alignment horizontal="center" vertical="center" wrapText="1"/>
    </xf>
    <xf numFmtId="0" fontId="21" fillId="7" borderId="82" xfId="0" applyFont="1" applyFill="1" applyBorder="1" applyAlignment="1">
      <alignment horizontal="center" vertical="center"/>
    </xf>
    <xf numFmtId="0" fontId="21" fillId="7" borderId="71" xfId="0" applyFont="1" applyFill="1" applyBorder="1" applyAlignment="1">
      <alignment vertical="center" wrapText="1"/>
    </xf>
    <xf numFmtId="0" fontId="21" fillId="7" borderId="71" xfId="0" applyFont="1" applyFill="1" applyBorder="1" applyAlignment="1">
      <alignment horizontal="center" vertical="center" wrapText="1"/>
    </xf>
    <xf numFmtId="0" fontId="21" fillId="7" borderId="71" xfId="0" applyFont="1" applyFill="1" applyBorder="1" applyAlignment="1">
      <alignment horizontal="center" vertical="center"/>
    </xf>
    <xf numFmtId="0" fontId="28" fillId="7" borderId="71" xfId="0" applyFont="1" applyFill="1" applyBorder="1" applyAlignment="1">
      <alignment horizontal="left" vertical="center" wrapText="1"/>
    </xf>
    <xf numFmtId="0" fontId="14" fillId="9" borderId="82" xfId="0" applyFont="1" applyFill="1" applyBorder="1" applyAlignment="1">
      <alignment horizontal="center" vertical="center"/>
    </xf>
    <xf numFmtId="0" fontId="28" fillId="9" borderId="71" xfId="0" applyFont="1" applyFill="1" applyBorder="1" applyAlignment="1">
      <alignment vertical="center" wrapText="1"/>
    </xf>
    <xf numFmtId="0" fontId="14" fillId="9" borderId="71" xfId="0" applyFont="1" applyFill="1" applyBorder="1" applyAlignment="1">
      <alignment horizontal="center" vertical="center" wrapText="1"/>
    </xf>
    <xf numFmtId="0" fontId="14" fillId="9" borderId="71" xfId="0" applyFont="1" applyFill="1" applyBorder="1" applyAlignment="1">
      <alignment horizontal="center" vertical="center"/>
    </xf>
    <xf numFmtId="0" fontId="14" fillId="9" borderId="81" xfId="0" applyFont="1" applyFill="1" applyBorder="1" applyAlignment="1">
      <alignment horizontal="center" vertical="center"/>
    </xf>
    <xf numFmtId="0" fontId="14" fillId="0" borderId="89" xfId="0" applyFont="1" applyBorder="1" applyAlignment="1">
      <alignment horizontal="center" vertical="center"/>
    </xf>
    <xf numFmtId="0" fontId="14" fillId="0" borderId="89" xfId="0" applyFont="1" applyBorder="1" applyAlignment="1">
      <alignment vertical="center" wrapText="1"/>
    </xf>
    <xf numFmtId="0" fontId="14" fillId="0" borderId="89" xfId="0" applyFont="1" applyBorder="1" applyAlignment="1">
      <alignment horizontal="center" vertical="center" wrapText="1"/>
    </xf>
    <xf numFmtId="167" fontId="14" fillId="0" borderId="117" xfId="2" applyNumberFormat="1" applyFont="1" applyBorder="1" applyAlignment="1" applyProtection="1">
      <alignment horizontal="center" vertical="center"/>
    </xf>
    <xf numFmtId="3" fontId="15" fillId="4" borderId="70" xfId="0" applyNumberFormat="1" applyFont="1" applyFill="1" applyBorder="1" applyAlignment="1" applyProtection="1">
      <alignment horizontal="center" vertical="center"/>
      <protection locked="0"/>
    </xf>
    <xf numFmtId="0" fontId="89" fillId="0" borderId="0" xfId="0" applyFont="1" applyAlignment="1">
      <alignment horizontal="center" vertical="center" wrapText="1"/>
    </xf>
    <xf numFmtId="49" fontId="69" fillId="0" borderId="0" xfId="0" applyNumberFormat="1" applyFont="1" applyAlignment="1">
      <alignment horizontal="center"/>
    </xf>
    <xf numFmtId="0" fontId="90" fillId="0" borderId="0" xfId="0" applyFont="1" applyAlignment="1">
      <alignment horizontal="center" vertical="center" wrapText="1"/>
    </xf>
    <xf numFmtId="49" fontId="67" fillId="0" borderId="0" xfId="0" applyNumberFormat="1" applyFont="1" applyAlignment="1">
      <alignment horizontal="right"/>
    </xf>
    <xf numFmtId="0" fontId="87" fillId="4" borderId="3" xfId="5" applyFont="1" applyFill="1" applyBorder="1" applyAlignment="1" applyProtection="1">
      <alignment horizontal="left"/>
    </xf>
    <xf numFmtId="0" fontId="87" fillId="4" borderId="4" xfId="5" applyFont="1" applyFill="1" applyBorder="1" applyAlignment="1" applyProtection="1">
      <alignment horizontal="left"/>
    </xf>
    <xf numFmtId="0" fontId="87" fillId="4" borderId="2" xfId="5" applyFont="1" applyFill="1" applyBorder="1" applyAlignment="1" applyProtection="1">
      <alignment horizontal="left"/>
    </xf>
    <xf numFmtId="0" fontId="31" fillId="4" borderId="0" xfId="0" applyFont="1" applyFill="1" applyAlignment="1">
      <alignment horizontal="center"/>
    </xf>
    <xf numFmtId="0" fontId="68" fillId="4" borderId="3" xfId="0" applyFont="1" applyFill="1" applyBorder="1" applyAlignment="1">
      <alignment horizontal="left"/>
    </xf>
    <xf numFmtId="0" fontId="68" fillId="4" borderId="4" xfId="0" applyFont="1" applyFill="1" applyBorder="1" applyAlignment="1">
      <alignment horizontal="left"/>
    </xf>
    <xf numFmtId="0" fontId="68" fillId="4" borderId="2" xfId="0" applyFont="1" applyFill="1" applyBorder="1" applyAlignment="1">
      <alignment horizontal="left"/>
    </xf>
    <xf numFmtId="0" fontId="16" fillId="4" borderId="0" xfId="0" applyFont="1" applyFill="1" applyAlignment="1">
      <alignment horizontal="center"/>
    </xf>
    <xf numFmtId="0" fontId="10" fillId="0" borderId="0" xfId="0" applyFont="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1" fillId="0" borderId="6" xfId="0" applyFont="1" applyBorder="1" applyAlignment="1">
      <alignment horizontal="center"/>
    </xf>
    <xf numFmtId="0" fontId="12" fillId="0" borderId="0" xfId="0" applyFont="1" applyAlignment="1">
      <alignment horizontal="center" vertical="center"/>
    </xf>
    <xf numFmtId="0" fontId="40" fillId="0" borderId="0" xfId="0" applyFont="1" applyAlignment="1">
      <alignment horizontal="center" vertical="center"/>
    </xf>
    <xf numFmtId="0" fontId="0" fillId="0" borderId="0" xfId="0" applyAlignment="1">
      <alignment horizontal="center" vertical="center"/>
    </xf>
    <xf numFmtId="0" fontId="20" fillId="0" borderId="48" xfId="0" applyFont="1" applyBorder="1" applyAlignment="1">
      <alignment horizontal="center" vertical="center" wrapText="1"/>
    </xf>
    <xf numFmtId="0" fontId="14" fillId="3" borderId="7" xfId="0" applyFont="1" applyFill="1" applyBorder="1" applyAlignment="1" applyProtection="1">
      <alignment horizontal="left" wrapText="1"/>
      <protection locked="0"/>
    </xf>
    <xf numFmtId="0" fontId="14" fillId="3" borderId="44" xfId="0" applyFont="1" applyFill="1" applyBorder="1" applyAlignment="1" applyProtection="1">
      <alignment horizontal="left" wrapText="1"/>
      <protection locked="0"/>
    </xf>
    <xf numFmtId="0" fontId="14" fillId="3" borderId="39" xfId="0" applyFont="1" applyFill="1" applyBorder="1" applyAlignment="1" applyProtection="1">
      <alignment horizontal="left" wrapText="1"/>
      <protection locked="0"/>
    </xf>
    <xf numFmtId="0" fontId="14" fillId="3" borderId="46" xfId="0" applyFont="1" applyFill="1" applyBorder="1" applyAlignment="1" applyProtection="1">
      <alignment horizontal="left" wrapText="1"/>
      <protection locked="0"/>
    </xf>
    <xf numFmtId="0" fontId="14" fillId="3" borderId="40" xfId="0" applyFont="1" applyFill="1" applyBorder="1" applyAlignment="1" applyProtection="1">
      <alignment horizontal="left" wrapText="1"/>
      <protection locked="0"/>
    </xf>
    <xf numFmtId="0" fontId="14" fillId="3" borderId="42" xfId="0" applyFont="1" applyFill="1" applyBorder="1" applyAlignment="1" applyProtection="1">
      <alignment horizontal="left" wrapText="1"/>
      <protection locked="0"/>
    </xf>
    <xf numFmtId="0" fontId="56" fillId="18" borderId="51" xfId="4" applyFill="1" applyAlignment="1">
      <alignment horizontal="center" vertical="center"/>
    </xf>
    <xf numFmtId="0" fontId="20" fillId="0" borderId="47" xfId="0" applyFont="1" applyBorder="1" applyAlignment="1">
      <alignment horizontal="center" vertical="center" wrapText="1"/>
    </xf>
    <xf numFmtId="0" fontId="42" fillId="4" borderId="96" xfId="0" applyFont="1" applyFill="1" applyBorder="1" applyAlignment="1" applyProtection="1">
      <alignment horizontal="center" vertical="top"/>
      <protection hidden="1"/>
    </xf>
    <xf numFmtId="0" fontId="42" fillId="4" borderId="97" xfId="0" applyFont="1" applyFill="1" applyBorder="1" applyAlignment="1" applyProtection="1">
      <alignment horizontal="center" vertical="top"/>
      <protection hidden="1"/>
    </xf>
    <xf numFmtId="0" fontId="50" fillId="4" borderId="92" xfId="0" applyFont="1" applyFill="1" applyBorder="1" applyAlignment="1" applyProtection="1">
      <alignment horizontal="center" vertical="center"/>
      <protection hidden="1"/>
    </xf>
    <xf numFmtId="0" fontId="14" fillId="4" borderId="93" xfId="0" applyFont="1" applyFill="1" applyBorder="1" applyAlignment="1" applyProtection="1">
      <alignment horizontal="center" vertical="top"/>
      <protection hidden="1"/>
    </xf>
    <xf numFmtId="0" fontId="14" fillId="4" borderId="94" xfId="0" applyFont="1" applyFill="1" applyBorder="1" applyAlignment="1" applyProtection="1">
      <alignment horizontal="center" vertical="top"/>
      <protection hidden="1"/>
    </xf>
    <xf numFmtId="0" fontId="14" fillId="4" borderId="96" xfId="0" applyFont="1" applyFill="1" applyBorder="1" applyAlignment="1" applyProtection="1">
      <alignment horizontal="center" vertical="top"/>
      <protection hidden="1"/>
    </xf>
    <xf numFmtId="0" fontId="14" fillId="4" borderId="97" xfId="0" applyFont="1" applyFill="1" applyBorder="1" applyAlignment="1" applyProtection="1">
      <alignment horizontal="center" vertical="top"/>
      <protection hidden="1"/>
    </xf>
    <xf numFmtId="165" fontId="14" fillId="4" borderId="94" xfId="1" applyFont="1" applyFill="1" applyBorder="1" applyAlignment="1" applyProtection="1">
      <alignment horizontal="center" vertical="top"/>
      <protection hidden="1"/>
    </xf>
    <xf numFmtId="165" fontId="14" fillId="4" borderId="95" xfId="1" applyFont="1" applyFill="1" applyBorder="1" applyAlignment="1" applyProtection="1">
      <alignment horizontal="center" vertical="top"/>
      <protection hidden="1"/>
    </xf>
    <xf numFmtId="165" fontId="14" fillId="4" borderId="97" xfId="1" applyFont="1" applyFill="1" applyBorder="1" applyAlignment="1" applyProtection="1">
      <alignment horizontal="center" vertical="top"/>
      <protection hidden="1"/>
    </xf>
    <xf numFmtId="165" fontId="14" fillId="4" borderId="98" xfId="1" applyFont="1" applyFill="1" applyBorder="1" applyAlignment="1" applyProtection="1">
      <alignment horizontal="center" vertical="top"/>
      <protection hidden="1"/>
    </xf>
    <xf numFmtId="0" fontId="24" fillId="4" borderId="92" xfId="0" applyFont="1" applyFill="1" applyBorder="1" applyAlignment="1" applyProtection="1">
      <alignment horizontal="center" vertical="top"/>
      <protection hidden="1"/>
    </xf>
    <xf numFmtId="0" fontId="38" fillId="14" borderId="84" xfId="0" applyFont="1" applyFill="1" applyBorder="1" applyAlignment="1" applyProtection="1">
      <alignment horizontal="center" vertical="top"/>
      <protection hidden="1"/>
    </xf>
    <xf numFmtId="0" fontId="38" fillId="14" borderId="70" xfId="0" applyFont="1" applyFill="1" applyBorder="1" applyAlignment="1" applyProtection="1">
      <alignment horizontal="center" vertical="top"/>
      <protection hidden="1"/>
    </xf>
    <xf numFmtId="0" fontId="42" fillId="4" borderId="56" xfId="0" applyFont="1" applyFill="1" applyBorder="1" applyAlignment="1" applyProtection="1">
      <alignment horizontal="center" vertical="top"/>
      <protection hidden="1"/>
    </xf>
    <xf numFmtId="0" fontId="42" fillId="4" borderId="99" xfId="0" applyFont="1" applyFill="1" applyBorder="1" applyAlignment="1" applyProtection="1">
      <alignment horizontal="center" vertical="top"/>
      <protection hidden="1"/>
    </xf>
    <xf numFmtId="0" fontId="42" fillId="4" borderId="100" xfId="0" applyFont="1" applyFill="1" applyBorder="1" applyAlignment="1" applyProtection="1">
      <alignment horizontal="center" vertical="top"/>
      <protection hidden="1"/>
    </xf>
    <xf numFmtId="0" fontId="15" fillId="4" borderId="82" xfId="0" applyFont="1" applyFill="1" applyBorder="1" applyAlignment="1">
      <alignment horizontal="center" vertical="center"/>
    </xf>
    <xf numFmtId="0" fontId="15" fillId="4" borderId="71" xfId="0" applyFont="1" applyFill="1" applyBorder="1" applyAlignment="1">
      <alignment horizontal="center" vertical="center"/>
    </xf>
    <xf numFmtId="0" fontId="29" fillId="4" borderId="104" xfId="0" applyFont="1" applyFill="1" applyBorder="1" applyAlignment="1">
      <alignment horizontal="center" vertical="center"/>
    </xf>
    <xf numFmtId="0" fontId="29" fillId="4" borderId="105" xfId="0" applyFont="1" applyFill="1" applyBorder="1" applyAlignment="1">
      <alignment horizontal="center" vertical="center"/>
    </xf>
    <xf numFmtId="0" fontId="29" fillId="4" borderId="106" xfId="0" applyFont="1" applyFill="1" applyBorder="1" applyAlignment="1">
      <alignment horizontal="center" vertical="center"/>
    </xf>
    <xf numFmtId="0" fontId="24" fillId="4" borderId="104" xfId="0" applyFont="1" applyFill="1" applyBorder="1" applyAlignment="1">
      <alignment horizontal="center" vertical="center"/>
    </xf>
    <xf numFmtId="0" fontId="24" fillId="4" borderId="105" xfId="0" applyFont="1" applyFill="1" applyBorder="1" applyAlignment="1">
      <alignment horizontal="center" vertical="center"/>
    </xf>
    <xf numFmtId="0" fontId="24" fillId="4" borderId="106" xfId="0" applyFont="1" applyFill="1" applyBorder="1" applyAlignment="1">
      <alignment horizontal="center" vertical="center"/>
    </xf>
    <xf numFmtId="0" fontId="15" fillId="4" borderId="84" xfId="0" applyFont="1" applyFill="1" applyBorder="1" applyAlignment="1">
      <alignment horizontal="center" vertical="center"/>
    </xf>
    <xf numFmtId="0" fontId="15" fillId="4" borderId="70" xfId="0" applyFont="1" applyFill="1" applyBorder="1" applyAlignment="1">
      <alignment horizontal="center" vertical="center"/>
    </xf>
    <xf numFmtId="166" fontId="15" fillId="4" borderId="70" xfId="1" applyNumberFormat="1" applyFont="1" applyFill="1" applyBorder="1" applyAlignment="1" applyProtection="1">
      <alignment horizontal="center" vertical="center"/>
    </xf>
    <xf numFmtId="166" fontId="15" fillId="4" borderId="85" xfId="1" applyNumberFormat="1" applyFont="1" applyFill="1" applyBorder="1" applyAlignment="1" applyProtection="1">
      <alignment horizontal="center" vertical="center"/>
    </xf>
    <xf numFmtId="166" fontId="15" fillId="4" borderId="71" xfId="1" applyNumberFormat="1" applyFont="1" applyFill="1" applyBorder="1" applyAlignment="1" applyProtection="1">
      <alignment horizontal="center" vertical="center"/>
    </xf>
    <xf numFmtId="166" fontId="15" fillId="4" borderId="83" xfId="1" applyNumberFormat="1" applyFont="1" applyFill="1" applyBorder="1" applyAlignment="1" applyProtection="1">
      <alignment horizontal="center" vertical="center"/>
    </xf>
    <xf numFmtId="0" fontId="72" fillId="0" borderId="0" xfId="0" applyFont="1" applyAlignment="1">
      <alignment horizontal="left"/>
    </xf>
    <xf numFmtId="0" fontId="24" fillId="4" borderId="107" xfId="0" applyFont="1" applyFill="1" applyBorder="1" applyAlignment="1">
      <alignment horizontal="center" vertical="center"/>
    </xf>
    <xf numFmtId="0" fontId="24" fillId="4" borderId="108" xfId="0" applyFont="1" applyFill="1" applyBorder="1" applyAlignment="1">
      <alignment horizontal="center" vertical="center"/>
    </xf>
    <xf numFmtId="0" fontId="26" fillId="4" borderId="82" xfId="0" applyFont="1" applyFill="1" applyBorder="1" applyAlignment="1">
      <alignment horizontal="center" vertical="center"/>
    </xf>
    <xf numFmtId="0" fontId="26" fillId="4" borderId="71" xfId="0" applyFont="1" applyFill="1" applyBorder="1" applyAlignment="1">
      <alignment horizontal="center" vertical="center"/>
    </xf>
    <xf numFmtId="0" fontId="22" fillId="4" borderId="27" xfId="0" applyFont="1" applyFill="1" applyBorder="1" applyAlignment="1">
      <alignment horizontal="center" vertical="center"/>
    </xf>
    <xf numFmtId="0" fontId="22" fillId="4" borderId="0" xfId="0" applyFont="1" applyFill="1" applyAlignment="1">
      <alignment horizontal="center" vertical="center"/>
    </xf>
    <xf numFmtId="0" fontId="22" fillId="4" borderId="32" xfId="0" applyFont="1" applyFill="1" applyBorder="1" applyAlignment="1">
      <alignment horizontal="center" vertical="center"/>
    </xf>
    <xf numFmtId="0" fontId="26" fillId="4" borderId="104" xfId="0" applyFont="1" applyFill="1" applyBorder="1" applyAlignment="1">
      <alignment horizontal="center" vertical="top"/>
    </xf>
    <xf numFmtId="0" fontId="26" fillId="4" borderId="105" xfId="0" applyFont="1" applyFill="1" applyBorder="1" applyAlignment="1">
      <alignment horizontal="center" vertical="top"/>
    </xf>
    <xf numFmtId="0" fontId="14" fillId="0" borderId="84" xfId="0" applyFont="1" applyBorder="1" applyAlignment="1">
      <alignment horizontal="center" vertical="top"/>
    </xf>
    <xf numFmtId="0" fontId="14" fillId="0" borderId="70" xfId="0" applyFont="1" applyBorder="1" applyAlignment="1">
      <alignment horizontal="center" vertical="top"/>
    </xf>
    <xf numFmtId="165" fontId="14" fillId="0" borderId="70" xfId="1" applyFont="1" applyBorder="1" applyAlignment="1" applyProtection="1">
      <alignment horizontal="center" vertical="top"/>
    </xf>
    <xf numFmtId="165" fontId="14" fillId="0" borderId="85" xfId="1" applyFont="1" applyBorder="1" applyAlignment="1" applyProtection="1">
      <alignment horizontal="center" vertical="top"/>
    </xf>
    <xf numFmtId="0" fontId="14" fillId="0" borderId="82" xfId="0" applyFont="1" applyBorder="1" applyAlignment="1">
      <alignment horizontal="center" vertical="top"/>
    </xf>
    <xf numFmtId="0" fontId="14" fillId="0" borderId="71" xfId="0" applyFont="1" applyBorder="1"/>
    <xf numFmtId="165" fontId="14" fillId="0" borderId="71" xfId="1" applyFont="1" applyBorder="1" applyAlignment="1" applyProtection="1">
      <alignment horizontal="center" vertical="top"/>
    </xf>
    <xf numFmtId="165" fontId="14" fillId="0" borderId="83" xfId="1" applyFont="1" applyBorder="1" applyAlignment="1" applyProtection="1">
      <alignment horizontal="center" vertical="top"/>
    </xf>
    <xf numFmtId="0" fontId="14" fillId="0" borderId="63" xfId="0" applyFont="1" applyBorder="1" applyAlignment="1">
      <alignment horizontal="center" vertical="top"/>
    </xf>
    <xf numFmtId="0" fontId="14" fillId="0" borderId="64" xfId="0" applyFont="1" applyBorder="1"/>
    <xf numFmtId="0" fontId="28" fillId="0" borderId="86" xfId="0" applyFont="1" applyBorder="1" applyAlignment="1">
      <alignment horizontal="center" vertical="top"/>
    </xf>
    <xf numFmtId="0" fontId="14" fillId="0" borderId="87" xfId="0" applyFont="1" applyBorder="1"/>
    <xf numFmtId="0" fontId="71" fillId="0" borderId="0" xfId="0" applyFont="1" applyAlignment="1">
      <alignment horizontal="left" vertical="center" wrapText="1"/>
    </xf>
    <xf numFmtId="0" fontId="14" fillId="4" borderId="56" xfId="0" applyFont="1" applyFill="1" applyBorder="1" applyAlignment="1">
      <alignment horizontal="center" vertical="top"/>
    </xf>
    <xf numFmtId="165" fontId="39" fillId="14" borderId="82" xfId="1" applyFont="1" applyFill="1" applyBorder="1" applyAlignment="1" applyProtection="1">
      <alignment horizontal="center" vertical="center"/>
      <protection hidden="1"/>
    </xf>
    <xf numFmtId="165" fontId="39" fillId="14" borderId="71" xfId="1" applyFont="1" applyFill="1" applyBorder="1" applyAlignment="1" applyProtection="1">
      <alignment horizontal="center" vertical="center"/>
      <protection hidden="1"/>
    </xf>
    <xf numFmtId="0" fontId="39" fillId="14" borderId="27" xfId="0" applyFont="1" applyFill="1" applyBorder="1" applyAlignment="1" applyProtection="1">
      <alignment horizontal="center" vertical="center"/>
      <protection hidden="1"/>
    </xf>
    <xf numFmtId="0" fontId="39" fillId="14" borderId="32" xfId="0" applyFont="1" applyFill="1" applyBorder="1" applyAlignment="1" applyProtection="1">
      <alignment horizontal="center" vertical="center"/>
      <protection hidden="1"/>
    </xf>
    <xf numFmtId="0" fontId="25" fillId="0" borderId="82" xfId="0" applyFont="1" applyBorder="1" applyAlignment="1" applyProtection="1">
      <alignment horizontal="center" vertical="center"/>
      <protection hidden="1"/>
    </xf>
    <xf numFmtId="0" fontId="25" fillId="0" borderId="71" xfId="0" applyFont="1" applyBorder="1" applyAlignment="1" applyProtection="1">
      <alignment horizontal="center" vertical="center"/>
      <protection hidden="1"/>
    </xf>
    <xf numFmtId="0" fontId="25" fillId="0" borderId="63" xfId="0" applyFont="1" applyBorder="1" applyAlignment="1" applyProtection="1">
      <alignment horizontal="center" vertical="center"/>
      <protection hidden="1"/>
    </xf>
    <xf numFmtId="0" fontId="25" fillId="0" borderId="64" xfId="0" applyFont="1" applyBorder="1" applyAlignment="1" applyProtection="1">
      <alignment horizontal="center" vertical="center"/>
      <protection hidden="1"/>
    </xf>
    <xf numFmtId="0" fontId="50" fillId="4" borderId="104" xfId="0" applyFont="1" applyFill="1" applyBorder="1" applyAlignment="1" applyProtection="1">
      <alignment horizontal="center" vertical="center"/>
      <protection hidden="1"/>
    </xf>
    <xf numFmtId="0" fontId="50" fillId="4" borderId="105" xfId="0" applyFont="1" applyFill="1" applyBorder="1" applyAlignment="1" applyProtection="1">
      <alignment horizontal="center" vertical="center"/>
      <protection hidden="1"/>
    </xf>
    <xf numFmtId="0" fontId="50" fillId="4" borderId="106" xfId="0" applyFont="1" applyFill="1" applyBorder="1" applyAlignment="1" applyProtection="1">
      <alignment horizontal="center" vertical="center"/>
      <protection hidden="1"/>
    </xf>
    <xf numFmtId="0" fontId="63" fillId="4" borderId="104" xfId="0" applyFont="1" applyFill="1" applyBorder="1" applyAlignment="1" applyProtection="1">
      <alignment horizontal="center" vertical="center"/>
      <protection hidden="1"/>
    </xf>
    <xf numFmtId="0" fontId="63" fillId="4" borderId="105" xfId="0" applyFont="1" applyFill="1" applyBorder="1" applyAlignment="1" applyProtection="1">
      <alignment horizontal="center" vertical="center"/>
      <protection hidden="1"/>
    </xf>
    <xf numFmtId="0" fontId="63" fillId="4" borderId="106" xfId="0" applyFont="1" applyFill="1" applyBorder="1" applyAlignment="1" applyProtection="1">
      <alignment horizontal="center" vertical="center"/>
      <protection hidden="1"/>
    </xf>
    <xf numFmtId="0" fontId="25" fillId="0" borderId="84" xfId="0" applyFont="1" applyBorder="1" applyAlignment="1" applyProtection="1">
      <alignment horizontal="center" vertical="center"/>
      <protection hidden="1"/>
    </xf>
    <xf numFmtId="0" fontId="25" fillId="0" borderId="70" xfId="0" applyFont="1" applyBorder="1" applyAlignment="1" applyProtection="1">
      <alignment horizontal="center" vertical="center"/>
      <protection hidden="1"/>
    </xf>
    <xf numFmtId="165" fontId="25" fillId="0" borderId="70" xfId="1" applyFont="1" applyBorder="1" applyAlignment="1" applyProtection="1">
      <alignment horizontal="center" vertical="center"/>
      <protection hidden="1"/>
    </xf>
    <xf numFmtId="165" fontId="25" fillId="0" borderId="85" xfId="1" applyFont="1" applyBorder="1" applyAlignment="1" applyProtection="1">
      <alignment horizontal="center" vertical="center"/>
      <protection hidden="1"/>
    </xf>
    <xf numFmtId="165" fontId="25" fillId="0" borderId="71" xfId="1" applyFont="1" applyBorder="1" applyAlignment="1" applyProtection="1">
      <alignment horizontal="center" vertical="center"/>
      <protection hidden="1"/>
    </xf>
    <xf numFmtId="165" fontId="25" fillId="0" borderId="83" xfId="1" applyFont="1" applyBorder="1" applyAlignment="1" applyProtection="1">
      <alignment horizontal="center" vertical="center"/>
      <protection hidden="1"/>
    </xf>
    <xf numFmtId="0" fontId="34" fillId="4" borderId="92" xfId="0" applyFont="1" applyFill="1" applyBorder="1" applyAlignment="1" applyProtection="1">
      <alignment horizontal="center"/>
      <protection hidden="1"/>
    </xf>
    <xf numFmtId="0" fontId="24" fillId="4" borderId="63" xfId="0" applyFont="1" applyFill="1" applyBorder="1" applyAlignment="1" applyProtection="1">
      <alignment horizontal="center"/>
      <protection hidden="1"/>
    </xf>
    <xf numFmtId="0" fontId="24" fillId="4" borderId="64" xfId="0" applyFont="1" applyFill="1" applyBorder="1" applyAlignment="1" applyProtection="1">
      <alignment horizontal="center"/>
      <protection hidden="1"/>
    </xf>
    <xf numFmtId="0" fontId="29" fillId="4" borderId="104" xfId="0" applyFont="1" applyFill="1" applyBorder="1" applyAlignment="1" applyProtection="1">
      <alignment horizontal="center" vertical="center"/>
      <protection hidden="1"/>
    </xf>
    <xf numFmtId="0" fontId="29" fillId="4" borderId="105" xfId="0" applyFont="1" applyFill="1" applyBorder="1" applyAlignment="1" applyProtection="1">
      <alignment horizontal="center" vertical="center"/>
      <protection hidden="1"/>
    </xf>
    <xf numFmtId="0" fontId="29" fillId="4" borderId="106" xfId="0" applyFont="1" applyFill="1" applyBorder="1" applyAlignment="1" applyProtection="1">
      <alignment horizontal="center" vertical="center"/>
      <protection hidden="1"/>
    </xf>
    <xf numFmtId="0" fontId="15" fillId="0" borderId="84" xfId="0" applyFont="1" applyBorder="1" applyAlignment="1" applyProtection="1">
      <alignment horizontal="center"/>
      <protection hidden="1"/>
    </xf>
    <xf numFmtId="0" fontId="15" fillId="0" borderId="70" xfId="0" applyFont="1" applyBorder="1" applyAlignment="1" applyProtection="1">
      <alignment horizontal="center"/>
      <protection hidden="1"/>
    </xf>
    <xf numFmtId="165" fontId="15" fillId="0" borderId="70" xfId="1" applyFont="1" applyBorder="1" applyAlignment="1" applyProtection="1">
      <alignment horizontal="center"/>
      <protection hidden="1"/>
    </xf>
    <xf numFmtId="165" fontId="15" fillId="0" borderId="85" xfId="1" applyFont="1" applyBorder="1" applyAlignment="1" applyProtection="1">
      <alignment horizontal="center"/>
      <protection hidden="1"/>
    </xf>
    <xf numFmtId="0" fontId="15" fillId="0" borderId="82" xfId="0" applyFont="1" applyBorder="1" applyAlignment="1" applyProtection="1">
      <alignment horizontal="center"/>
      <protection hidden="1"/>
    </xf>
    <xf numFmtId="0" fontId="15" fillId="0" borderId="71" xfId="0" applyFont="1" applyBorder="1" applyAlignment="1" applyProtection="1">
      <alignment horizontal="center"/>
      <protection hidden="1"/>
    </xf>
    <xf numFmtId="165" fontId="15" fillId="0" borderId="71" xfId="1" applyFont="1" applyBorder="1" applyAlignment="1" applyProtection="1">
      <alignment horizontal="center"/>
      <protection hidden="1"/>
    </xf>
    <xf numFmtId="165" fontId="15" fillId="0" borderId="83" xfId="1" applyFont="1" applyBorder="1" applyAlignment="1" applyProtection="1">
      <alignment horizontal="center"/>
      <protection hidden="1"/>
    </xf>
    <xf numFmtId="0" fontId="14" fillId="0" borderId="82" xfId="0" applyFont="1" applyBorder="1" applyAlignment="1" applyProtection="1">
      <alignment horizontal="center"/>
      <protection hidden="1"/>
    </xf>
    <xf numFmtId="0" fontId="14" fillId="0" borderId="71" xfId="0" applyFont="1" applyBorder="1" applyAlignment="1" applyProtection="1">
      <alignment horizontal="center"/>
      <protection hidden="1"/>
    </xf>
    <xf numFmtId="0" fontId="14" fillId="0" borderId="63" xfId="0" applyFont="1" applyBorder="1" applyAlignment="1" applyProtection="1">
      <alignment horizontal="center"/>
      <protection hidden="1"/>
    </xf>
    <xf numFmtId="0" fontId="14" fillId="0" borderId="64" xfId="0" applyFont="1" applyBorder="1" applyAlignment="1" applyProtection="1">
      <alignment horizontal="center"/>
      <protection hidden="1"/>
    </xf>
    <xf numFmtId="0" fontId="28" fillId="0" borderId="86" xfId="0" applyFont="1" applyBorder="1" applyAlignment="1" applyProtection="1">
      <alignment horizontal="center"/>
      <protection hidden="1"/>
    </xf>
    <xf numFmtId="0" fontId="28" fillId="0" borderId="87" xfId="0" applyFont="1" applyBorder="1" applyAlignment="1" applyProtection="1">
      <alignment horizontal="center"/>
      <protection hidden="1"/>
    </xf>
    <xf numFmtId="0" fontId="14" fillId="0" borderId="84" xfId="0" applyFont="1" applyBorder="1" applyAlignment="1" applyProtection="1">
      <alignment horizontal="center"/>
      <protection hidden="1"/>
    </xf>
    <xf numFmtId="0" fontId="14" fillId="0" borderId="70" xfId="0" applyFont="1" applyBorder="1" applyAlignment="1" applyProtection="1">
      <alignment horizontal="center"/>
      <protection hidden="1"/>
    </xf>
    <xf numFmtId="165" fontId="14" fillId="0" borderId="70" xfId="1" applyFont="1" applyBorder="1" applyAlignment="1" applyProtection="1">
      <alignment horizontal="center"/>
      <protection hidden="1"/>
    </xf>
    <xf numFmtId="165" fontId="14" fillId="0" borderId="85" xfId="1" applyFont="1" applyBorder="1" applyAlignment="1" applyProtection="1">
      <alignment horizontal="center"/>
      <protection hidden="1"/>
    </xf>
    <xf numFmtId="165" fontId="14" fillId="0" borderId="71" xfId="1" applyFont="1" applyBorder="1" applyAlignment="1" applyProtection="1">
      <alignment horizontal="center"/>
      <protection hidden="1"/>
    </xf>
    <xf numFmtId="165" fontId="14" fillId="0" borderId="83" xfId="1" applyFont="1" applyBorder="1" applyAlignment="1" applyProtection="1">
      <alignment horizontal="center"/>
      <protection hidden="1"/>
    </xf>
    <xf numFmtId="0" fontId="14" fillId="4" borderId="118" xfId="0" applyFont="1" applyFill="1" applyBorder="1" applyAlignment="1" applyProtection="1">
      <alignment horizontal="center"/>
      <protection hidden="1"/>
    </xf>
    <xf numFmtId="0" fontId="14" fillId="4" borderId="119" xfId="0" applyFont="1" applyFill="1" applyBorder="1" applyAlignment="1" applyProtection="1">
      <alignment horizontal="center"/>
      <protection hidden="1"/>
    </xf>
    <xf numFmtId="0" fontId="14" fillId="4" borderId="120" xfId="0" applyFont="1" applyFill="1" applyBorder="1" applyAlignment="1" applyProtection="1">
      <alignment horizontal="center"/>
      <protection hidden="1"/>
    </xf>
    <xf numFmtId="0" fontId="14" fillId="0" borderId="0" xfId="0" applyFont="1" applyAlignment="1">
      <alignment horizontal="center" wrapText="1"/>
    </xf>
    <xf numFmtId="0" fontId="40" fillId="0" borderId="0" xfId="0" applyFont="1" applyAlignment="1">
      <alignment horizontal="center"/>
    </xf>
    <xf numFmtId="9" fontId="21" fillId="4" borderId="127" xfId="2" applyFont="1" applyFill="1" applyBorder="1" applyAlignment="1" applyProtection="1">
      <alignment horizontal="center" vertical="top" wrapText="1"/>
    </xf>
    <xf numFmtId="9" fontId="21" fillId="4" borderId="128" xfId="2" applyFont="1" applyFill="1" applyBorder="1" applyAlignment="1" applyProtection="1">
      <alignment horizontal="center" vertical="top" wrapText="1"/>
    </xf>
    <xf numFmtId="0" fontId="48" fillId="0" borderId="121" xfId="0" applyFont="1" applyBorder="1" applyAlignment="1">
      <alignment horizontal="center"/>
    </xf>
    <xf numFmtId="0" fontId="48" fillId="0" borderId="122" xfId="0" applyFont="1" applyBorder="1" applyAlignment="1">
      <alignment horizontal="center"/>
    </xf>
    <xf numFmtId="0" fontId="48" fillId="0" borderId="123" xfId="0" applyFont="1" applyBorder="1" applyAlignment="1">
      <alignment horizontal="center"/>
    </xf>
    <xf numFmtId="0" fontId="83" fillId="0" borderId="56" xfId="0" applyFont="1" applyBorder="1" applyAlignment="1">
      <alignment horizontal="center" vertical="center"/>
    </xf>
    <xf numFmtId="0" fontId="48" fillId="0" borderId="56" xfId="0" applyFont="1" applyBorder="1" applyAlignment="1">
      <alignment horizontal="center" vertical="center"/>
    </xf>
    <xf numFmtId="0" fontId="53" fillId="4" borderId="0" xfId="0" applyFont="1" applyFill="1" applyAlignment="1">
      <alignment horizontal="center" vertical="center"/>
    </xf>
    <xf numFmtId="10" fontId="50" fillId="4" borderId="0" xfId="2" applyNumberFormat="1" applyFont="1" applyFill="1" applyBorder="1" applyAlignment="1" applyProtection="1">
      <alignment horizontal="center" vertical="center" wrapText="1"/>
    </xf>
    <xf numFmtId="0" fontId="21" fillId="17" borderId="104" xfId="0" applyFont="1" applyFill="1" applyBorder="1" applyAlignment="1">
      <alignment horizontal="center" vertical="center" wrapText="1"/>
    </xf>
    <xf numFmtId="0" fontId="55" fillId="17" borderId="105" xfId="0" applyFont="1" applyFill="1" applyBorder="1" applyAlignment="1">
      <alignment vertical="center"/>
    </xf>
    <xf numFmtId="0" fontId="55" fillId="17" borderId="106" xfId="0" applyFont="1" applyFill="1" applyBorder="1" applyAlignment="1">
      <alignment vertical="center"/>
    </xf>
    <xf numFmtId="0" fontId="30" fillId="4" borderId="52" xfId="0" applyFont="1" applyFill="1" applyBorder="1" applyAlignment="1">
      <alignment horizontal="center" vertical="center"/>
    </xf>
    <xf numFmtId="0" fontId="19" fillId="4" borderId="64" xfId="3" applyFont="1" applyFill="1" applyBorder="1" applyAlignment="1">
      <alignment horizontal="center" vertical="center" wrapText="1"/>
    </xf>
    <xf numFmtId="0" fontId="19" fillId="4" borderId="135" xfId="3" applyFont="1" applyFill="1" applyBorder="1" applyAlignment="1">
      <alignment horizontal="center" vertical="center" wrapText="1"/>
    </xf>
    <xf numFmtId="0" fontId="19" fillId="4" borderId="87" xfId="3" applyFont="1" applyFill="1" applyBorder="1" applyAlignment="1">
      <alignment horizontal="center" vertical="center" wrapText="1"/>
    </xf>
    <xf numFmtId="0" fontId="14" fillId="4" borderId="84" xfId="0" applyFont="1" applyFill="1" applyBorder="1" applyAlignment="1">
      <alignment horizontal="center" vertical="center" wrapText="1"/>
    </xf>
    <xf numFmtId="0" fontId="14" fillId="4" borderId="70" xfId="0" applyFont="1" applyFill="1" applyBorder="1" applyAlignment="1">
      <alignment horizontal="center" vertical="center" wrapText="1"/>
    </xf>
    <xf numFmtId="0" fontId="14" fillId="4" borderId="82" xfId="0" applyFont="1" applyFill="1" applyBorder="1" applyAlignment="1">
      <alignment horizontal="center" vertical="center" wrapText="1"/>
    </xf>
    <xf numFmtId="0" fontId="14" fillId="4" borderId="71" xfId="0" applyFont="1" applyFill="1" applyBorder="1" applyAlignment="1">
      <alignment horizontal="center" vertical="center" wrapText="1"/>
    </xf>
    <xf numFmtId="0" fontId="86" fillId="4" borderId="64" xfId="5" applyFill="1" applyBorder="1" applyAlignment="1" applyProtection="1">
      <alignment horizontal="left" vertical="center" wrapText="1"/>
    </xf>
    <xf numFmtId="0" fontId="86" fillId="4" borderId="87" xfId="5" applyFill="1" applyBorder="1" applyAlignment="1" applyProtection="1">
      <alignment horizontal="left" vertical="center" wrapText="1"/>
    </xf>
    <xf numFmtId="0" fontId="28" fillId="0" borderId="117" xfId="0" applyFont="1" applyBorder="1" applyAlignment="1">
      <alignment horizontal="center" vertical="center"/>
    </xf>
    <xf numFmtId="0" fontId="54" fillId="4" borderId="0" xfId="0" applyFont="1" applyFill="1" applyAlignment="1">
      <alignment horizontal="center" vertical="top"/>
    </xf>
    <xf numFmtId="10" fontId="47" fillId="4" borderId="0" xfId="2" applyNumberFormat="1" applyFont="1" applyFill="1" applyAlignment="1" applyProtection="1">
      <alignment horizontal="center" vertical="center"/>
    </xf>
    <xf numFmtId="0" fontId="86" fillId="4" borderId="135" xfId="5" applyFill="1" applyBorder="1" applyAlignment="1" applyProtection="1">
      <alignment horizontal="left" vertical="center" wrapText="1"/>
    </xf>
    <xf numFmtId="0" fontId="14" fillId="4" borderId="64" xfId="0" applyFont="1" applyFill="1" applyBorder="1" applyAlignment="1">
      <alignment horizontal="center" vertical="center" wrapText="1"/>
    </xf>
    <xf numFmtId="0" fontId="14" fillId="4" borderId="135" xfId="0" applyFont="1" applyFill="1" applyBorder="1" applyAlignment="1">
      <alignment horizontal="center" vertical="center" wrapText="1"/>
    </xf>
    <xf numFmtId="0" fontId="14" fillId="4" borderId="87" xfId="0" applyFont="1" applyFill="1" applyBorder="1" applyAlignment="1">
      <alignment horizontal="center" vertical="center" wrapText="1"/>
    </xf>
    <xf numFmtId="0" fontId="28" fillId="4" borderId="56" xfId="0" applyFont="1" applyFill="1" applyBorder="1" applyAlignment="1">
      <alignment horizontal="center" vertical="center"/>
    </xf>
    <xf numFmtId="167" fontId="30" fillId="4" borderId="0" xfId="2" applyNumberFormat="1" applyFont="1" applyFill="1" applyAlignment="1" applyProtection="1">
      <alignment horizontal="center" vertical="top"/>
    </xf>
    <xf numFmtId="0" fontId="14" fillId="4" borderId="52" xfId="0" applyFont="1" applyFill="1" applyBorder="1" applyAlignment="1" applyProtection="1">
      <alignment horizontal="center" vertical="center"/>
      <protection hidden="1"/>
    </xf>
    <xf numFmtId="0" fontId="14" fillId="4" borderId="0" xfId="0" applyFont="1" applyFill="1" applyAlignment="1" applyProtection="1">
      <alignment horizontal="center" vertical="top" wrapText="1"/>
      <protection hidden="1"/>
    </xf>
    <xf numFmtId="0" fontId="28" fillId="7" borderId="71" xfId="0" applyFont="1" applyFill="1" applyBorder="1" applyAlignment="1" applyProtection="1">
      <alignment horizontal="center" vertical="center" wrapText="1"/>
      <protection hidden="1"/>
    </xf>
    <xf numFmtId="0" fontId="14" fillId="16" borderId="70" xfId="0" applyFont="1" applyFill="1" applyBorder="1" applyAlignment="1" applyProtection="1">
      <alignment horizontal="center" vertical="center"/>
      <protection hidden="1"/>
    </xf>
    <xf numFmtId="0" fontId="14" fillId="16" borderId="71" xfId="0" applyFont="1" applyFill="1" applyBorder="1" applyAlignment="1" applyProtection="1">
      <alignment horizontal="center" vertical="center"/>
      <protection hidden="1"/>
    </xf>
    <xf numFmtId="0" fontId="14" fillId="4" borderId="71" xfId="0" applyFont="1" applyFill="1" applyBorder="1" applyAlignment="1" applyProtection="1">
      <alignment horizontal="center" vertical="center"/>
      <protection hidden="1"/>
    </xf>
    <xf numFmtId="0" fontId="19" fillId="4" borderId="72" xfId="0" applyFont="1" applyFill="1" applyBorder="1" applyAlignment="1" applyProtection="1">
      <alignment horizontal="left" vertical="center" wrapText="1"/>
      <protection hidden="1"/>
    </xf>
    <xf numFmtId="0" fontId="19" fillId="4" borderId="73" xfId="0" applyFont="1" applyFill="1" applyBorder="1" applyAlignment="1" applyProtection="1">
      <alignment horizontal="left" vertical="center" wrapText="1"/>
      <protection hidden="1"/>
    </xf>
    <xf numFmtId="0" fontId="19" fillId="4" borderId="74" xfId="0" applyFont="1" applyFill="1" applyBorder="1" applyAlignment="1" applyProtection="1">
      <alignment horizontal="left" vertical="center" wrapText="1"/>
      <protection hidden="1"/>
    </xf>
    <xf numFmtId="0" fontId="19" fillId="4" borderId="0" xfId="0" applyFont="1" applyFill="1" applyAlignment="1" applyProtection="1">
      <alignment horizontal="left" vertical="center" wrapText="1"/>
      <protection hidden="1"/>
    </xf>
    <xf numFmtId="0" fontId="19" fillId="4" borderId="75" xfId="0" applyFont="1" applyFill="1" applyBorder="1" applyAlignment="1" applyProtection="1">
      <alignment horizontal="left" vertical="center" wrapText="1"/>
      <protection hidden="1"/>
    </xf>
    <xf numFmtId="0" fontId="19" fillId="4" borderId="76" xfId="0" applyFont="1" applyFill="1" applyBorder="1" applyAlignment="1" applyProtection="1">
      <alignment horizontal="left" vertical="center" wrapText="1"/>
      <protection hidden="1"/>
    </xf>
    <xf numFmtId="0" fontId="21" fillId="11" borderId="78" xfId="0" applyFont="1" applyFill="1" applyBorder="1" applyAlignment="1" applyProtection="1">
      <alignment horizontal="center" vertical="center"/>
      <protection hidden="1"/>
    </xf>
    <xf numFmtId="0" fontId="21" fillId="11" borderId="79" xfId="0" applyFont="1" applyFill="1" applyBorder="1" applyAlignment="1" applyProtection="1">
      <alignment horizontal="center" vertical="center"/>
      <protection hidden="1"/>
    </xf>
    <xf numFmtId="0" fontId="21" fillId="11" borderId="80" xfId="0" applyFont="1" applyFill="1" applyBorder="1" applyAlignment="1" applyProtection="1">
      <alignment horizontal="center" vertical="center"/>
      <protection hidden="1"/>
    </xf>
    <xf numFmtId="0" fontId="21" fillId="11" borderId="71" xfId="0" applyFont="1" applyFill="1" applyBorder="1" applyAlignment="1" applyProtection="1">
      <alignment horizontal="center" vertical="center"/>
      <protection hidden="1"/>
    </xf>
    <xf numFmtId="0" fontId="19" fillId="9" borderId="81" xfId="0" applyFont="1" applyFill="1" applyBorder="1" applyAlignment="1" applyProtection="1">
      <alignment horizontal="center" vertical="center"/>
      <protection hidden="1"/>
    </xf>
    <xf numFmtId="0" fontId="26" fillId="9" borderId="144" xfId="0" applyFont="1" applyFill="1" applyBorder="1" applyAlignment="1" applyProtection="1">
      <alignment horizontal="center" vertical="center"/>
      <protection hidden="1"/>
    </xf>
    <xf numFmtId="0" fontId="26" fillId="9" borderId="88" xfId="0" applyFont="1" applyFill="1" applyBorder="1" applyAlignment="1" applyProtection="1">
      <alignment horizontal="center" vertical="center"/>
      <protection hidden="1"/>
    </xf>
    <xf numFmtId="0" fontId="14" fillId="16" borderId="64" xfId="0" applyFont="1" applyFill="1" applyBorder="1" applyAlignment="1" applyProtection="1">
      <alignment horizontal="center" vertical="center"/>
      <protection hidden="1"/>
    </xf>
    <xf numFmtId="0" fontId="14" fillId="16" borderId="71" xfId="0" applyFont="1" applyFill="1" applyBorder="1" applyAlignment="1" applyProtection="1">
      <alignment horizontal="center" vertical="center" wrapText="1"/>
      <protection hidden="1"/>
    </xf>
    <xf numFmtId="0" fontId="19" fillId="4" borderId="71" xfId="0" applyFont="1" applyFill="1" applyBorder="1" applyAlignment="1" applyProtection="1">
      <alignment horizontal="center" vertical="center"/>
      <protection hidden="1"/>
    </xf>
    <xf numFmtId="0" fontId="14" fillId="4" borderId="62" xfId="0" applyFont="1" applyFill="1" applyBorder="1" applyAlignment="1" applyProtection="1">
      <alignment horizontal="right" vertical="top"/>
      <protection hidden="1"/>
    </xf>
    <xf numFmtId="0" fontId="19" fillId="4" borderId="0" xfId="0" applyFont="1" applyFill="1" applyAlignment="1" applyProtection="1">
      <alignment horizontal="left" vertical="top" wrapText="1"/>
      <protection hidden="1"/>
    </xf>
    <xf numFmtId="0" fontId="0" fillId="4" borderId="0" xfId="0" applyFill="1" applyAlignment="1" applyProtection="1">
      <alignment horizontal="left" vertical="center" wrapText="1"/>
      <protection hidden="1"/>
    </xf>
    <xf numFmtId="0" fontId="0" fillId="4" borderId="29" xfId="0" applyFill="1" applyBorder="1" applyAlignment="1" applyProtection="1">
      <alignment horizontal="left" vertical="center" wrapText="1"/>
      <protection hidden="1"/>
    </xf>
    <xf numFmtId="0" fontId="26" fillId="11" borderId="0" xfId="0" applyFont="1" applyFill="1" applyAlignment="1" applyProtection="1">
      <alignment horizontal="center" vertical="top" wrapText="1"/>
      <protection hidden="1"/>
    </xf>
    <xf numFmtId="0" fontId="26" fillId="11" borderId="0" xfId="0" applyFont="1" applyFill="1" applyAlignment="1" applyProtection="1">
      <alignment horizontal="center" vertical="center" wrapText="1"/>
      <protection hidden="1"/>
    </xf>
    <xf numFmtId="0" fontId="0" fillId="11" borderId="0" xfId="0" applyFill="1" applyAlignment="1" applyProtection="1">
      <alignment horizontal="center" vertical="center" wrapText="1"/>
      <protection hidden="1"/>
    </xf>
    <xf numFmtId="0" fontId="60" fillId="11" borderId="57" xfId="0" applyFont="1" applyFill="1" applyBorder="1" applyAlignment="1" applyProtection="1">
      <alignment horizontal="center" vertical="center"/>
      <protection hidden="1"/>
    </xf>
    <xf numFmtId="0" fontId="60" fillId="11" borderId="58" xfId="0" applyFont="1" applyFill="1" applyBorder="1" applyAlignment="1" applyProtection="1">
      <alignment horizontal="center" vertical="center"/>
      <protection hidden="1"/>
    </xf>
    <xf numFmtId="0" fontId="60" fillId="11" borderId="54" xfId="0" applyFont="1" applyFill="1" applyBorder="1" applyAlignment="1" applyProtection="1">
      <alignment horizontal="center" vertical="center"/>
      <protection hidden="1"/>
    </xf>
    <xf numFmtId="0" fontId="60" fillId="11" borderId="55" xfId="0" applyFont="1" applyFill="1" applyBorder="1" applyAlignment="1" applyProtection="1">
      <alignment horizontal="center" vertical="center"/>
      <protection hidden="1"/>
    </xf>
    <xf numFmtId="0" fontId="25" fillId="11" borderId="138" xfId="0" applyFont="1" applyFill="1" applyBorder="1" applyAlignment="1" applyProtection="1">
      <alignment horizontal="center" vertical="top"/>
      <protection hidden="1"/>
    </xf>
    <xf numFmtId="0" fontId="25" fillId="11" borderId="139" xfId="0" applyFont="1" applyFill="1" applyBorder="1" applyAlignment="1" applyProtection="1">
      <alignment horizontal="center" vertical="top"/>
      <protection hidden="1"/>
    </xf>
    <xf numFmtId="0" fontId="14" fillId="4" borderId="131" xfId="0" applyFont="1" applyFill="1" applyBorder="1" applyAlignment="1" applyProtection="1">
      <alignment horizontal="center" vertical="center"/>
      <protection hidden="1"/>
    </xf>
    <xf numFmtId="0" fontId="58" fillId="4" borderId="132" xfId="0" applyFont="1" applyFill="1" applyBorder="1" applyAlignment="1" applyProtection="1">
      <alignment horizontal="center" vertical="center"/>
      <protection hidden="1"/>
    </xf>
    <xf numFmtId="0" fontId="57" fillId="4" borderId="133" xfId="0" applyFont="1" applyFill="1" applyBorder="1" applyAlignment="1" applyProtection="1">
      <alignment horizontal="center" vertical="center" wrapText="1"/>
      <protection hidden="1"/>
    </xf>
    <xf numFmtId="0" fontId="57" fillId="4" borderId="134" xfId="0" applyFont="1" applyFill="1" applyBorder="1" applyAlignment="1" applyProtection="1">
      <alignment horizontal="center" vertical="center" wrapText="1"/>
      <protection hidden="1"/>
    </xf>
    <xf numFmtId="0" fontId="57" fillId="0" borderId="133" xfId="0" applyFont="1" applyBorder="1" applyAlignment="1" applyProtection="1">
      <alignment horizontal="center" vertical="center"/>
      <protection hidden="1"/>
    </xf>
    <xf numFmtId="0" fontId="57" fillId="0" borderId="134" xfId="0" applyFont="1" applyBorder="1" applyAlignment="1" applyProtection="1">
      <alignment horizontal="center" vertical="center"/>
      <protection hidden="1"/>
    </xf>
    <xf numFmtId="0" fontId="14" fillId="4" borderId="0" xfId="0" applyFont="1" applyFill="1" applyAlignment="1" applyProtection="1">
      <alignment vertical="center" wrapText="1"/>
      <protection hidden="1"/>
    </xf>
    <xf numFmtId="0" fontId="14" fillId="4" borderId="130" xfId="0" applyFont="1" applyFill="1" applyBorder="1" applyAlignment="1" applyProtection="1">
      <alignment vertical="center" wrapText="1"/>
      <protection hidden="1"/>
    </xf>
    <xf numFmtId="0" fontId="25" fillId="4" borderId="0" xfId="0" applyFont="1" applyFill="1" applyAlignment="1">
      <alignment horizontal="center"/>
    </xf>
    <xf numFmtId="0" fontId="88" fillId="0" borderId="161" xfId="0" applyFont="1" applyBorder="1" applyAlignment="1">
      <alignment horizontal="left" wrapText="1" indent="1"/>
    </xf>
    <xf numFmtId="0" fontId="88" fillId="0" borderId="163" xfId="0" applyFont="1" applyBorder="1" applyAlignment="1">
      <alignment horizontal="left" wrapText="1" indent="1"/>
    </xf>
    <xf numFmtId="0" fontId="88" fillId="0" borderId="162" xfId="0" applyFont="1" applyBorder="1" applyAlignment="1">
      <alignment horizontal="left" wrapText="1" indent="1"/>
    </xf>
    <xf numFmtId="0" fontId="88" fillId="0" borderId="147" xfId="0" applyFont="1" applyBorder="1" applyAlignment="1">
      <alignment horizontal="left" wrapText="1" indent="1"/>
    </xf>
    <xf numFmtId="0" fontId="88" fillId="0" borderId="164" xfId="0" applyFont="1" applyBorder="1" applyAlignment="1">
      <alignment horizontal="left" wrapText="1" indent="1"/>
    </xf>
    <xf numFmtId="0" fontId="88" fillId="0" borderId="145" xfId="0" applyFont="1" applyBorder="1" applyAlignment="1">
      <alignment horizontal="left" wrapText="1" indent="1"/>
    </xf>
    <xf numFmtId="0" fontId="88" fillId="0" borderId="160" xfId="0" applyFont="1" applyBorder="1" applyAlignment="1">
      <alignment horizontal="left" wrapText="1" indent="1"/>
    </xf>
    <xf numFmtId="0" fontId="88" fillId="0" borderId="151" xfId="0" applyFont="1" applyBorder="1" applyAlignment="1">
      <alignment horizontal="left" wrapText="1" indent="1"/>
    </xf>
    <xf numFmtId="0" fontId="88" fillId="0" borderId="160" xfId="0" applyFont="1" applyBorder="1" applyAlignment="1">
      <alignment wrapText="1"/>
    </xf>
    <xf numFmtId="0" fontId="88" fillId="0" borderId="151" xfId="0" applyFont="1" applyBorder="1" applyAlignment="1">
      <alignment wrapText="1"/>
    </xf>
    <xf numFmtId="0" fontId="91" fillId="0" borderId="156" xfId="0" applyFont="1" applyBorder="1" applyAlignment="1">
      <alignment horizontal="left" wrapText="1" indent="2"/>
    </xf>
    <xf numFmtId="0" fontId="91" fillId="0" borderId="157" xfId="0" applyFont="1" applyBorder="1" applyAlignment="1">
      <alignment horizontal="left" wrapText="1" indent="2"/>
    </xf>
    <xf numFmtId="0" fontId="91" fillId="0" borderId="153" xfId="0" applyFont="1" applyBorder="1" applyAlignment="1">
      <alignment horizontal="left" wrapText="1" indent="2"/>
    </xf>
    <xf numFmtId="0" fontId="92" fillId="25" borderId="0" xfId="0" applyFont="1" applyFill="1" applyAlignment="1">
      <alignment horizontal="center"/>
    </xf>
    <xf numFmtId="0" fontId="88" fillId="0" borderId="147" xfId="0" applyFont="1" applyBorder="1" applyAlignment="1">
      <alignment wrapText="1"/>
    </xf>
    <xf numFmtId="0" fontId="88" fillId="0" borderId="164" xfId="0" applyFont="1" applyBorder="1" applyAlignment="1">
      <alignment wrapText="1"/>
    </xf>
    <xf numFmtId="0" fontId="88" fillId="0" borderId="145" xfId="0" applyFont="1" applyBorder="1" applyAlignment="1">
      <alignment wrapText="1"/>
    </xf>
    <xf numFmtId="0" fontId="88" fillId="0" borderId="152" xfId="0" applyFont="1" applyBorder="1" applyAlignment="1">
      <alignment horizontal="left" wrapText="1" indent="1"/>
    </xf>
    <xf numFmtId="0" fontId="88" fillId="0" borderId="152" xfId="0" applyFont="1" applyBorder="1" applyAlignment="1">
      <alignment wrapText="1"/>
    </xf>
    <xf numFmtId="0" fontId="64" fillId="0" borderId="56" xfId="0" applyFont="1" applyBorder="1" applyAlignment="1">
      <alignment horizontal="center" vertical="center"/>
    </xf>
    <xf numFmtId="9" fontId="21" fillId="4" borderId="127" xfId="2" applyFont="1" applyFill="1" applyBorder="1" applyAlignment="1" applyProtection="1">
      <alignment horizontal="center" vertical="top" wrapText="1"/>
      <protection hidden="1"/>
    </xf>
    <xf numFmtId="9" fontId="21" fillId="4" borderId="128" xfId="2" applyFont="1" applyFill="1" applyBorder="1" applyAlignment="1" applyProtection="1">
      <alignment horizontal="center" vertical="top" wrapText="1"/>
      <protection hidden="1"/>
    </xf>
    <xf numFmtId="0" fontId="48" fillId="0" borderId="121" xfId="0" applyFont="1" applyBorder="1" applyAlignment="1" applyProtection="1">
      <alignment horizontal="center"/>
      <protection hidden="1"/>
    </xf>
    <xf numFmtId="0" fontId="48" fillId="0" borderId="122" xfId="0" applyFont="1" applyBorder="1" applyAlignment="1" applyProtection="1">
      <alignment horizontal="center"/>
      <protection hidden="1"/>
    </xf>
    <xf numFmtId="0" fontId="48" fillId="0" borderId="123" xfId="0" applyFont="1" applyBorder="1" applyAlignment="1" applyProtection="1">
      <alignment horizontal="center"/>
      <protection hidden="1"/>
    </xf>
    <xf numFmtId="0" fontId="64" fillId="0" borderId="56" xfId="0" applyFont="1" applyBorder="1" applyAlignment="1" applyProtection="1">
      <alignment horizontal="center" vertical="center"/>
      <protection hidden="1"/>
    </xf>
    <xf numFmtId="0" fontId="48" fillId="0" borderId="56" xfId="0" applyFont="1" applyBorder="1" applyAlignment="1" applyProtection="1">
      <alignment horizontal="center" vertical="center"/>
      <protection hidden="1"/>
    </xf>
    <xf numFmtId="0" fontId="53" fillId="4" borderId="0" xfId="0" applyFont="1" applyFill="1" applyAlignment="1" applyProtection="1">
      <alignment horizontal="center" vertical="center"/>
      <protection hidden="1"/>
    </xf>
    <xf numFmtId="10" fontId="50" fillId="4" borderId="0" xfId="2" applyNumberFormat="1" applyFont="1" applyFill="1" applyBorder="1" applyAlignment="1" applyProtection="1">
      <alignment horizontal="center" vertical="center" wrapText="1"/>
      <protection hidden="1"/>
    </xf>
    <xf numFmtId="0" fontId="21" fillId="17" borderId="104" xfId="0" applyFont="1" applyFill="1" applyBorder="1" applyAlignment="1" applyProtection="1">
      <alignment horizontal="center" vertical="center" wrapText="1"/>
      <protection hidden="1"/>
    </xf>
    <xf numFmtId="0" fontId="55" fillId="17" borderId="105" xfId="0" applyFont="1" applyFill="1" applyBorder="1" applyAlignment="1" applyProtection="1">
      <alignment vertical="center"/>
      <protection hidden="1"/>
    </xf>
    <xf numFmtId="0" fontId="55" fillId="17" borderId="106" xfId="0" applyFont="1" applyFill="1" applyBorder="1" applyAlignment="1" applyProtection="1">
      <alignment vertical="center"/>
      <protection hidden="1"/>
    </xf>
    <xf numFmtId="0" fontId="28" fillId="10" borderId="9" xfId="0" applyFont="1" applyFill="1" applyBorder="1" applyAlignment="1">
      <alignment horizontal="center" vertical="top" wrapText="1"/>
    </xf>
    <xf numFmtId="0" fontId="0" fillId="0" borderId="10" xfId="0" applyBorder="1"/>
    <xf numFmtId="0" fontId="0" fillId="0" borderId="11" xfId="0" applyBorder="1"/>
    <xf numFmtId="0" fontId="48" fillId="0" borderId="9" xfId="0" applyFont="1" applyBorder="1" applyAlignment="1">
      <alignment horizontal="center"/>
    </xf>
    <xf numFmtId="0" fontId="48" fillId="0" borderId="10" xfId="0" applyFont="1" applyBorder="1" applyAlignment="1">
      <alignment horizontal="center"/>
    </xf>
    <xf numFmtId="0" fontId="48" fillId="0" borderId="11" xfId="0" applyFont="1" applyBorder="1" applyAlignment="1">
      <alignment horizontal="center"/>
    </xf>
    <xf numFmtId="10" fontId="50" fillId="4" borderId="0" xfId="2" applyNumberFormat="1" applyFont="1" applyFill="1" applyBorder="1" applyAlignment="1" applyProtection="1">
      <alignment horizontal="center" wrapText="1"/>
    </xf>
    <xf numFmtId="0" fontId="19" fillId="0" borderId="16" xfId="0" applyFont="1" applyBorder="1" applyAlignment="1">
      <alignment horizontal="center" vertical="top" wrapText="1"/>
    </xf>
    <xf numFmtId="0" fontId="19" fillId="0" borderId="17" xfId="0" applyFont="1" applyBorder="1" applyAlignment="1">
      <alignment horizontal="center" vertical="top" wrapText="1"/>
    </xf>
    <xf numFmtId="0" fontId="19" fillId="0" borderId="1" xfId="0" applyFont="1" applyBorder="1" applyAlignment="1">
      <alignment horizontal="center" vertical="top" wrapText="1"/>
    </xf>
    <xf numFmtId="0" fontId="19" fillId="0" borderId="19" xfId="0" applyFont="1" applyBorder="1" applyAlignment="1">
      <alignment horizontal="center" vertical="top" wrapText="1"/>
    </xf>
    <xf numFmtId="0" fontId="19" fillId="0" borderId="21" xfId="0" applyFont="1" applyBorder="1" applyAlignment="1">
      <alignment horizontal="center" vertical="top" wrapText="1"/>
    </xf>
    <xf numFmtId="0" fontId="19" fillId="0" borderId="22" xfId="0" applyFont="1" applyBorder="1" applyAlignment="1">
      <alignment horizontal="center" vertical="top" wrapText="1"/>
    </xf>
  </cellXfs>
  <cellStyles count="6">
    <cellStyle name="Comma" xfId="1" builtinId="3"/>
    <cellStyle name="Heading 2" xfId="4" builtinId="17"/>
    <cellStyle name="Hyperlink" xfId="5" builtinId="8"/>
    <cellStyle name="Normal" xfId="0" builtinId="0"/>
    <cellStyle name="Normal 2" xfId="3" xr:uid="{00000000-0005-0000-0000-000004000000}"/>
    <cellStyle name="Percent" xfId="2" builtinId="5"/>
  </cellStyles>
  <dxfs count="73">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F0000"/>
        </patternFill>
      </fill>
    </dxf>
    <dxf>
      <fill>
        <patternFill>
          <bgColor rgb="FF00B050"/>
        </patternFill>
      </fill>
    </dxf>
    <dxf>
      <fill>
        <patternFill>
          <bgColor rgb="FF00B0F0"/>
        </patternFill>
      </fill>
    </dxf>
    <dxf>
      <font>
        <condense val="0"/>
        <extend val="0"/>
        <color rgb="FF9C6500"/>
      </font>
      <fill>
        <patternFill>
          <bgColor rgb="FFFFEB9C"/>
        </patternFill>
      </fill>
    </dxf>
    <dxf>
      <fill>
        <patternFill>
          <bgColor theme="9"/>
        </patternFill>
      </fill>
    </dxf>
    <dxf>
      <fill>
        <patternFill patternType="solid">
          <bgColor rgb="FFFFFF00"/>
        </patternFill>
      </fill>
    </dxf>
    <dxf>
      <fill>
        <patternFill>
          <bgColor rgb="FF00B050"/>
        </patternFill>
      </fill>
    </dxf>
    <dxf>
      <font>
        <color theme="0"/>
      </font>
      <fill>
        <patternFill>
          <bgColor rgb="FFFFFF00"/>
        </patternFill>
      </fill>
    </dxf>
    <dxf>
      <font>
        <color auto="1"/>
      </font>
      <fill>
        <patternFill>
          <bgColor rgb="FFFF9900"/>
        </patternFill>
      </fill>
    </dxf>
    <dxf>
      <font>
        <color theme="1"/>
      </font>
      <fill>
        <patternFill>
          <bgColor rgb="FFFF9900"/>
        </patternFill>
      </fill>
    </dxf>
    <dxf>
      <font>
        <strike/>
      </font>
    </dxf>
    <dxf>
      <font>
        <color theme="1"/>
      </font>
      <fill>
        <patternFill>
          <bgColor rgb="FFFF9966"/>
        </patternFill>
      </fill>
    </dxf>
    <dxf>
      <fill>
        <patternFill>
          <bgColor rgb="FFFF9933"/>
        </patternFill>
      </fill>
    </dxf>
    <dxf>
      <font>
        <color auto="1"/>
      </font>
      <fill>
        <patternFill>
          <bgColor rgb="FFFFFF00"/>
        </patternFill>
      </fill>
    </dxf>
    <dxf>
      <font>
        <color theme="0"/>
      </font>
      <fill>
        <patternFill>
          <bgColor theme="3" tint="0.39994506668294322"/>
        </patternFill>
      </fill>
    </dxf>
    <dxf>
      <font>
        <color theme="0"/>
      </font>
      <fill>
        <patternFill>
          <bgColor rgb="FFFF0000"/>
        </patternFill>
      </fill>
    </dxf>
    <dxf>
      <font>
        <color theme="0"/>
      </font>
      <fill>
        <patternFill>
          <bgColor rgb="FF00B05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theme="0"/>
      </font>
      <fill>
        <patternFill>
          <bgColor rgb="FF00B050"/>
        </patternFill>
      </fill>
    </dxf>
    <dxf>
      <font>
        <color theme="1"/>
      </font>
      <fill>
        <patternFill>
          <bgColor rgb="FFFF9966"/>
        </patternFill>
      </fill>
    </dxf>
    <dxf>
      <fill>
        <patternFill>
          <bgColor rgb="FF00B050"/>
        </patternFill>
      </fill>
    </dxf>
    <dxf>
      <fill>
        <patternFill>
          <bgColor rgb="FF00B0F0"/>
        </patternFill>
      </fill>
    </dxf>
    <dxf>
      <fill>
        <patternFill>
          <bgColor rgb="FFFFFF00"/>
        </patternFill>
      </fill>
    </dxf>
    <dxf>
      <fill>
        <patternFill>
          <bgColor rgb="FFFF0000"/>
        </patternFill>
      </fill>
    </dxf>
    <dxf>
      <font>
        <color rgb="FF9C0006"/>
      </font>
      <fill>
        <patternFill>
          <bgColor rgb="FFFFC7CE"/>
        </patternFill>
      </fill>
    </dxf>
    <dxf>
      <font>
        <b/>
        <i val="0"/>
        <condense val="0"/>
        <extend val="0"/>
        <color indexed="1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b val="0"/>
        <i val="0"/>
        <strike val="0"/>
        <condense val="0"/>
        <extend val="0"/>
        <outline val="0"/>
        <shadow val="0"/>
        <u val="none"/>
        <vertAlign val="baseline"/>
        <sz val="11"/>
        <color theme="1"/>
        <name val="Cambria"/>
        <scheme val="major"/>
      </font>
      <alignment horizontal="center" vertical="bottom" textRotation="0" wrapText="0" indent="0" justifyLastLine="0" shrinkToFit="0" readingOrder="0"/>
      <border diagonalUp="0" diagonalDown="0" outline="0">
        <left/>
        <right/>
        <top/>
        <bottom/>
      </border>
      <protection locked="0" hidden="0"/>
    </dxf>
    <dxf>
      <font>
        <b val="0"/>
        <i val="0"/>
        <strike val="0"/>
        <condense val="0"/>
        <extend val="0"/>
        <outline val="0"/>
        <shadow val="0"/>
        <u val="none"/>
        <vertAlign val="baseline"/>
        <sz val="11"/>
        <color theme="1"/>
        <name val="Cambria"/>
        <scheme val="major"/>
      </font>
      <alignment horizontal="center" vertical="bottom" textRotation="0" wrapText="0" relativeIndent="0" justifyLastLine="0" shrinkToFit="0" readingOrder="0"/>
      <border diagonalUp="0" diagonalDown="0">
        <left/>
        <right/>
        <top style="dashDot">
          <color rgb="FF00B0F0"/>
        </top>
        <bottom style="dashDot">
          <color rgb="FF00B0F0"/>
        </bottom>
        <vertical/>
        <horizontal style="dashDot">
          <color rgb="FF00B0F0"/>
        </horizontal>
      </border>
      <protection locked="0" hidden="0"/>
    </dxf>
    <dxf>
      <font>
        <b val="0"/>
        <i val="0"/>
        <strike val="0"/>
        <condense val="0"/>
        <extend val="0"/>
        <outline val="0"/>
        <shadow val="0"/>
        <u val="none"/>
        <vertAlign val="baseline"/>
        <sz val="11"/>
        <color rgb="FF00B050"/>
        <name val="Cambria"/>
        <scheme val="major"/>
      </font>
      <border diagonalUp="0" diagonalDown="0" outline="0">
        <left/>
        <right/>
        <top/>
        <bottom/>
      </border>
      <protection locked="1" hidden="0"/>
    </dxf>
    <dxf>
      <font>
        <b val="0"/>
        <i val="0"/>
        <strike val="0"/>
        <condense val="0"/>
        <extend val="0"/>
        <outline val="0"/>
        <shadow val="0"/>
        <u val="none"/>
        <vertAlign val="baseline"/>
        <sz val="11"/>
        <color rgb="FF00B050"/>
        <name val="Cambria"/>
        <scheme val="major"/>
      </font>
      <border diagonalUp="0" diagonalDown="0">
        <left/>
        <right/>
        <top style="dashDot">
          <color rgb="FF00B0F0"/>
        </top>
        <bottom style="dashDot">
          <color rgb="FF00B0F0"/>
        </bottom>
        <vertical/>
        <horizontal style="dashDot">
          <color rgb="FF00B0F0"/>
        </horizontal>
      </border>
      <protection locked="0" hidden="0"/>
    </dxf>
    <dxf>
      <font>
        <b val="0"/>
        <i val="0"/>
        <strike val="0"/>
        <condense val="0"/>
        <extend val="0"/>
        <outline val="0"/>
        <shadow val="0"/>
        <u val="none"/>
        <vertAlign val="baseline"/>
        <sz val="11"/>
        <color rgb="FF00B050"/>
        <name val="Cambria"/>
        <scheme val="major"/>
      </font>
      <border diagonalUp="0" diagonalDown="0" outline="0">
        <left/>
        <right/>
        <top/>
        <bottom/>
      </border>
      <protection locked="1" hidden="0"/>
    </dxf>
    <dxf>
      <font>
        <b val="0"/>
        <i val="0"/>
        <strike val="0"/>
        <condense val="0"/>
        <extend val="0"/>
        <outline val="0"/>
        <shadow val="0"/>
        <u val="none"/>
        <vertAlign val="baseline"/>
        <sz val="11"/>
        <color rgb="FF00B050"/>
        <name val="Cambria"/>
        <scheme val="major"/>
      </font>
      <border diagonalUp="0" diagonalDown="0">
        <left/>
        <right/>
        <top style="dashDot">
          <color rgb="FF00B0F0"/>
        </top>
        <bottom style="dashDot">
          <color rgb="FF00B0F0"/>
        </bottom>
        <vertical/>
        <horizontal style="dashDot">
          <color rgb="FF00B0F0"/>
        </horizontal>
      </border>
      <protection locked="1" hidden="0"/>
    </dxf>
    <dxf>
      <border diagonalUp="0" diagonalDown="0">
        <left style="thin">
          <color auto="1"/>
        </left>
        <right style="thin">
          <color auto="1"/>
        </right>
        <top/>
        <bottom/>
        <vertical style="thin">
          <color auto="1"/>
        </vertical>
        <horizontal style="thin">
          <color auto="1"/>
        </horizontal>
      </border>
    </dxf>
    <dxf>
      <border outline="0">
        <left style="thin">
          <color indexed="64"/>
        </left>
        <right style="thin">
          <color indexed="64"/>
        </right>
        <top style="thin">
          <color indexed="64"/>
        </top>
        <bottom style="thin">
          <color indexed="64"/>
        </bottom>
      </border>
    </dxf>
    <dxf>
      <font>
        <strike val="0"/>
        <outline val="0"/>
        <shadow val="0"/>
        <vertAlign val="baseline"/>
        <sz val="11"/>
        <name val="Cambria"/>
        <scheme val="major"/>
      </font>
      <protection locked="0" hidden="0"/>
    </dxf>
  </dxfs>
  <tableStyles count="0" defaultTableStyle="TableStyleMedium2" defaultPivotStyle="PivotStyleLight16"/>
  <colors>
    <mruColors>
      <color rgb="FF3366FF"/>
      <color rgb="FFFF9933"/>
      <color rgb="FFFF9966"/>
      <color rgb="FFFF9900"/>
      <color rgb="FF9933FF"/>
      <color rgb="FFFF0000"/>
      <color rgb="FF9966FF"/>
      <color rgb="FF00CC66"/>
      <color rgb="FFFF505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'Final Graph'!$C$4</c:f>
              <c:strCache>
                <c:ptCount val="1"/>
                <c:pt idx="0">
                  <c:v>Debt Equity</c:v>
                </c:pt>
              </c:strCache>
            </c:strRef>
          </c:tx>
          <c:spPr>
            <a:ln w="28575" cap="rnd">
              <a:solidFill>
                <a:srgbClr val="3366FF"/>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Graph'!$F$4:$H$4</c:f>
              <c:numCache>
                <c:formatCode>0.0</c:formatCode>
                <c:ptCount val="3"/>
                <c:pt idx="0">
                  <c:v>3.199355260869682</c:v>
                </c:pt>
                <c:pt idx="1">
                  <c:v>3.49246800438259</c:v>
                </c:pt>
                <c:pt idx="2">
                  <c:v>3.9252586061418495</c:v>
                </c:pt>
              </c:numCache>
            </c:numRef>
          </c:val>
          <c:smooth val="0"/>
          <c:extLst>
            <c:ext xmlns:c16="http://schemas.microsoft.com/office/drawing/2014/chart" uri="{C3380CC4-5D6E-409C-BE32-E72D297353CC}">
              <c16:uniqueId val="{00000000-2937-44EC-B355-3FF385D2F8B2}"/>
            </c:ext>
          </c:extLst>
        </c:ser>
        <c:ser>
          <c:idx val="1"/>
          <c:order val="1"/>
          <c:tx>
            <c:strRef>
              <c:f>'Final Graph'!$C$5</c:f>
              <c:strCache>
                <c:ptCount val="1"/>
                <c:pt idx="0">
                  <c:v>Total Financial Debt</c:v>
                </c:pt>
              </c:strCache>
            </c:strRef>
          </c:tx>
          <c:spPr>
            <a:ln w="28575"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Graph'!$D$5:$F$5</c:f>
            </c:numRef>
          </c:val>
          <c:smooth val="0"/>
          <c:extLst>
            <c:ext xmlns:c16="http://schemas.microsoft.com/office/drawing/2014/chart" uri="{C3380CC4-5D6E-409C-BE32-E72D297353CC}">
              <c16:uniqueId val="{00000001-2937-44EC-B355-3FF385D2F8B2}"/>
            </c:ext>
          </c:extLst>
        </c:ser>
        <c:ser>
          <c:idx val="2"/>
          <c:order val="2"/>
          <c:tx>
            <c:strRef>
              <c:f>'Final Graph'!$C$6</c:f>
              <c:strCache>
                <c:ptCount val="1"/>
                <c:pt idx="0">
                  <c:v>Total Tangible Net Worth</c:v>
                </c:pt>
              </c:strCache>
            </c:strRef>
          </c:tx>
          <c:spPr>
            <a:ln w="28575"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Graph'!$D$6:$F$6</c:f>
            </c:numRef>
          </c:val>
          <c:smooth val="0"/>
          <c:extLst>
            <c:ext xmlns:c16="http://schemas.microsoft.com/office/drawing/2014/chart" uri="{C3380CC4-5D6E-409C-BE32-E72D297353CC}">
              <c16:uniqueId val="{00000002-2937-44EC-B355-3FF385D2F8B2}"/>
            </c:ext>
          </c:extLst>
        </c:ser>
        <c:ser>
          <c:idx val="3"/>
          <c:order val="3"/>
          <c:tx>
            <c:strRef>
              <c:f>'Final Graph'!$C$7</c:f>
              <c:strCache>
                <c:ptCount val="1"/>
                <c:pt idx="0">
                  <c:v>Debt to Assets</c:v>
                </c:pt>
              </c:strCache>
            </c:strRef>
          </c:tx>
          <c:spPr>
            <a:ln w="28575"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Graph'!$F$7:$H$7</c:f>
              <c:numCache>
                <c:formatCode>0.0</c:formatCode>
                <c:ptCount val="3"/>
                <c:pt idx="0">
                  <c:v>0.70931830384274286</c:v>
                </c:pt>
                <c:pt idx="1">
                  <c:v>0.74091911134311206</c:v>
                </c:pt>
                <c:pt idx="2">
                  <c:v>0.78528910732277912</c:v>
                </c:pt>
              </c:numCache>
            </c:numRef>
          </c:val>
          <c:smooth val="0"/>
          <c:extLst>
            <c:ext xmlns:c16="http://schemas.microsoft.com/office/drawing/2014/chart" uri="{C3380CC4-5D6E-409C-BE32-E72D297353CC}">
              <c16:uniqueId val="{00000003-2937-44EC-B355-3FF385D2F8B2}"/>
            </c:ext>
          </c:extLst>
        </c:ser>
        <c:ser>
          <c:idx val="4"/>
          <c:order val="4"/>
          <c:tx>
            <c:strRef>
              <c:f>'Final Graph'!$C$8</c:f>
              <c:strCache>
                <c:ptCount val="1"/>
                <c:pt idx="0">
                  <c:v>Total Financial Debt</c:v>
                </c:pt>
              </c:strCache>
            </c:strRef>
          </c:tx>
          <c:spPr>
            <a:ln w="28575" cap="rnd">
              <a:solidFill>
                <a:schemeClr val="accent3">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Graph'!$D$8:$F$8</c:f>
            </c:numRef>
          </c:val>
          <c:smooth val="0"/>
          <c:extLst>
            <c:ext xmlns:c16="http://schemas.microsoft.com/office/drawing/2014/chart" uri="{C3380CC4-5D6E-409C-BE32-E72D297353CC}">
              <c16:uniqueId val="{00000004-2937-44EC-B355-3FF385D2F8B2}"/>
            </c:ext>
          </c:extLst>
        </c:ser>
        <c:ser>
          <c:idx val="5"/>
          <c:order val="5"/>
          <c:tx>
            <c:strRef>
              <c:f>'Final Graph'!$C$9</c:f>
              <c:strCache>
                <c:ptCount val="1"/>
                <c:pt idx="0">
                  <c:v>Total Assets</c:v>
                </c:pt>
              </c:strCache>
            </c:strRef>
          </c:tx>
          <c:spPr>
            <a:ln w="28575" cap="rnd">
              <a:solidFill>
                <a:schemeClr val="accent5">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Graph'!$D$9:$F$9</c:f>
            </c:numRef>
          </c:val>
          <c:smooth val="0"/>
          <c:extLst>
            <c:ext xmlns:c16="http://schemas.microsoft.com/office/drawing/2014/chart" uri="{C3380CC4-5D6E-409C-BE32-E72D297353CC}">
              <c16:uniqueId val="{00000005-2937-44EC-B355-3FF385D2F8B2}"/>
            </c:ext>
          </c:extLst>
        </c:ser>
        <c:ser>
          <c:idx val="6"/>
          <c:order val="6"/>
          <c:tx>
            <c:strRef>
              <c:f>'Final Graph'!$C$10</c:f>
              <c:strCache>
                <c:ptCount val="1"/>
                <c:pt idx="0">
                  <c:v>Cash Ratio</c:v>
                </c:pt>
              </c:strCache>
            </c:strRef>
          </c:tx>
          <c:spPr>
            <a:ln w="28575" cap="rnd">
              <a:solidFill>
                <a:schemeClr val="accent6">
                  <a:lumMod val="75000"/>
                </a:schemeClr>
              </a:solidFill>
              <a:prstDash val="dash"/>
              <a:round/>
            </a:ln>
            <a:effectLst/>
          </c:spPr>
          <c:marker>
            <c:symbol val="none"/>
          </c:marker>
          <c:cat>
            <c:numRef>
              <c:f>'Final Graph'!$F$3:$H$3</c:f>
              <c:numCache>
                <c:formatCode>General</c:formatCode>
                <c:ptCount val="3"/>
                <c:pt idx="0">
                  <c:v>2023</c:v>
                </c:pt>
                <c:pt idx="1">
                  <c:v>2024</c:v>
                </c:pt>
                <c:pt idx="2">
                  <c:v>2025</c:v>
                </c:pt>
              </c:numCache>
            </c:numRef>
          </c:cat>
          <c:val>
            <c:numRef>
              <c:f>'Final Graph'!$F$10:$H$10</c:f>
              <c:numCache>
                <c:formatCode>0.0</c:formatCode>
                <c:ptCount val="3"/>
                <c:pt idx="0">
                  <c:v>8.3231700402745905E-3</c:v>
                </c:pt>
                <c:pt idx="1">
                  <c:v>1.442501347030347E-2</c:v>
                </c:pt>
                <c:pt idx="2">
                  <c:v>6.1472340974284764E-3</c:v>
                </c:pt>
              </c:numCache>
            </c:numRef>
          </c:val>
          <c:smooth val="0"/>
          <c:extLst>
            <c:ext xmlns:c16="http://schemas.microsoft.com/office/drawing/2014/chart" uri="{C3380CC4-5D6E-409C-BE32-E72D297353CC}">
              <c16:uniqueId val="{00000006-2937-44EC-B355-3FF385D2F8B2}"/>
            </c:ext>
          </c:extLst>
        </c:ser>
        <c:ser>
          <c:idx val="7"/>
          <c:order val="7"/>
          <c:tx>
            <c:strRef>
              <c:f>'Final Graph'!$C$11</c:f>
              <c:strCache>
                <c:ptCount val="1"/>
                <c:pt idx="0">
                  <c:v>Current Ratio</c:v>
                </c:pt>
              </c:strCache>
            </c:strRef>
          </c:tx>
          <c:spPr>
            <a:ln w="28575" cap="rnd">
              <a:solidFill>
                <a:schemeClr val="accent3">
                  <a:lumMod val="80000"/>
                  <a:lumOff val="2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Graph'!$F$11:$H$11</c:f>
              <c:numCache>
                <c:formatCode>0.0</c:formatCode>
                <c:ptCount val="3"/>
                <c:pt idx="0">
                  <c:v>1.0849472454475959</c:v>
                </c:pt>
                <c:pt idx="1">
                  <c:v>1.027609585035133</c:v>
                </c:pt>
                <c:pt idx="2">
                  <c:v>1.040552151554528</c:v>
                </c:pt>
              </c:numCache>
            </c:numRef>
          </c:val>
          <c:smooth val="0"/>
          <c:extLst>
            <c:ext xmlns:c16="http://schemas.microsoft.com/office/drawing/2014/chart" uri="{C3380CC4-5D6E-409C-BE32-E72D297353CC}">
              <c16:uniqueId val="{00000007-2937-44EC-B355-3FF385D2F8B2}"/>
            </c:ext>
          </c:extLst>
        </c:ser>
        <c:dLbls>
          <c:showLegendKey val="0"/>
          <c:showVal val="0"/>
          <c:showCatName val="0"/>
          <c:showSerName val="0"/>
          <c:showPercent val="0"/>
          <c:showBubbleSize val="0"/>
        </c:dLbls>
        <c:smooth val="0"/>
        <c:axId val="6621024"/>
        <c:axId val="6624288"/>
      </c:lineChart>
      <c:catAx>
        <c:axId val="662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4288"/>
        <c:crosses val="autoZero"/>
        <c:auto val="1"/>
        <c:lblAlgn val="ctr"/>
        <c:lblOffset val="100"/>
        <c:noMultiLvlLbl val="0"/>
      </c:catAx>
      <c:valAx>
        <c:axId val="6624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1024"/>
        <c:crosses val="autoZero"/>
        <c:crossBetween val="between"/>
      </c:valAx>
      <c:spPr>
        <a:noFill/>
        <a:ln>
          <a:noFill/>
        </a:ln>
        <a:effectLst/>
      </c:spPr>
    </c:plotArea>
    <c:legend>
      <c:legendPos val="b"/>
      <c:layout>
        <c:manualLayout>
          <c:xMode val="edge"/>
          <c:yMode val="edge"/>
          <c:x val="5.1765528501609252E-2"/>
          <c:y val="0.78157572002250009"/>
          <c:w val="0.8918773324116368"/>
          <c:h val="0.179208573520958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'Final Graph'!$C$15</c:f>
              <c:strCache>
                <c:ptCount val="1"/>
                <c:pt idx="0">
                  <c:v>Net Profit Margin</c:v>
                </c:pt>
              </c:strCache>
            </c:strRef>
          </c:tx>
          <c:spPr>
            <a:ln w="28575" cap="rnd">
              <a:solidFill>
                <a:srgbClr val="00B0F0"/>
              </a:solidFill>
              <a:round/>
            </a:ln>
            <a:effectLst/>
          </c:spPr>
          <c:marker>
            <c:symbol val="circle"/>
            <c:size val="5"/>
            <c:spPr>
              <a:solidFill>
                <a:schemeClr val="accent1"/>
              </a:solidFill>
              <a:ln w="9525">
                <a:solidFill>
                  <a:srgbClr val="00B0F0"/>
                </a:solidFill>
              </a:ln>
              <a:effectLst/>
            </c:spPr>
          </c:marker>
          <c:cat>
            <c:numRef>
              <c:f>'Final Graph'!$F$3:$H$3</c:f>
              <c:numCache>
                <c:formatCode>General</c:formatCode>
                <c:ptCount val="3"/>
                <c:pt idx="0">
                  <c:v>2023</c:v>
                </c:pt>
                <c:pt idx="1">
                  <c:v>2024</c:v>
                </c:pt>
                <c:pt idx="2">
                  <c:v>2025</c:v>
                </c:pt>
              </c:numCache>
            </c:numRef>
          </c:cat>
          <c:val>
            <c:numRef>
              <c:f>'Final Graph'!$D$15:$H$15</c:f>
            </c:numRef>
          </c:val>
          <c:smooth val="0"/>
          <c:extLst>
            <c:ext xmlns:c16="http://schemas.microsoft.com/office/drawing/2014/chart" uri="{C3380CC4-5D6E-409C-BE32-E72D297353CC}">
              <c16:uniqueId val="{00000000-A23B-47E4-82E4-AA666F95EE03}"/>
            </c:ext>
          </c:extLst>
        </c:ser>
        <c:ser>
          <c:idx val="1"/>
          <c:order val="1"/>
          <c:tx>
            <c:strRef>
              <c:f>'Final Graph'!$C$16</c:f>
              <c:strCache>
                <c:ptCount val="1"/>
                <c:pt idx="0">
                  <c:v>Net profit after tax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'Final Graph'!$F$3:$H$3</c:f>
              <c:numCache>
                <c:formatCode>General</c:formatCode>
                <c:ptCount val="3"/>
                <c:pt idx="0">
                  <c:v>2023</c:v>
                </c:pt>
                <c:pt idx="1">
                  <c:v>2024</c:v>
                </c:pt>
                <c:pt idx="2">
                  <c:v>2025</c:v>
                </c:pt>
              </c:numCache>
            </c:numRef>
          </c:cat>
          <c:val>
            <c:numRef>
              <c:f>'Final Graph'!$D$16:$H$16</c:f>
            </c:numRef>
          </c:val>
          <c:smooth val="0"/>
          <c:extLst>
            <c:ext xmlns:c16="http://schemas.microsoft.com/office/drawing/2014/chart" uri="{C3380CC4-5D6E-409C-BE32-E72D297353CC}">
              <c16:uniqueId val="{00000001-A23B-47E4-82E4-AA666F95EE03}"/>
            </c:ext>
          </c:extLst>
        </c:ser>
        <c:ser>
          <c:idx val="2"/>
          <c:order val="2"/>
          <c:tx>
            <c:strRef>
              <c:f>'Final Graph'!$C$17</c:f>
              <c:strCache>
                <c:ptCount val="1"/>
                <c:pt idx="0">
                  <c:v>Net Sales</c:v>
                </c:pt>
              </c:strCache>
            </c:strRef>
          </c:tx>
          <c:spPr>
            <a:ln w="28575"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Graph'!$D$17:$H$17</c:f>
            </c:numRef>
          </c:val>
          <c:smooth val="0"/>
          <c:extLst>
            <c:ext xmlns:c16="http://schemas.microsoft.com/office/drawing/2014/chart" uri="{C3380CC4-5D6E-409C-BE32-E72D297353CC}">
              <c16:uniqueId val="{00000002-A23B-47E4-82E4-AA666F95EE03}"/>
            </c:ext>
          </c:extLst>
        </c:ser>
        <c:ser>
          <c:idx val="3"/>
          <c:order val="3"/>
          <c:tx>
            <c:strRef>
              <c:f>'Final Graph'!$C$18</c:f>
              <c:strCache>
                <c:ptCount val="1"/>
                <c:pt idx="0">
                  <c:v>Return on Asset</c:v>
                </c:pt>
              </c:strCache>
            </c:strRef>
          </c:tx>
          <c:spPr>
            <a:ln w="28575" cap="rnd">
              <a:solidFill>
                <a:srgbClr val="FF9900"/>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Graph'!$D$18:$H$18</c:f>
              <c:numCache>
                <c:formatCode>0%</c:formatCode>
                <c:ptCount val="3"/>
                <c:pt idx="0">
                  <c:v>3.8740377616665149E-2</c:v>
                </c:pt>
                <c:pt idx="1">
                  <c:v>2.0455740448311707E-2</c:v>
                </c:pt>
                <c:pt idx="2">
                  <c:v>1.9426111026367571E-2</c:v>
                </c:pt>
              </c:numCache>
            </c:numRef>
          </c:val>
          <c:smooth val="0"/>
          <c:extLst>
            <c:ext xmlns:c16="http://schemas.microsoft.com/office/drawing/2014/chart" uri="{C3380CC4-5D6E-409C-BE32-E72D297353CC}">
              <c16:uniqueId val="{00000003-A23B-47E4-82E4-AA666F95EE03}"/>
            </c:ext>
          </c:extLst>
        </c:ser>
        <c:ser>
          <c:idx val="4"/>
          <c:order val="4"/>
          <c:tx>
            <c:strRef>
              <c:f>'Final Graph'!$C$19</c:f>
              <c:strCache>
                <c:ptCount val="1"/>
                <c:pt idx="0">
                  <c:v>Net profit after tax</c:v>
                </c:pt>
              </c:strCache>
            </c:strRef>
          </c:tx>
          <c:spPr>
            <a:ln w="28575"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Graph'!$D$19:$H$19</c:f>
            </c:numRef>
          </c:val>
          <c:smooth val="0"/>
          <c:extLst>
            <c:ext xmlns:c16="http://schemas.microsoft.com/office/drawing/2014/chart" uri="{C3380CC4-5D6E-409C-BE32-E72D297353CC}">
              <c16:uniqueId val="{00000004-A23B-47E4-82E4-AA666F95EE03}"/>
            </c:ext>
          </c:extLst>
        </c:ser>
        <c:ser>
          <c:idx val="5"/>
          <c:order val="5"/>
          <c:tx>
            <c:strRef>
              <c:f>'Final Graph'!$C$20</c:f>
              <c:strCache>
                <c:ptCount val="1"/>
                <c:pt idx="0">
                  <c:v>Average Total Assets</c:v>
                </c:pt>
              </c:strCache>
            </c:strRef>
          </c:tx>
          <c:spPr>
            <a:ln w="28575" cap="rnd">
              <a:solidFill>
                <a:schemeClr val="accent6"/>
              </a:solidFill>
              <a:round/>
            </a:ln>
            <a:effectLst/>
          </c:spPr>
          <c:marker>
            <c:symbol val="none"/>
          </c:marker>
          <c:cat>
            <c:numRef>
              <c:f>'Final Graph'!$F$3:$H$3</c:f>
              <c:numCache>
                <c:formatCode>General</c:formatCode>
                <c:ptCount val="3"/>
                <c:pt idx="0">
                  <c:v>2023</c:v>
                </c:pt>
                <c:pt idx="1">
                  <c:v>2024</c:v>
                </c:pt>
                <c:pt idx="2">
                  <c:v>2025</c:v>
                </c:pt>
              </c:numCache>
            </c:numRef>
          </c:cat>
          <c:val>
            <c:numRef>
              <c:f>'Final Graph'!$D$20:$H$20</c:f>
            </c:numRef>
          </c:val>
          <c:smooth val="0"/>
          <c:extLst>
            <c:ext xmlns:c16="http://schemas.microsoft.com/office/drawing/2014/chart" uri="{C3380CC4-5D6E-409C-BE32-E72D297353CC}">
              <c16:uniqueId val="{00000005-A23B-47E4-82E4-AA666F95EE03}"/>
            </c:ext>
          </c:extLst>
        </c:ser>
        <c:ser>
          <c:idx val="6"/>
          <c:order val="6"/>
          <c:tx>
            <c:strRef>
              <c:f>'Final Graph'!$C$21</c:f>
              <c:strCache>
                <c:ptCount val="1"/>
                <c:pt idx="0">
                  <c:v>Operating Profit to Operating Assets</c:v>
                </c:pt>
              </c:strCache>
            </c:strRef>
          </c:tx>
          <c:spPr>
            <a:ln w="28575"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Graph'!$D$21:$H$21</c:f>
              <c:numCache>
                <c:formatCode>0%</c:formatCode>
                <c:ptCount val="3"/>
                <c:pt idx="0">
                  <c:v>7.7093465735060207E-2</c:v>
                </c:pt>
                <c:pt idx="1">
                  <c:v>6.3539007832642477E-2</c:v>
                </c:pt>
                <c:pt idx="2">
                  <c:v>4.652054000911502E-2</c:v>
                </c:pt>
              </c:numCache>
            </c:numRef>
          </c:val>
          <c:smooth val="0"/>
          <c:extLst>
            <c:ext xmlns:c16="http://schemas.microsoft.com/office/drawing/2014/chart" uri="{C3380CC4-5D6E-409C-BE32-E72D297353CC}">
              <c16:uniqueId val="{00000006-A23B-47E4-82E4-AA666F95EE03}"/>
            </c:ext>
          </c:extLst>
        </c:ser>
        <c:dLbls>
          <c:showLegendKey val="0"/>
          <c:showVal val="0"/>
          <c:showCatName val="0"/>
          <c:showSerName val="0"/>
          <c:showPercent val="0"/>
          <c:showBubbleSize val="0"/>
        </c:dLbls>
        <c:smooth val="0"/>
        <c:axId val="6624832"/>
        <c:axId val="6629184"/>
      </c:lineChart>
      <c:catAx>
        <c:axId val="662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9184"/>
        <c:crosses val="autoZero"/>
        <c:auto val="1"/>
        <c:lblAlgn val="ctr"/>
        <c:lblOffset val="100"/>
        <c:noMultiLvlLbl val="0"/>
      </c:catAx>
      <c:valAx>
        <c:axId val="662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4832"/>
        <c:crosses val="autoZero"/>
        <c:crossBetween val="between"/>
      </c:valAx>
      <c:spPr>
        <a:noFill/>
        <a:ln>
          <a:noFill/>
        </a:ln>
        <a:effectLst/>
      </c:spPr>
    </c:plotArea>
    <c:legend>
      <c:legendPos val="b"/>
      <c:layout>
        <c:manualLayout>
          <c:xMode val="edge"/>
          <c:yMode val="edge"/>
          <c:x val="0"/>
          <c:y val="0.74479002624672874"/>
          <c:w val="0.98932698461155377"/>
          <c:h val="0.2366914552347623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'Final Graph'!$C$24</c:f>
              <c:strCache>
                <c:ptCount val="1"/>
                <c:pt idx="0">
                  <c:v>Interest Coverage</c:v>
                </c:pt>
              </c:strCache>
            </c:strRef>
          </c:tx>
          <c:spPr>
            <a:ln w="28575" cap="rnd">
              <a:solidFill>
                <a:srgbClr val="00B0F0"/>
              </a:solidFill>
              <a:round/>
            </a:ln>
            <a:effectLst/>
          </c:spPr>
          <c:marker>
            <c:symbol val="circle"/>
            <c:size val="5"/>
            <c:spPr>
              <a:solidFill>
                <a:schemeClr val="accent1"/>
              </a:solidFill>
              <a:ln w="9525">
                <a:solidFill>
                  <a:srgbClr val="00B0F0"/>
                </a:solidFill>
              </a:ln>
              <a:effectLst/>
            </c:spPr>
          </c:marker>
          <c:cat>
            <c:numRef>
              <c:f>'Final Graph'!$F$3:$H$3</c:f>
              <c:numCache>
                <c:formatCode>General</c:formatCode>
                <c:ptCount val="3"/>
                <c:pt idx="0">
                  <c:v>2023</c:v>
                </c:pt>
                <c:pt idx="1">
                  <c:v>2024</c:v>
                </c:pt>
                <c:pt idx="2">
                  <c:v>2025</c:v>
                </c:pt>
              </c:numCache>
            </c:numRef>
          </c:cat>
          <c:val>
            <c:numRef>
              <c:f>'Final Graph'!$D$24:$H$24</c:f>
              <c:numCache>
                <c:formatCode>0.0</c:formatCode>
                <c:ptCount val="3"/>
                <c:pt idx="0" formatCode="#,##0.00">
                  <c:v>2.9173829285511252</c:v>
                </c:pt>
                <c:pt idx="1">
                  <c:v>1.6813178124419406</c:v>
                </c:pt>
                <c:pt idx="2">
                  <c:v>2.1640484041893577</c:v>
                </c:pt>
              </c:numCache>
            </c:numRef>
          </c:val>
          <c:smooth val="0"/>
          <c:extLst>
            <c:ext xmlns:c16="http://schemas.microsoft.com/office/drawing/2014/chart" uri="{C3380CC4-5D6E-409C-BE32-E72D297353CC}">
              <c16:uniqueId val="{00000000-4227-425D-8AAF-669FF001264B}"/>
            </c:ext>
          </c:extLst>
        </c:ser>
        <c:ser>
          <c:idx val="1"/>
          <c:order val="1"/>
          <c:tx>
            <c:strRef>
              <c:f>'Final Graph'!$C$25</c:f>
              <c:strCache>
                <c:ptCount val="1"/>
                <c:pt idx="0">
                  <c:v>Earning Before Interest and Tax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'Final Graph'!$F$3:$H$3</c:f>
              <c:numCache>
                <c:formatCode>General</c:formatCode>
                <c:ptCount val="3"/>
                <c:pt idx="0">
                  <c:v>2023</c:v>
                </c:pt>
                <c:pt idx="1">
                  <c:v>2024</c:v>
                </c:pt>
                <c:pt idx="2">
                  <c:v>2025</c:v>
                </c:pt>
              </c:numCache>
            </c:numRef>
          </c:cat>
          <c:val>
            <c:numRef>
              <c:f>'Final Graph'!$D$25:$H$25</c:f>
            </c:numRef>
          </c:val>
          <c:smooth val="0"/>
          <c:extLst>
            <c:ext xmlns:c16="http://schemas.microsoft.com/office/drawing/2014/chart" uri="{C3380CC4-5D6E-409C-BE32-E72D297353CC}">
              <c16:uniqueId val="{00000001-4227-425D-8AAF-669FF001264B}"/>
            </c:ext>
          </c:extLst>
        </c:ser>
        <c:ser>
          <c:idx val="2"/>
          <c:order val="2"/>
          <c:tx>
            <c:strRef>
              <c:f>'Final Graph'!$C$26</c:f>
              <c:strCache>
                <c:ptCount val="1"/>
                <c:pt idx="0">
                  <c:v>Interest Expense</c:v>
                </c:pt>
              </c:strCache>
            </c:strRef>
          </c:tx>
          <c:spPr>
            <a:ln w="28575"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Graph'!$D$26:$H$26</c:f>
            </c:numRef>
          </c:val>
          <c:smooth val="0"/>
          <c:extLst>
            <c:ext xmlns:c16="http://schemas.microsoft.com/office/drawing/2014/chart" uri="{C3380CC4-5D6E-409C-BE32-E72D297353CC}">
              <c16:uniqueId val="{00000002-4227-425D-8AAF-669FF001264B}"/>
            </c:ext>
          </c:extLst>
        </c:ser>
        <c:ser>
          <c:idx val="3"/>
          <c:order val="3"/>
          <c:tx>
            <c:strRef>
              <c:f>'Final Graph'!$C$27</c:f>
              <c:strCache>
                <c:ptCount val="1"/>
                <c:pt idx="0">
                  <c:v>DSCR</c:v>
                </c:pt>
              </c:strCache>
            </c:strRef>
          </c:tx>
          <c:spPr>
            <a:ln w="28575" cap="rnd">
              <a:solidFill>
                <a:srgbClr val="FF9900"/>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Graph'!$D$27:$H$27</c:f>
              <c:numCache>
                <c:formatCode>0.0</c:formatCode>
                <c:ptCount val="3"/>
                <c:pt idx="0" formatCode="#,##0.00">
                  <c:v>1.713075961372456</c:v>
                </c:pt>
                <c:pt idx="1">
                  <c:v>1.2305543858213717</c:v>
                </c:pt>
                <c:pt idx="2">
                  <c:v>1.4160266339747576</c:v>
                </c:pt>
              </c:numCache>
            </c:numRef>
          </c:val>
          <c:smooth val="0"/>
          <c:extLst>
            <c:ext xmlns:c16="http://schemas.microsoft.com/office/drawing/2014/chart" uri="{C3380CC4-5D6E-409C-BE32-E72D297353CC}">
              <c16:uniqueId val="{00000003-4227-425D-8AAF-669FF001264B}"/>
            </c:ext>
          </c:extLst>
        </c:ser>
        <c:ser>
          <c:idx val="4"/>
          <c:order val="4"/>
          <c:tx>
            <c:strRef>
              <c:f>'Final Graph'!$C$28</c:f>
              <c:strCache>
                <c:ptCount val="1"/>
                <c:pt idx="0">
                  <c:v>Earning Before Interest Tax Depreciation Amortization</c:v>
                </c:pt>
              </c:strCache>
            </c:strRef>
          </c:tx>
          <c:spPr>
            <a:ln w="28575"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Graph'!$D$28:$H$28</c:f>
            </c:numRef>
          </c:val>
          <c:smooth val="0"/>
          <c:extLst>
            <c:ext xmlns:c16="http://schemas.microsoft.com/office/drawing/2014/chart" uri="{C3380CC4-5D6E-409C-BE32-E72D297353CC}">
              <c16:uniqueId val="{00000004-4227-425D-8AAF-669FF001264B}"/>
            </c:ext>
          </c:extLst>
        </c:ser>
        <c:ser>
          <c:idx val="5"/>
          <c:order val="5"/>
          <c:tx>
            <c:strRef>
              <c:f>'Final Graph'!$C$29</c:f>
              <c:strCache>
                <c:ptCount val="1"/>
                <c:pt idx="0">
                  <c:v>Debts to be Serviced</c:v>
                </c:pt>
              </c:strCache>
            </c:strRef>
          </c:tx>
          <c:spPr>
            <a:ln w="28575" cap="rnd">
              <a:solidFill>
                <a:schemeClr val="accent6"/>
              </a:solidFill>
              <a:round/>
            </a:ln>
            <a:effectLst/>
          </c:spPr>
          <c:marker>
            <c:symbol val="none"/>
          </c:marker>
          <c:cat>
            <c:numRef>
              <c:f>'Final Graph'!$F$3:$H$3</c:f>
              <c:numCache>
                <c:formatCode>General</c:formatCode>
                <c:ptCount val="3"/>
                <c:pt idx="0">
                  <c:v>2023</c:v>
                </c:pt>
                <c:pt idx="1">
                  <c:v>2024</c:v>
                </c:pt>
                <c:pt idx="2">
                  <c:v>2025</c:v>
                </c:pt>
              </c:numCache>
            </c:numRef>
          </c:cat>
          <c:val>
            <c:numRef>
              <c:f>'Final Graph'!$D$29:$H$29</c:f>
            </c:numRef>
          </c:val>
          <c:smooth val="0"/>
          <c:extLst>
            <c:ext xmlns:c16="http://schemas.microsoft.com/office/drawing/2014/chart" uri="{C3380CC4-5D6E-409C-BE32-E72D297353CC}">
              <c16:uniqueId val="{00000005-4227-425D-8AAF-669FF001264B}"/>
            </c:ext>
          </c:extLst>
        </c:ser>
        <c:ser>
          <c:idx val="7"/>
          <c:order val="6"/>
          <c:tx>
            <c:strRef>
              <c:f>'Final Graph'!$C$31</c:f>
              <c:strCache>
                <c:ptCount val="1"/>
                <c:pt idx="0">
                  <c:v>Total Financial Debt</c:v>
                </c:pt>
              </c:strCache>
            </c:strRef>
          </c:tx>
          <c:spPr>
            <a:ln w="28575" cap="rnd">
              <a:solidFill>
                <a:schemeClr val="accent2">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Graph'!$D$31:$H$31</c:f>
            </c:numRef>
          </c:val>
          <c:smooth val="0"/>
          <c:extLst>
            <c:ext xmlns:c16="http://schemas.microsoft.com/office/drawing/2014/chart" uri="{C3380CC4-5D6E-409C-BE32-E72D297353CC}">
              <c16:uniqueId val="{00000007-4227-425D-8AAF-669FF001264B}"/>
            </c:ext>
          </c:extLst>
        </c:ser>
        <c:ser>
          <c:idx val="8"/>
          <c:order val="7"/>
          <c:tx>
            <c:strRef>
              <c:f>'Final Graph'!$C$32</c:f>
              <c:strCache>
                <c:ptCount val="1"/>
                <c:pt idx="0">
                  <c:v>Operating Cash flow</c:v>
                </c:pt>
              </c:strCache>
            </c:strRef>
          </c:tx>
          <c:spPr>
            <a:ln w="28575" cap="rnd">
              <a:solidFill>
                <a:schemeClr val="accent3">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Graph'!$D$32:$H$32</c:f>
            </c:numRef>
          </c:val>
          <c:smooth val="0"/>
          <c:extLst>
            <c:ext xmlns:c16="http://schemas.microsoft.com/office/drawing/2014/chart" uri="{C3380CC4-5D6E-409C-BE32-E72D297353CC}">
              <c16:uniqueId val="{00000008-4227-425D-8AAF-669FF001264B}"/>
            </c:ext>
          </c:extLst>
        </c:ser>
        <c:ser>
          <c:idx val="9"/>
          <c:order val="8"/>
          <c:tx>
            <c:strRef>
              <c:f>'Final Graph'!$C$33</c:f>
              <c:strCache>
                <c:ptCount val="1"/>
                <c:pt idx="0">
                  <c:v>Cashflow Coverage</c:v>
                </c:pt>
              </c:strCache>
            </c:strRef>
          </c:tx>
          <c:spPr>
            <a:ln w="28575"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Graph'!$D$33:$H$33</c:f>
              <c:numCache>
                <c:formatCode>0.0</c:formatCode>
                <c:ptCount val="3"/>
                <c:pt idx="0" formatCode="#,##0.00">
                  <c:v>-5.7953376483403183</c:v>
                </c:pt>
                <c:pt idx="1">
                  <c:v>2.2375425471678914</c:v>
                </c:pt>
                <c:pt idx="2">
                  <c:v>0.76522361031669384</c:v>
                </c:pt>
              </c:numCache>
            </c:numRef>
          </c:val>
          <c:smooth val="0"/>
          <c:extLst>
            <c:ext xmlns:c16="http://schemas.microsoft.com/office/drawing/2014/chart" uri="{C3380CC4-5D6E-409C-BE32-E72D297353CC}">
              <c16:uniqueId val="{00000009-4227-425D-8AAF-669FF001264B}"/>
            </c:ext>
          </c:extLst>
        </c:ser>
        <c:dLbls>
          <c:showLegendKey val="0"/>
          <c:showVal val="0"/>
          <c:showCatName val="0"/>
          <c:showSerName val="0"/>
          <c:showPercent val="0"/>
          <c:showBubbleSize val="0"/>
        </c:dLbls>
        <c:marker val="1"/>
        <c:smooth val="0"/>
        <c:axId val="6621568"/>
        <c:axId val="6623200"/>
      </c:lineChart>
      <c:catAx>
        <c:axId val="662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3200"/>
        <c:crosses val="autoZero"/>
        <c:auto val="1"/>
        <c:lblAlgn val="ctr"/>
        <c:lblOffset val="100"/>
        <c:noMultiLvlLbl val="0"/>
      </c:catAx>
      <c:valAx>
        <c:axId val="6623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21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35817210645631"/>
          <c:y val="0.26011261538670188"/>
          <c:w val="0.81641214558553388"/>
          <c:h val="0.57342882551621033"/>
        </c:manualLayout>
      </c:layout>
      <c:lineChart>
        <c:grouping val="standard"/>
        <c:varyColors val="0"/>
        <c:ser>
          <c:idx val="0"/>
          <c:order val="0"/>
          <c:tx>
            <c:strRef>
              <c:f>Graph!$C$4</c:f>
              <c:strCache>
                <c:ptCount val="1"/>
                <c:pt idx="0">
                  <c:v>Debt to Equity</c:v>
                </c:pt>
              </c:strCache>
            </c:strRef>
          </c:tx>
          <c:spPr>
            <a:ln w="28575" cap="rnd">
              <a:solidFill>
                <a:schemeClr val="accent1"/>
              </a:solidFill>
              <a:prstDash val="sysDot"/>
              <a:round/>
            </a:ln>
            <a:effectLst/>
          </c:spPr>
          <c:marker>
            <c:symbol val="none"/>
          </c:marker>
          <c:cat>
            <c:numRef>
              <c:f>Graph!$F$3:$H$3</c:f>
              <c:numCache>
                <c:formatCode>General</c:formatCode>
                <c:ptCount val="3"/>
                <c:pt idx="0">
                  <c:v>2023</c:v>
                </c:pt>
                <c:pt idx="1">
                  <c:v>2024</c:v>
                </c:pt>
                <c:pt idx="2">
                  <c:v>2025</c:v>
                </c:pt>
              </c:numCache>
            </c:numRef>
          </c:cat>
          <c:val>
            <c:numRef>
              <c:f>Graph!$F$4:$H$4</c:f>
              <c:numCache>
                <c:formatCode>0.0</c:formatCode>
                <c:ptCount val="3"/>
                <c:pt idx="0" formatCode="0.00">
                  <c:v>3.5104648273379189</c:v>
                </c:pt>
                <c:pt idx="1">
                  <c:v>3.7136967462636608</c:v>
                </c:pt>
                <c:pt idx="2">
                  <c:v>3.9984885433135671</c:v>
                </c:pt>
              </c:numCache>
            </c:numRef>
          </c:val>
          <c:smooth val="0"/>
          <c:extLst>
            <c:ext xmlns:c16="http://schemas.microsoft.com/office/drawing/2014/chart" uri="{C3380CC4-5D6E-409C-BE32-E72D297353CC}">
              <c16:uniqueId val="{00000000-B472-4443-8D2D-D7FFA25EFF74}"/>
            </c:ext>
          </c:extLst>
        </c:ser>
        <c:ser>
          <c:idx val="1"/>
          <c:order val="1"/>
          <c:tx>
            <c:strRef>
              <c:f>Graph!$C$7</c:f>
              <c:strCache>
                <c:ptCount val="1"/>
                <c:pt idx="0">
                  <c:v>Debt to Total Assets</c:v>
                </c:pt>
              </c:strCache>
            </c:strRef>
          </c:tx>
          <c:spPr>
            <a:ln w="28575" cap="rnd">
              <a:solidFill>
                <a:schemeClr val="accent2"/>
              </a:solidFill>
              <a:prstDash val="sysDash"/>
              <a:round/>
            </a:ln>
            <a:effectLst/>
          </c:spPr>
          <c:marker>
            <c:symbol val="none"/>
          </c:marker>
          <c:cat>
            <c:numRef>
              <c:f>Graph!$F$3:$H$3</c:f>
              <c:numCache>
                <c:formatCode>General</c:formatCode>
                <c:ptCount val="3"/>
                <c:pt idx="0">
                  <c:v>2023</c:v>
                </c:pt>
                <c:pt idx="1">
                  <c:v>2024</c:v>
                </c:pt>
                <c:pt idx="2">
                  <c:v>2025</c:v>
                </c:pt>
              </c:numCache>
            </c:numRef>
          </c:cat>
          <c:val>
            <c:numRef>
              <c:f>Graph!$F$7:$H$7</c:f>
              <c:numCache>
                <c:formatCode>0.0</c:formatCode>
                <c:ptCount val="3"/>
                <c:pt idx="0" formatCode="#,##0.00">
                  <c:v>0.24636276109585145</c:v>
                </c:pt>
                <c:pt idx="1">
                  <c:v>0.16162128495604081</c:v>
                </c:pt>
                <c:pt idx="2">
                  <c:v>0.16107057014525031</c:v>
                </c:pt>
              </c:numCache>
            </c:numRef>
          </c:val>
          <c:smooth val="0"/>
          <c:extLst>
            <c:ext xmlns:c16="http://schemas.microsoft.com/office/drawing/2014/chart" uri="{C3380CC4-5D6E-409C-BE32-E72D297353CC}">
              <c16:uniqueId val="{00000001-B472-4443-8D2D-D7FFA25EFF74}"/>
            </c:ext>
          </c:extLst>
        </c:ser>
        <c:ser>
          <c:idx val="2"/>
          <c:order val="2"/>
          <c:tx>
            <c:strRef>
              <c:f>Graph!$C$10</c:f>
              <c:strCache>
                <c:ptCount val="1"/>
                <c:pt idx="0">
                  <c:v>Cash Ratio</c:v>
                </c:pt>
              </c:strCache>
            </c:strRef>
          </c:tx>
          <c:spPr>
            <a:ln w="28575" cap="rnd">
              <a:solidFill>
                <a:schemeClr val="accent3"/>
              </a:solidFill>
              <a:round/>
            </a:ln>
            <a:effectLst/>
          </c:spPr>
          <c:marker>
            <c:symbol val="none"/>
          </c:marker>
          <c:cat>
            <c:numRef>
              <c:f>Graph!$F$3:$H$3</c:f>
              <c:numCache>
                <c:formatCode>General</c:formatCode>
                <c:ptCount val="3"/>
                <c:pt idx="0">
                  <c:v>2023</c:v>
                </c:pt>
                <c:pt idx="1">
                  <c:v>2024</c:v>
                </c:pt>
                <c:pt idx="2">
                  <c:v>2025</c:v>
                </c:pt>
              </c:numCache>
            </c:numRef>
          </c:cat>
          <c:val>
            <c:numRef>
              <c:f>Graph!$F$10:$H$10</c:f>
              <c:numCache>
                <c:formatCode>0.0</c:formatCode>
                <c:ptCount val="3"/>
                <c:pt idx="0" formatCode="#,##0.00">
                  <c:v>8.3231700402745905E-3</c:v>
                </c:pt>
                <c:pt idx="1">
                  <c:v>1.442501347030347E-2</c:v>
                </c:pt>
                <c:pt idx="2">
                  <c:v>6.1472340974284764E-3</c:v>
                </c:pt>
              </c:numCache>
            </c:numRef>
          </c:val>
          <c:smooth val="0"/>
          <c:extLst>
            <c:ext xmlns:c16="http://schemas.microsoft.com/office/drawing/2014/chart" uri="{C3380CC4-5D6E-409C-BE32-E72D297353CC}">
              <c16:uniqueId val="{00000002-B472-4443-8D2D-D7FFA25EFF74}"/>
            </c:ext>
          </c:extLst>
        </c:ser>
        <c:ser>
          <c:idx val="3"/>
          <c:order val="3"/>
          <c:tx>
            <c:strRef>
              <c:f>Graph!$C$11</c:f>
              <c:strCache>
                <c:ptCount val="1"/>
                <c:pt idx="0">
                  <c:v>Current Ratio</c:v>
                </c:pt>
              </c:strCache>
            </c:strRef>
          </c:tx>
          <c:spPr>
            <a:ln w="28575" cap="rnd">
              <a:solidFill>
                <a:schemeClr val="accent4"/>
              </a:solidFill>
              <a:prstDash val="lgDash"/>
              <a:round/>
            </a:ln>
            <a:effectLst/>
          </c:spPr>
          <c:marker>
            <c:symbol val="none"/>
          </c:marker>
          <c:cat>
            <c:numRef>
              <c:f>Graph!$F$3:$H$3</c:f>
              <c:numCache>
                <c:formatCode>General</c:formatCode>
                <c:ptCount val="3"/>
                <c:pt idx="0">
                  <c:v>2023</c:v>
                </c:pt>
                <c:pt idx="1">
                  <c:v>2024</c:v>
                </c:pt>
                <c:pt idx="2">
                  <c:v>2025</c:v>
                </c:pt>
              </c:numCache>
            </c:numRef>
          </c:cat>
          <c:val>
            <c:numRef>
              <c:f>Graph!$F$11:$H$11</c:f>
              <c:numCache>
                <c:formatCode>0.0</c:formatCode>
                <c:ptCount val="3"/>
                <c:pt idx="0" formatCode="#,##0.00">
                  <c:v>1.0849472454475959</c:v>
                </c:pt>
                <c:pt idx="1">
                  <c:v>1.027609585035133</c:v>
                </c:pt>
                <c:pt idx="2">
                  <c:v>1.040552151554528</c:v>
                </c:pt>
              </c:numCache>
            </c:numRef>
          </c:val>
          <c:smooth val="0"/>
          <c:extLst>
            <c:ext xmlns:c16="http://schemas.microsoft.com/office/drawing/2014/chart" uri="{C3380CC4-5D6E-409C-BE32-E72D297353CC}">
              <c16:uniqueId val="{00000003-B472-4443-8D2D-D7FFA25EFF74}"/>
            </c:ext>
          </c:extLst>
        </c:ser>
        <c:dLbls>
          <c:showLegendKey val="0"/>
          <c:showVal val="0"/>
          <c:showCatName val="0"/>
          <c:showSerName val="0"/>
          <c:showPercent val="0"/>
          <c:showBubbleSize val="0"/>
        </c:dLbls>
        <c:smooth val="0"/>
        <c:axId val="6629728"/>
        <c:axId val="6627552"/>
      </c:lineChart>
      <c:catAx>
        <c:axId val="662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552"/>
        <c:crosses val="autoZero"/>
        <c:auto val="1"/>
        <c:lblAlgn val="ctr"/>
        <c:lblOffset val="100"/>
        <c:noMultiLvlLbl val="0"/>
      </c:catAx>
      <c:valAx>
        <c:axId val="6627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728"/>
        <c:crosses val="autoZero"/>
        <c:crossBetween val="between"/>
      </c:valAx>
      <c:spPr>
        <a:noFill/>
        <a:ln>
          <a:noFill/>
        </a:ln>
        <a:effectLst/>
      </c:spPr>
    </c:plotArea>
    <c:legend>
      <c:legendPos val="t"/>
      <c:layout>
        <c:manualLayout>
          <c:xMode val="edge"/>
          <c:yMode val="edge"/>
          <c:x val="6.221274184031679E-2"/>
          <c:y val="3.4104687067117757E-2"/>
          <c:w val="0.89996040495636087"/>
          <c:h val="0.24599557719623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633" l="0.70000000000000062" r="0.70000000000000062" t="0.750000000000006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Graph!$C$15</c:f>
              <c:strCache>
                <c:ptCount val="1"/>
                <c:pt idx="0">
                  <c:v>NPM</c:v>
                </c:pt>
              </c:strCache>
            </c:strRef>
          </c:tx>
          <c:spPr>
            <a:ln w="28575" cap="rnd">
              <a:solidFill>
                <a:schemeClr val="accent1"/>
              </a:solidFill>
              <a:round/>
            </a:ln>
            <a:effectLst/>
          </c:spPr>
          <c:marker>
            <c:symbol val="none"/>
          </c:marker>
          <c:cat>
            <c:numRef>
              <c:f>Graph!$F$3:$H$3</c:f>
              <c:numCache>
                <c:formatCode>General</c:formatCode>
                <c:ptCount val="3"/>
                <c:pt idx="0">
                  <c:v>2023</c:v>
                </c:pt>
                <c:pt idx="1">
                  <c:v>2024</c:v>
                </c:pt>
                <c:pt idx="2">
                  <c:v>2025</c:v>
                </c:pt>
              </c:numCache>
            </c:numRef>
          </c:cat>
          <c:val>
            <c:numRef>
              <c:f>Graph!$F$15:$H$15</c:f>
              <c:numCache>
                <c:formatCode>0%</c:formatCode>
                <c:ptCount val="3"/>
                <c:pt idx="0">
                  <c:v>8.0204316911672235E-2</c:v>
                </c:pt>
                <c:pt idx="1">
                  <c:v>4.0053649767122175E-2</c:v>
                </c:pt>
                <c:pt idx="2">
                  <c:v>5.4896988386267581E-2</c:v>
                </c:pt>
              </c:numCache>
            </c:numRef>
          </c:val>
          <c:smooth val="0"/>
          <c:extLst>
            <c:ext xmlns:c16="http://schemas.microsoft.com/office/drawing/2014/chart" uri="{C3380CC4-5D6E-409C-BE32-E72D297353CC}">
              <c16:uniqueId val="{00000000-C8A8-45ED-9787-DF11A00B36CD}"/>
            </c:ext>
          </c:extLst>
        </c:ser>
        <c:ser>
          <c:idx val="1"/>
          <c:order val="1"/>
          <c:tx>
            <c:strRef>
              <c:f>Graph!$C$18</c:f>
              <c:strCache>
                <c:ptCount val="1"/>
                <c:pt idx="0">
                  <c:v>ROA</c:v>
                </c:pt>
              </c:strCache>
            </c:strRef>
          </c:tx>
          <c:spPr>
            <a:ln w="28575" cap="rnd">
              <a:solidFill>
                <a:schemeClr val="accent2"/>
              </a:solidFill>
              <a:round/>
            </a:ln>
            <a:effectLst/>
          </c:spPr>
          <c:marker>
            <c:symbol val="none"/>
          </c:marker>
          <c:cat>
            <c:numRef>
              <c:f>Graph!$F$3:$H$3</c:f>
              <c:numCache>
                <c:formatCode>General</c:formatCode>
                <c:ptCount val="3"/>
                <c:pt idx="0">
                  <c:v>2023</c:v>
                </c:pt>
                <c:pt idx="1">
                  <c:v>2024</c:v>
                </c:pt>
                <c:pt idx="2">
                  <c:v>2025</c:v>
                </c:pt>
              </c:numCache>
            </c:numRef>
          </c:cat>
          <c:val>
            <c:numRef>
              <c:f>Graph!$F$18:$H$18</c:f>
              <c:numCache>
                <c:formatCode>0%</c:formatCode>
                <c:ptCount val="3"/>
                <c:pt idx="0">
                  <c:v>3.8740377616665149E-2</c:v>
                </c:pt>
                <c:pt idx="1">
                  <c:v>2.0455740448311707E-2</c:v>
                </c:pt>
                <c:pt idx="2">
                  <c:v>1.9426111026367571E-2</c:v>
                </c:pt>
              </c:numCache>
            </c:numRef>
          </c:val>
          <c:smooth val="0"/>
          <c:extLst>
            <c:ext xmlns:c16="http://schemas.microsoft.com/office/drawing/2014/chart" uri="{C3380CC4-5D6E-409C-BE32-E72D297353CC}">
              <c16:uniqueId val="{00000001-C8A8-45ED-9787-DF11A00B36CD}"/>
            </c:ext>
          </c:extLst>
        </c:ser>
        <c:ser>
          <c:idx val="2"/>
          <c:order val="2"/>
          <c:tx>
            <c:strRef>
              <c:f>Graph!$C$21</c:f>
              <c:strCache>
                <c:ptCount val="1"/>
                <c:pt idx="0">
                  <c:v>Operating Profit to Operating Assets</c:v>
                </c:pt>
              </c:strCache>
            </c:strRef>
          </c:tx>
          <c:spPr>
            <a:ln w="28575" cap="rnd">
              <a:solidFill>
                <a:schemeClr val="accent3"/>
              </a:solidFill>
              <a:round/>
            </a:ln>
            <a:effectLst/>
          </c:spPr>
          <c:marker>
            <c:symbol val="none"/>
          </c:marker>
          <c:cat>
            <c:numRef>
              <c:f>Graph!$F$3:$H$3</c:f>
              <c:numCache>
                <c:formatCode>General</c:formatCode>
                <c:ptCount val="3"/>
                <c:pt idx="0">
                  <c:v>2023</c:v>
                </c:pt>
                <c:pt idx="1">
                  <c:v>2024</c:v>
                </c:pt>
                <c:pt idx="2">
                  <c:v>2025</c:v>
                </c:pt>
              </c:numCache>
            </c:numRef>
          </c:cat>
          <c:val>
            <c:numRef>
              <c:f>Graph!$F$21:$H$21</c:f>
              <c:numCache>
                <c:formatCode>0.0</c:formatCode>
                <c:ptCount val="3"/>
                <c:pt idx="0" formatCode="#,##0.00">
                  <c:v>6.9091832164475508E-2</c:v>
                </c:pt>
                <c:pt idx="1">
                  <c:v>5.7931518559594622E-2</c:v>
                </c:pt>
                <c:pt idx="2">
                  <c:v>4.3024834920462086E-2</c:v>
                </c:pt>
              </c:numCache>
            </c:numRef>
          </c:val>
          <c:smooth val="0"/>
          <c:extLst>
            <c:ext xmlns:c16="http://schemas.microsoft.com/office/drawing/2014/chart" uri="{C3380CC4-5D6E-409C-BE32-E72D297353CC}">
              <c16:uniqueId val="{00000002-C8A8-45ED-9787-DF11A00B36CD}"/>
            </c:ext>
          </c:extLst>
        </c:ser>
        <c:dLbls>
          <c:showLegendKey val="0"/>
          <c:showVal val="0"/>
          <c:showCatName val="0"/>
          <c:showSerName val="0"/>
          <c:showPercent val="0"/>
          <c:showBubbleSize val="0"/>
        </c:dLbls>
        <c:smooth val="0"/>
        <c:axId val="6632448"/>
        <c:axId val="6622112"/>
      </c:lineChart>
      <c:catAx>
        <c:axId val="663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2112"/>
        <c:crosses val="autoZero"/>
        <c:auto val="1"/>
        <c:lblAlgn val="ctr"/>
        <c:lblOffset val="100"/>
        <c:noMultiLvlLbl val="0"/>
      </c:catAx>
      <c:valAx>
        <c:axId val="6622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633" l="0.70000000000000062" r="0.70000000000000062" t="0.750000000000006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lineChart>
        <c:grouping val="standard"/>
        <c:varyColors val="0"/>
        <c:ser>
          <c:idx val="0"/>
          <c:order val="0"/>
          <c:tx>
            <c:strRef>
              <c:f>Graph!$C$24</c:f>
              <c:strCache>
                <c:ptCount val="1"/>
                <c:pt idx="0">
                  <c:v>Int Cov</c:v>
                </c:pt>
              </c:strCache>
            </c:strRef>
          </c:tx>
          <c:spPr>
            <a:ln w="28575" cap="rnd">
              <a:solidFill>
                <a:schemeClr val="dk1">
                  <a:tint val="88500"/>
                </a:schemeClr>
              </a:solidFill>
              <a:round/>
            </a:ln>
            <a:effectLst/>
          </c:spPr>
          <c:marker>
            <c:symbol val="none"/>
          </c:marker>
          <c:cat>
            <c:numRef>
              <c:f>(Graph!$F$3,Graph!$G$3,Graph!$H$3)</c:f>
              <c:numCache>
                <c:formatCode>General</c:formatCode>
                <c:ptCount val="3"/>
                <c:pt idx="0">
                  <c:v>2023</c:v>
                </c:pt>
                <c:pt idx="1">
                  <c:v>2024</c:v>
                </c:pt>
                <c:pt idx="2">
                  <c:v>2025</c:v>
                </c:pt>
              </c:numCache>
            </c:numRef>
          </c:cat>
          <c:val>
            <c:numRef>
              <c:f>(Graph!$F$24,Graph!$G$24,Graph!$H$24)</c:f>
              <c:numCache>
                <c:formatCode>0.0</c:formatCode>
                <c:ptCount val="3"/>
                <c:pt idx="0" formatCode="#,##0.00">
                  <c:v>2.9173829285511252</c:v>
                </c:pt>
                <c:pt idx="1">
                  <c:v>1.6813178124419406</c:v>
                </c:pt>
                <c:pt idx="2">
                  <c:v>2.1640484041893577</c:v>
                </c:pt>
              </c:numCache>
            </c:numRef>
          </c:val>
          <c:smooth val="0"/>
          <c:extLst>
            <c:ext xmlns:c16="http://schemas.microsoft.com/office/drawing/2014/chart" uri="{C3380CC4-5D6E-409C-BE32-E72D297353CC}">
              <c16:uniqueId val="{00000000-28BB-4541-A845-3BD8F12823C5}"/>
            </c:ext>
          </c:extLst>
        </c:ser>
        <c:ser>
          <c:idx val="1"/>
          <c:order val="1"/>
          <c:tx>
            <c:strRef>
              <c:f>Graph!$C$27</c:f>
              <c:strCache>
                <c:ptCount val="1"/>
                <c:pt idx="0">
                  <c:v>DSCR</c:v>
                </c:pt>
              </c:strCache>
            </c:strRef>
          </c:tx>
          <c:spPr>
            <a:ln w="28575" cap="rnd">
              <a:solidFill>
                <a:schemeClr val="dk1">
                  <a:tint val="55000"/>
                </a:schemeClr>
              </a:solidFill>
              <a:round/>
            </a:ln>
            <a:effectLst/>
          </c:spPr>
          <c:marker>
            <c:symbol val="none"/>
          </c:marker>
          <c:cat>
            <c:numRef>
              <c:f>(Graph!$F$3,Graph!$G$3,Graph!$H$3)</c:f>
              <c:numCache>
                <c:formatCode>General</c:formatCode>
                <c:ptCount val="3"/>
                <c:pt idx="0">
                  <c:v>2023</c:v>
                </c:pt>
                <c:pt idx="1">
                  <c:v>2024</c:v>
                </c:pt>
                <c:pt idx="2">
                  <c:v>2025</c:v>
                </c:pt>
              </c:numCache>
            </c:numRef>
          </c:cat>
          <c:val>
            <c:numRef>
              <c:f>(Graph!$F$27,Graph!$G$27,Graph!$H$27)</c:f>
              <c:numCache>
                <c:formatCode>0.0</c:formatCode>
                <c:ptCount val="3"/>
                <c:pt idx="0" formatCode="#,##0.00">
                  <c:v>1.713075961372456</c:v>
                </c:pt>
                <c:pt idx="1">
                  <c:v>1.2305543858213717</c:v>
                </c:pt>
                <c:pt idx="2">
                  <c:v>1.4160266339747576</c:v>
                </c:pt>
              </c:numCache>
            </c:numRef>
          </c:val>
          <c:smooth val="0"/>
          <c:extLst>
            <c:ext xmlns:c16="http://schemas.microsoft.com/office/drawing/2014/chart" uri="{C3380CC4-5D6E-409C-BE32-E72D297353CC}">
              <c16:uniqueId val="{00000001-28BB-4541-A845-3BD8F12823C5}"/>
            </c:ext>
          </c:extLst>
        </c:ser>
        <c:ser>
          <c:idx val="2"/>
          <c:order val="2"/>
          <c:tx>
            <c:strRef>
              <c:f>Graph!$C$33</c:f>
              <c:strCache>
                <c:ptCount val="1"/>
                <c:pt idx="0">
                  <c:v>Cash Cov</c:v>
                </c:pt>
              </c:strCache>
            </c:strRef>
          </c:tx>
          <c:spPr>
            <a:ln w="28575" cap="rnd">
              <a:solidFill>
                <a:schemeClr val="dk1">
                  <a:tint val="75000"/>
                </a:schemeClr>
              </a:solidFill>
              <a:round/>
            </a:ln>
            <a:effectLst/>
          </c:spPr>
          <c:marker>
            <c:symbol val="none"/>
          </c:marker>
          <c:cat>
            <c:numRef>
              <c:f>(Graph!$F$3,Graph!$G$3,Graph!$H$3)</c:f>
              <c:numCache>
                <c:formatCode>General</c:formatCode>
                <c:ptCount val="3"/>
                <c:pt idx="0">
                  <c:v>2023</c:v>
                </c:pt>
                <c:pt idx="1">
                  <c:v>2024</c:v>
                </c:pt>
                <c:pt idx="2">
                  <c:v>2025</c:v>
                </c:pt>
              </c:numCache>
            </c:numRef>
          </c:cat>
          <c:val>
            <c:numRef>
              <c:f>(Graph!$F$33,Graph!$G$33,Graph!$H$33)</c:f>
              <c:numCache>
                <c:formatCode>0.0</c:formatCode>
                <c:ptCount val="3"/>
                <c:pt idx="0" formatCode="#,##0.00">
                  <c:v>-5.7953376483403183</c:v>
                </c:pt>
                <c:pt idx="1">
                  <c:v>2.2375425471678914</c:v>
                </c:pt>
                <c:pt idx="2">
                  <c:v>0.76522361031669384</c:v>
                </c:pt>
              </c:numCache>
            </c:numRef>
          </c:val>
          <c:smooth val="0"/>
          <c:extLst>
            <c:ext xmlns:c16="http://schemas.microsoft.com/office/drawing/2014/chart" uri="{C3380CC4-5D6E-409C-BE32-E72D297353CC}">
              <c16:uniqueId val="{00000002-28BB-4541-A845-3BD8F12823C5}"/>
            </c:ext>
          </c:extLst>
        </c:ser>
        <c:dLbls>
          <c:showLegendKey val="0"/>
          <c:showVal val="0"/>
          <c:showCatName val="0"/>
          <c:showSerName val="0"/>
          <c:showPercent val="0"/>
          <c:showBubbleSize val="0"/>
        </c:dLbls>
        <c:smooth val="0"/>
        <c:axId val="1729136624"/>
        <c:axId val="1729140432"/>
      </c:lineChart>
      <c:catAx>
        <c:axId val="17291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140432"/>
        <c:crosses val="autoZero"/>
        <c:auto val="1"/>
        <c:lblAlgn val="ctr"/>
        <c:lblOffset val="100"/>
        <c:noMultiLvlLbl val="0"/>
      </c:catAx>
      <c:valAx>
        <c:axId val="1729140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136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633" l="0.70000000000000062" r="0.70000000000000062" t="0.750000000000006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B551-4F87-80B2-8ADDC362501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551-4F87-80B2-8ADDC3625012}"/>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551-4F87-80B2-8ADDC362501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B551-4F87-80B2-8ADDC3625012}"/>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B551-4F87-80B2-8ADDC3625012}"/>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B551-4F87-80B2-8ADDC3625012}"/>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B551-4F87-80B2-8ADDC3625012}"/>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B551-4F87-80B2-8ADDC3625012}"/>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B551-4F87-80B2-8ADDC3625012}"/>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B551-4F87-80B2-8ADDC3625012}"/>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B551-4F87-80B2-8ADDC3625012}"/>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B551-4F87-80B2-8ADDC3625012}"/>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B551-4F87-80B2-8ADDC3625012}"/>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B551-4F87-80B2-8ADDC3625012}"/>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B551-4F87-80B2-8ADDC3625012}"/>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B551-4F87-80B2-8ADDC3625012}"/>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B551-4F87-80B2-8ADDC3625012}"/>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B551-4F87-80B2-8ADDC3625012}"/>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B551-4F87-80B2-8ADDC3625012}"/>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B551-4F87-80B2-8ADDC3625012}"/>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B551-4F87-80B2-8ADDC3625012}"/>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B551-4F87-80B2-8ADDC3625012}"/>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'9. Quantitative Analysis'!$S$6</c:f>
              <c:strCache>
                <c:ptCount val="1"/>
                <c:pt idx="0">
                  <c:v>Score</c:v>
                </c:pt>
              </c:strCache>
            </c:strRef>
          </c:tx>
          <c:dPt>
            <c:idx val="0"/>
            <c:bubble3D val="0"/>
            <c:spPr>
              <a:noFill/>
            </c:spPr>
            <c:extLst>
              <c:ext xmlns:c16="http://schemas.microsoft.com/office/drawing/2014/chart" uri="{C3380CC4-5D6E-409C-BE32-E72D297353CC}">
                <c16:uniqueId val="{0000002C-B551-4F87-80B2-8ADDC3625012}"/>
              </c:ext>
            </c:extLst>
          </c:dPt>
          <c:dPt>
            <c:idx val="1"/>
            <c:bubble3D val="0"/>
            <c:spPr>
              <a:solidFill>
                <a:schemeClr val="bg1">
                  <a:alpha val="66000"/>
                </a:schemeClr>
              </a:solidFill>
            </c:spPr>
            <c:extLst>
              <c:ext xmlns:c16="http://schemas.microsoft.com/office/drawing/2014/chart" uri="{C3380CC4-5D6E-409C-BE32-E72D297353CC}">
                <c16:uniqueId val="{0000002E-B551-4F87-80B2-8ADDC3625012}"/>
              </c:ext>
            </c:extLst>
          </c:dPt>
          <c:val>
            <c:numRef>
              <c:f>'9. Quantitative Analysis'!$T$6:$U$6</c:f>
              <c:numCache>
                <c:formatCode>0%</c:formatCode>
                <c:ptCount val="2"/>
                <c:pt idx="0">
                  <c:v>0.36666666666666664</c:v>
                </c:pt>
                <c:pt idx="1">
                  <c:v>0.6333333333333333</c:v>
                </c:pt>
              </c:numCache>
            </c:numRef>
          </c:val>
          <c:extLst>
            <c:ext xmlns:c16="http://schemas.microsoft.com/office/drawing/2014/chart" uri="{C3380CC4-5D6E-409C-BE32-E72D297353CC}">
              <c16:uniqueId val="{0000002F-B551-4F87-80B2-8ADDC362501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73762103266522"/>
          <c:y val="0.1082362803508895"/>
          <c:w val="0.76696795253535099"/>
          <c:h val="0.79711079783149352"/>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0-A9F1-48AB-8053-73DA02AFD601}"/>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1-A9F1-48AB-8053-73DA02AFD60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2-A9F1-48AB-8053-73DA02AFD60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3-A9F1-48AB-8053-73DA02AFD601}"/>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4-A9F1-48AB-8053-73DA02AFD601}"/>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5-A9F1-48AB-8053-73DA02AFD601}"/>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6-A9F1-48AB-8053-73DA02AFD601}"/>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7-A9F1-48AB-8053-73DA02AFD601}"/>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08-A9F1-48AB-8053-73DA02AFD601}"/>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09-A9F1-48AB-8053-73DA02AFD601}"/>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0A-A9F1-48AB-8053-73DA02AFD601}"/>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0B-A9F1-48AB-8053-73DA02AFD601}"/>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0C-A9F1-48AB-8053-73DA02AFD601}"/>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0D-A9F1-48AB-8053-73DA02AFD601}"/>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0E-A9F1-48AB-8053-73DA02AFD601}"/>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0F-A9F1-48AB-8053-73DA02AFD601}"/>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10-A9F1-48AB-8053-73DA02AFD601}"/>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11-A9F1-48AB-8053-73DA02AFD601}"/>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12-A9F1-48AB-8053-73DA02AFD601}"/>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13-A9F1-48AB-8053-73DA02AFD601}"/>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14-A9F1-48AB-8053-73DA02AFD601}"/>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03-05AD-4269-9B81-F4B27807BE94}"/>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'10. Qualitative Analysis'!$I$8</c:f>
              <c:strCache>
                <c:ptCount val="1"/>
                <c:pt idx="0">
                  <c:v>Score Percentage</c:v>
                </c:pt>
              </c:strCache>
            </c:strRef>
          </c:tx>
          <c:spPr>
            <a:noFill/>
          </c:spPr>
          <c:dPt>
            <c:idx val="1"/>
            <c:bubble3D val="0"/>
            <c:spPr>
              <a:solidFill>
                <a:sysClr val="window" lastClr="FFFFFF">
                  <a:alpha val="74000"/>
                </a:sysClr>
              </a:solidFill>
            </c:spPr>
            <c:extLst>
              <c:ext xmlns:c16="http://schemas.microsoft.com/office/drawing/2014/chart" uri="{C3380CC4-5D6E-409C-BE32-E72D297353CC}">
                <c16:uniqueId val="{00000015-C2CD-4D7F-BEF2-A5EDCBC2DE8A}"/>
              </c:ext>
            </c:extLst>
          </c:dPt>
          <c:val>
            <c:numRef>
              <c:f>'10. Qualitative Analysis'!$J$8:$K$8</c:f>
              <c:numCache>
                <c:formatCode>0%</c:formatCode>
                <c:ptCount val="2"/>
                <c:pt idx="0">
                  <c:v>0.71250000000000002</c:v>
                </c:pt>
                <c:pt idx="1">
                  <c:v>0.28749999999999998</c:v>
                </c:pt>
              </c:numCache>
            </c:numRef>
          </c:val>
          <c:extLst>
            <c:ext xmlns:c16="http://schemas.microsoft.com/office/drawing/2014/chart" uri="{C3380CC4-5D6E-409C-BE32-E72D297353CC}">
              <c16:uniqueId val="{00000005-05AD-4269-9B81-F4B27807BE9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B0F0"/>
      </a:solidFill>
      <a:prstDash val="sys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1430-414D-8EE9-00575E5843A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430-414D-8EE9-00575E5843A0}"/>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1430-414D-8EE9-00575E5843A0}"/>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1430-414D-8EE9-00575E5843A0}"/>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1430-414D-8EE9-00575E5843A0}"/>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1430-414D-8EE9-00575E5843A0}"/>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1430-414D-8EE9-00575E5843A0}"/>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1430-414D-8EE9-00575E5843A0}"/>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1430-414D-8EE9-00575E5843A0}"/>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1430-414D-8EE9-00575E5843A0}"/>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1430-414D-8EE9-00575E5843A0}"/>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1430-414D-8EE9-00575E5843A0}"/>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1430-414D-8EE9-00575E5843A0}"/>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1430-414D-8EE9-00575E5843A0}"/>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1430-414D-8EE9-00575E5843A0}"/>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1430-414D-8EE9-00575E5843A0}"/>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1430-414D-8EE9-00575E5843A0}"/>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1430-414D-8EE9-00575E5843A0}"/>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1430-414D-8EE9-00575E5843A0}"/>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1430-414D-8EE9-00575E5843A0}"/>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1430-414D-8EE9-00575E5843A0}"/>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1430-414D-8EE9-00575E5843A0}"/>
            </c:ext>
          </c:extLst>
        </c:ser>
        <c:dLbls>
          <c:showLegendKey val="0"/>
          <c:showVal val="0"/>
          <c:showCatName val="0"/>
          <c:showSerName val="0"/>
          <c:showPercent val="0"/>
          <c:showBubbleSize val="0"/>
          <c:showLeaderLines val="0"/>
        </c:dLbls>
        <c:firstSliceAng val="0"/>
        <c:holeSize val="68"/>
      </c:doughnutChart>
      <c:doughnutChart>
        <c:varyColors val="1"/>
        <c:ser>
          <c:idx val="1"/>
          <c:order val="1"/>
          <c:tx>
            <c:strRef>
              <c:f>'12. Executive Summary'!$H$5</c:f>
              <c:strCache>
                <c:ptCount val="1"/>
                <c:pt idx="0">
                  <c:v>Total</c:v>
                </c:pt>
              </c:strCache>
            </c:strRef>
          </c:tx>
          <c:dPt>
            <c:idx val="0"/>
            <c:bubble3D val="0"/>
            <c:spPr>
              <a:noFill/>
            </c:spPr>
            <c:extLst>
              <c:ext xmlns:c16="http://schemas.microsoft.com/office/drawing/2014/chart" uri="{C3380CC4-5D6E-409C-BE32-E72D297353CC}">
                <c16:uniqueId val="{0000002D-3E0E-4D81-BE00-9FFF46B65ED8}"/>
              </c:ext>
            </c:extLst>
          </c:dPt>
          <c:dPt>
            <c:idx val="1"/>
            <c:bubble3D val="0"/>
            <c:spPr>
              <a:solidFill>
                <a:schemeClr val="bg1">
                  <a:alpha val="80000"/>
                </a:schemeClr>
              </a:solidFill>
            </c:spPr>
            <c:extLst>
              <c:ext xmlns:c16="http://schemas.microsoft.com/office/drawing/2014/chart" uri="{C3380CC4-5D6E-409C-BE32-E72D297353CC}">
                <c16:uniqueId val="{0000002E-3E0E-4D81-BE00-9FFF46B65ED8}"/>
              </c:ext>
            </c:extLst>
          </c:dPt>
          <c:val>
            <c:numRef>
              <c:f>'12. Executive Summary'!$I$5:$J$5</c:f>
              <c:numCache>
                <c:formatCode>0.0%</c:formatCode>
                <c:ptCount val="2"/>
                <c:pt idx="0">
                  <c:v>0.505</c:v>
                </c:pt>
                <c:pt idx="1">
                  <c:v>0.495</c:v>
                </c:pt>
              </c:numCache>
            </c:numRef>
          </c:val>
          <c:extLst>
            <c:ext xmlns:c16="http://schemas.microsoft.com/office/drawing/2014/chart" uri="{C3380CC4-5D6E-409C-BE32-E72D297353CC}">
              <c16:uniqueId val="{0000002C-3E0E-4D81-BE00-9FFF46B65ED8}"/>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9933FF"/>
            </a:solidFill>
          </c:spPr>
          <c:dPt>
            <c:idx val="0"/>
            <c:bubble3D val="0"/>
            <c:spPr>
              <a:solidFill>
                <a:srgbClr val="9933FF"/>
              </a:solidFill>
              <a:ln w="19050">
                <a:solidFill>
                  <a:schemeClr val="lt1"/>
                </a:solidFill>
              </a:ln>
              <a:effectLst/>
            </c:spPr>
            <c:extLst>
              <c:ext xmlns:c16="http://schemas.microsoft.com/office/drawing/2014/chart" uri="{C3380CC4-5D6E-409C-BE32-E72D297353CC}">
                <c16:uniqueId val="{00000001-46CD-4C2F-8E98-F8825C5E65E9}"/>
              </c:ext>
            </c:extLst>
          </c:dPt>
          <c:dPt>
            <c:idx val="1"/>
            <c:bubble3D val="0"/>
            <c:spPr>
              <a:solidFill>
                <a:srgbClr val="9933FF"/>
              </a:solidFill>
              <a:ln w="19050">
                <a:solidFill>
                  <a:schemeClr val="lt1"/>
                </a:solidFill>
              </a:ln>
              <a:effectLst/>
            </c:spPr>
            <c:extLst>
              <c:ext xmlns:c16="http://schemas.microsoft.com/office/drawing/2014/chart" uri="{C3380CC4-5D6E-409C-BE32-E72D297353CC}">
                <c16:uniqueId val="{00000003-46CD-4C2F-8E98-F8825C5E65E9}"/>
              </c:ext>
            </c:extLst>
          </c:dPt>
          <c:dPt>
            <c:idx val="2"/>
            <c:bubble3D val="0"/>
            <c:spPr>
              <a:solidFill>
                <a:srgbClr val="9933FF"/>
              </a:solidFill>
              <a:ln w="19050">
                <a:solidFill>
                  <a:schemeClr val="lt1"/>
                </a:solidFill>
              </a:ln>
              <a:effectLst/>
            </c:spPr>
            <c:extLst>
              <c:ext xmlns:c16="http://schemas.microsoft.com/office/drawing/2014/chart" uri="{C3380CC4-5D6E-409C-BE32-E72D297353CC}">
                <c16:uniqueId val="{00000005-46CD-4C2F-8E98-F8825C5E65E9}"/>
              </c:ext>
            </c:extLst>
          </c:dPt>
          <c:dPt>
            <c:idx val="3"/>
            <c:bubble3D val="0"/>
            <c:spPr>
              <a:solidFill>
                <a:srgbClr val="9933FF"/>
              </a:solidFill>
              <a:ln w="19050">
                <a:solidFill>
                  <a:schemeClr val="lt1"/>
                </a:solidFill>
              </a:ln>
              <a:effectLst/>
            </c:spPr>
            <c:extLst>
              <c:ext xmlns:c16="http://schemas.microsoft.com/office/drawing/2014/chart" uri="{C3380CC4-5D6E-409C-BE32-E72D297353CC}">
                <c16:uniqueId val="{00000007-46CD-4C2F-8E98-F8825C5E65E9}"/>
              </c:ext>
            </c:extLst>
          </c:dPt>
          <c:dPt>
            <c:idx val="4"/>
            <c:bubble3D val="0"/>
            <c:spPr>
              <a:solidFill>
                <a:srgbClr val="9933FF"/>
              </a:solidFill>
              <a:ln w="19050">
                <a:solidFill>
                  <a:schemeClr val="lt1"/>
                </a:solidFill>
              </a:ln>
              <a:effectLst/>
            </c:spPr>
            <c:extLst>
              <c:ext xmlns:c16="http://schemas.microsoft.com/office/drawing/2014/chart" uri="{C3380CC4-5D6E-409C-BE32-E72D297353CC}">
                <c16:uniqueId val="{00000009-46CD-4C2F-8E98-F8825C5E65E9}"/>
              </c:ext>
            </c:extLst>
          </c:dPt>
          <c:dPt>
            <c:idx val="5"/>
            <c:bubble3D val="0"/>
            <c:spPr>
              <a:solidFill>
                <a:srgbClr val="9933FF"/>
              </a:solidFill>
              <a:ln w="19050">
                <a:solidFill>
                  <a:schemeClr val="lt1"/>
                </a:solidFill>
              </a:ln>
              <a:effectLst/>
            </c:spPr>
            <c:extLst>
              <c:ext xmlns:c16="http://schemas.microsoft.com/office/drawing/2014/chart" uri="{C3380CC4-5D6E-409C-BE32-E72D297353CC}">
                <c16:uniqueId val="{0000000B-46CD-4C2F-8E98-F8825C5E65E9}"/>
              </c:ext>
            </c:extLst>
          </c:dPt>
          <c:dPt>
            <c:idx val="6"/>
            <c:bubble3D val="0"/>
            <c:spPr>
              <a:solidFill>
                <a:srgbClr val="9933FF"/>
              </a:solidFill>
              <a:ln w="19050">
                <a:solidFill>
                  <a:schemeClr val="lt1"/>
                </a:solidFill>
              </a:ln>
              <a:effectLst/>
            </c:spPr>
            <c:extLst>
              <c:ext xmlns:c16="http://schemas.microsoft.com/office/drawing/2014/chart" uri="{C3380CC4-5D6E-409C-BE32-E72D297353CC}">
                <c16:uniqueId val="{0000000D-46CD-4C2F-8E98-F8825C5E65E9}"/>
              </c:ext>
            </c:extLst>
          </c:dPt>
          <c:dPt>
            <c:idx val="7"/>
            <c:bubble3D val="0"/>
            <c:spPr>
              <a:solidFill>
                <a:srgbClr val="9933FF"/>
              </a:solidFill>
              <a:ln w="19050">
                <a:solidFill>
                  <a:schemeClr val="lt1"/>
                </a:solidFill>
              </a:ln>
              <a:effectLst/>
            </c:spPr>
            <c:extLst>
              <c:ext xmlns:c16="http://schemas.microsoft.com/office/drawing/2014/chart" uri="{C3380CC4-5D6E-409C-BE32-E72D297353CC}">
                <c16:uniqueId val="{0000000F-46CD-4C2F-8E98-F8825C5E65E9}"/>
              </c:ext>
            </c:extLst>
          </c:dPt>
          <c:dPt>
            <c:idx val="8"/>
            <c:bubble3D val="0"/>
            <c:spPr>
              <a:solidFill>
                <a:srgbClr val="9933FF"/>
              </a:solidFill>
              <a:ln w="19050">
                <a:solidFill>
                  <a:schemeClr val="lt1"/>
                </a:solidFill>
              </a:ln>
              <a:effectLst/>
            </c:spPr>
            <c:extLst>
              <c:ext xmlns:c16="http://schemas.microsoft.com/office/drawing/2014/chart" uri="{C3380CC4-5D6E-409C-BE32-E72D297353CC}">
                <c16:uniqueId val="{00000011-46CD-4C2F-8E98-F8825C5E65E9}"/>
              </c:ext>
            </c:extLst>
          </c:dPt>
          <c:dPt>
            <c:idx val="9"/>
            <c:bubble3D val="0"/>
            <c:spPr>
              <a:solidFill>
                <a:srgbClr val="9933FF"/>
              </a:solidFill>
              <a:ln w="19050">
                <a:solidFill>
                  <a:schemeClr val="lt1"/>
                </a:solidFill>
              </a:ln>
              <a:effectLst/>
            </c:spPr>
            <c:extLst>
              <c:ext xmlns:c16="http://schemas.microsoft.com/office/drawing/2014/chart" uri="{C3380CC4-5D6E-409C-BE32-E72D297353CC}">
                <c16:uniqueId val="{00000013-46CD-4C2F-8E98-F8825C5E65E9}"/>
              </c:ext>
            </c:extLst>
          </c:dPt>
          <c:dPt>
            <c:idx val="10"/>
            <c:bubble3D val="0"/>
            <c:spPr>
              <a:solidFill>
                <a:srgbClr val="9933FF"/>
              </a:solidFill>
              <a:ln w="19050">
                <a:solidFill>
                  <a:schemeClr val="lt1"/>
                </a:solidFill>
              </a:ln>
              <a:effectLst/>
            </c:spPr>
            <c:extLst>
              <c:ext xmlns:c16="http://schemas.microsoft.com/office/drawing/2014/chart" uri="{C3380CC4-5D6E-409C-BE32-E72D297353CC}">
                <c16:uniqueId val="{00000015-46CD-4C2F-8E98-F8825C5E65E9}"/>
              </c:ext>
            </c:extLst>
          </c:dPt>
          <c:dPt>
            <c:idx val="11"/>
            <c:bubble3D val="0"/>
            <c:spPr>
              <a:solidFill>
                <a:srgbClr val="9933FF"/>
              </a:solidFill>
              <a:ln w="19050">
                <a:solidFill>
                  <a:schemeClr val="lt1"/>
                </a:solidFill>
              </a:ln>
              <a:effectLst/>
            </c:spPr>
            <c:extLst>
              <c:ext xmlns:c16="http://schemas.microsoft.com/office/drawing/2014/chart" uri="{C3380CC4-5D6E-409C-BE32-E72D297353CC}">
                <c16:uniqueId val="{00000017-46CD-4C2F-8E98-F8825C5E65E9}"/>
              </c:ext>
            </c:extLst>
          </c:dPt>
          <c:dPt>
            <c:idx val="12"/>
            <c:bubble3D val="0"/>
            <c:spPr>
              <a:solidFill>
                <a:srgbClr val="9933FF"/>
              </a:solidFill>
              <a:ln w="19050">
                <a:solidFill>
                  <a:schemeClr val="lt1"/>
                </a:solidFill>
              </a:ln>
              <a:effectLst/>
            </c:spPr>
            <c:extLst>
              <c:ext xmlns:c16="http://schemas.microsoft.com/office/drawing/2014/chart" uri="{C3380CC4-5D6E-409C-BE32-E72D297353CC}">
                <c16:uniqueId val="{00000019-46CD-4C2F-8E98-F8825C5E65E9}"/>
              </c:ext>
            </c:extLst>
          </c:dPt>
          <c:dPt>
            <c:idx val="13"/>
            <c:bubble3D val="0"/>
            <c:spPr>
              <a:solidFill>
                <a:srgbClr val="9933FF"/>
              </a:solidFill>
              <a:ln w="19050">
                <a:solidFill>
                  <a:schemeClr val="lt1"/>
                </a:solidFill>
              </a:ln>
              <a:effectLst/>
            </c:spPr>
            <c:extLst>
              <c:ext xmlns:c16="http://schemas.microsoft.com/office/drawing/2014/chart" uri="{C3380CC4-5D6E-409C-BE32-E72D297353CC}">
                <c16:uniqueId val="{0000001B-46CD-4C2F-8E98-F8825C5E65E9}"/>
              </c:ext>
            </c:extLst>
          </c:dPt>
          <c:dPt>
            <c:idx val="14"/>
            <c:bubble3D val="0"/>
            <c:spPr>
              <a:solidFill>
                <a:srgbClr val="9933FF"/>
              </a:solidFill>
              <a:ln w="19050">
                <a:solidFill>
                  <a:schemeClr val="lt1"/>
                </a:solidFill>
              </a:ln>
              <a:effectLst/>
            </c:spPr>
            <c:extLst>
              <c:ext xmlns:c16="http://schemas.microsoft.com/office/drawing/2014/chart" uri="{C3380CC4-5D6E-409C-BE32-E72D297353CC}">
                <c16:uniqueId val="{0000001D-46CD-4C2F-8E98-F8825C5E65E9}"/>
              </c:ext>
            </c:extLst>
          </c:dPt>
          <c:dPt>
            <c:idx val="15"/>
            <c:bubble3D val="0"/>
            <c:spPr>
              <a:solidFill>
                <a:srgbClr val="9933FF"/>
              </a:solidFill>
              <a:ln w="19050">
                <a:solidFill>
                  <a:schemeClr val="lt1"/>
                </a:solidFill>
              </a:ln>
              <a:effectLst/>
            </c:spPr>
            <c:extLst>
              <c:ext xmlns:c16="http://schemas.microsoft.com/office/drawing/2014/chart" uri="{C3380CC4-5D6E-409C-BE32-E72D297353CC}">
                <c16:uniqueId val="{0000001F-46CD-4C2F-8E98-F8825C5E65E9}"/>
              </c:ext>
            </c:extLst>
          </c:dPt>
          <c:dPt>
            <c:idx val="16"/>
            <c:bubble3D val="0"/>
            <c:spPr>
              <a:solidFill>
                <a:srgbClr val="9933FF"/>
              </a:solidFill>
              <a:ln w="19050">
                <a:solidFill>
                  <a:schemeClr val="lt1"/>
                </a:solidFill>
              </a:ln>
              <a:effectLst/>
            </c:spPr>
            <c:extLst>
              <c:ext xmlns:c16="http://schemas.microsoft.com/office/drawing/2014/chart" uri="{C3380CC4-5D6E-409C-BE32-E72D297353CC}">
                <c16:uniqueId val="{00000021-46CD-4C2F-8E98-F8825C5E65E9}"/>
              </c:ext>
            </c:extLst>
          </c:dPt>
          <c:dPt>
            <c:idx val="17"/>
            <c:bubble3D val="0"/>
            <c:spPr>
              <a:solidFill>
                <a:srgbClr val="9933FF"/>
              </a:solidFill>
              <a:ln w="19050">
                <a:solidFill>
                  <a:schemeClr val="lt1"/>
                </a:solidFill>
              </a:ln>
              <a:effectLst/>
            </c:spPr>
            <c:extLst>
              <c:ext xmlns:c16="http://schemas.microsoft.com/office/drawing/2014/chart" uri="{C3380CC4-5D6E-409C-BE32-E72D297353CC}">
                <c16:uniqueId val="{00000023-46CD-4C2F-8E98-F8825C5E65E9}"/>
              </c:ext>
            </c:extLst>
          </c:dPt>
          <c:dPt>
            <c:idx val="18"/>
            <c:bubble3D val="0"/>
            <c:spPr>
              <a:solidFill>
                <a:srgbClr val="9933FF"/>
              </a:solidFill>
              <a:ln w="19050">
                <a:solidFill>
                  <a:schemeClr val="lt1"/>
                </a:solidFill>
              </a:ln>
              <a:effectLst/>
            </c:spPr>
            <c:extLst>
              <c:ext xmlns:c16="http://schemas.microsoft.com/office/drawing/2014/chart" uri="{C3380CC4-5D6E-409C-BE32-E72D297353CC}">
                <c16:uniqueId val="{00000025-46CD-4C2F-8E98-F8825C5E65E9}"/>
              </c:ext>
            </c:extLst>
          </c:dPt>
          <c:dPt>
            <c:idx val="19"/>
            <c:bubble3D val="0"/>
            <c:spPr>
              <a:solidFill>
                <a:srgbClr val="9933FF"/>
              </a:solidFill>
              <a:ln w="19050">
                <a:solidFill>
                  <a:schemeClr val="lt1"/>
                </a:solidFill>
              </a:ln>
              <a:effectLst/>
            </c:spPr>
            <c:extLst>
              <c:ext xmlns:c16="http://schemas.microsoft.com/office/drawing/2014/chart" uri="{C3380CC4-5D6E-409C-BE32-E72D297353CC}">
                <c16:uniqueId val="{00000027-46CD-4C2F-8E98-F8825C5E65E9}"/>
              </c:ext>
            </c:extLst>
          </c:dPt>
          <c:dPt>
            <c:idx val="20"/>
            <c:bubble3D val="0"/>
            <c:spPr>
              <a:solidFill>
                <a:srgbClr val="9933FF"/>
              </a:solidFill>
              <a:ln w="19050">
                <a:solidFill>
                  <a:schemeClr val="lt1"/>
                </a:solidFill>
              </a:ln>
              <a:effectLst/>
            </c:spPr>
            <c:extLst>
              <c:ext xmlns:c16="http://schemas.microsoft.com/office/drawing/2014/chart" uri="{C3380CC4-5D6E-409C-BE32-E72D297353CC}">
                <c16:uniqueId val="{00000029-46CD-4C2F-8E98-F8825C5E65E9}"/>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46CD-4C2F-8E98-F8825C5E65E9}"/>
            </c:ext>
          </c:extLst>
        </c:ser>
        <c:dLbls>
          <c:showLegendKey val="0"/>
          <c:showVal val="0"/>
          <c:showCatName val="0"/>
          <c:showSerName val="0"/>
          <c:showPercent val="0"/>
          <c:showBubbleSize val="0"/>
          <c:showLeaderLines val="0"/>
        </c:dLbls>
        <c:firstSliceAng val="0"/>
        <c:holeSize val="68"/>
      </c:doughnutChart>
      <c:doughnutChart>
        <c:varyColors val="1"/>
        <c:ser>
          <c:idx val="1"/>
          <c:order val="1"/>
          <c:tx>
            <c:strRef>
              <c:f>'12. Executive Summary'!$H$6</c:f>
              <c:strCache>
                <c:ptCount val="1"/>
                <c:pt idx="0">
                  <c:v>Quantitative</c:v>
                </c:pt>
              </c:strCache>
            </c:strRef>
          </c:tx>
          <c:dPt>
            <c:idx val="0"/>
            <c:bubble3D val="0"/>
            <c:spPr>
              <a:noFill/>
            </c:spPr>
            <c:extLst>
              <c:ext xmlns:c16="http://schemas.microsoft.com/office/drawing/2014/chart" uri="{C3380CC4-5D6E-409C-BE32-E72D297353CC}">
                <c16:uniqueId val="{0000002E-969B-47E5-A1D6-831869154BE9}"/>
              </c:ext>
            </c:extLst>
          </c:dPt>
          <c:dPt>
            <c:idx val="1"/>
            <c:bubble3D val="0"/>
            <c:spPr>
              <a:solidFill>
                <a:schemeClr val="bg1">
                  <a:alpha val="80000"/>
                </a:schemeClr>
              </a:solidFill>
            </c:spPr>
            <c:extLst>
              <c:ext xmlns:c16="http://schemas.microsoft.com/office/drawing/2014/chart" uri="{C3380CC4-5D6E-409C-BE32-E72D297353CC}">
                <c16:uniqueId val="{0000002F-969B-47E5-A1D6-831869154BE9}"/>
              </c:ext>
            </c:extLst>
          </c:dPt>
          <c:val>
            <c:numRef>
              <c:f>'12. Executive Summary'!$I$6:$J$6</c:f>
              <c:numCache>
                <c:formatCode>0.0%</c:formatCode>
                <c:ptCount val="2"/>
                <c:pt idx="0">
                  <c:v>0.36666666666666664</c:v>
                </c:pt>
                <c:pt idx="1">
                  <c:v>0.6333333333333333</c:v>
                </c:pt>
              </c:numCache>
            </c:numRef>
          </c:val>
          <c:extLst>
            <c:ext xmlns:c16="http://schemas.microsoft.com/office/drawing/2014/chart" uri="{C3380CC4-5D6E-409C-BE32-E72D297353CC}">
              <c16:uniqueId val="{0000002D-969B-47E5-A1D6-831869154BE9}"/>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FF9900"/>
            </a:solidFill>
          </c:spPr>
          <c:dPt>
            <c:idx val="0"/>
            <c:bubble3D val="0"/>
            <c:spPr>
              <a:solidFill>
                <a:srgbClr val="FF9900"/>
              </a:solidFill>
              <a:ln w="19050">
                <a:solidFill>
                  <a:schemeClr val="lt1"/>
                </a:solidFill>
              </a:ln>
              <a:effectLst/>
            </c:spPr>
            <c:extLst>
              <c:ext xmlns:c16="http://schemas.microsoft.com/office/drawing/2014/chart" uri="{C3380CC4-5D6E-409C-BE32-E72D297353CC}">
                <c16:uniqueId val="{00000001-8457-4BAB-9517-CEA2C927AA9F}"/>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8457-4BAB-9517-CEA2C927AA9F}"/>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5-8457-4BAB-9517-CEA2C927AA9F}"/>
              </c:ext>
            </c:extLst>
          </c:dPt>
          <c:dPt>
            <c:idx val="3"/>
            <c:bubble3D val="0"/>
            <c:spPr>
              <a:solidFill>
                <a:srgbClr val="FF9900"/>
              </a:solidFill>
              <a:ln w="19050">
                <a:solidFill>
                  <a:schemeClr val="lt1"/>
                </a:solidFill>
              </a:ln>
              <a:effectLst/>
            </c:spPr>
            <c:extLst>
              <c:ext xmlns:c16="http://schemas.microsoft.com/office/drawing/2014/chart" uri="{C3380CC4-5D6E-409C-BE32-E72D297353CC}">
                <c16:uniqueId val="{00000007-8457-4BAB-9517-CEA2C927AA9F}"/>
              </c:ext>
            </c:extLst>
          </c:dPt>
          <c:dPt>
            <c:idx val="4"/>
            <c:bubble3D val="0"/>
            <c:spPr>
              <a:solidFill>
                <a:srgbClr val="FF9900"/>
              </a:solidFill>
              <a:ln w="19050">
                <a:solidFill>
                  <a:schemeClr val="lt1"/>
                </a:solidFill>
              </a:ln>
              <a:effectLst/>
            </c:spPr>
            <c:extLst>
              <c:ext xmlns:c16="http://schemas.microsoft.com/office/drawing/2014/chart" uri="{C3380CC4-5D6E-409C-BE32-E72D297353CC}">
                <c16:uniqueId val="{00000009-8457-4BAB-9517-CEA2C927AA9F}"/>
              </c:ext>
            </c:extLst>
          </c:dPt>
          <c:dPt>
            <c:idx val="5"/>
            <c:bubble3D val="0"/>
            <c:spPr>
              <a:solidFill>
                <a:srgbClr val="FF9900"/>
              </a:solidFill>
              <a:ln w="19050">
                <a:solidFill>
                  <a:schemeClr val="lt1"/>
                </a:solidFill>
              </a:ln>
              <a:effectLst/>
            </c:spPr>
            <c:extLst>
              <c:ext xmlns:c16="http://schemas.microsoft.com/office/drawing/2014/chart" uri="{C3380CC4-5D6E-409C-BE32-E72D297353CC}">
                <c16:uniqueId val="{0000000B-8457-4BAB-9517-CEA2C927AA9F}"/>
              </c:ext>
            </c:extLst>
          </c:dPt>
          <c:dPt>
            <c:idx val="6"/>
            <c:bubble3D val="0"/>
            <c:spPr>
              <a:solidFill>
                <a:srgbClr val="FF9900"/>
              </a:solidFill>
              <a:ln w="19050">
                <a:solidFill>
                  <a:schemeClr val="lt1"/>
                </a:solidFill>
              </a:ln>
              <a:effectLst/>
            </c:spPr>
            <c:extLst>
              <c:ext xmlns:c16="http://schemas.microsoft.com/office/drawing/2014/chart" uri="{C3380CC4-5D6E-409C-BE32-E72D297353CC}">
                <c16:uniqueId val="{0000000D-8457-4BAB-9517-CEA2C927AA9F}"/>
              </c:ext>
            </c:extLst>
          </c:dPt>
          <c:dPt>
            <c:idx val="7"/>
            <c:bubble3D val="0"/>
            <c:spPr>
              <a:solidFill>
                <a:srgbClr val="FF9900"/>
              </a:solidFill>
              <a:ln w="19050">
                <a:solidFill>
                  <a:schemeClr val="lt1"/>
                </a:solidFill>
              </a:ln>
              <a:effectLst/>
            </c:spPr>
            <c:extLst>
              <c:ext xmlns:c16="http://schemas.microsoft.com/office/drawing/2014/chart" uri="{C3380CC4-5D6E-409C-BE32-E72D297353CC}">
                <c16:uniqueId val="{0000000F-8457-4BAB-9517-CEA2C927AA9F}"/>
              </c:ext>
            </c:extLst>
          </c:dPt>
          <c:dPt>
            <c:idx val="8"/>
            <c:bubble3D val="0"/>
            <c:spPr>
              <a:solidFill>
                <a:srgbClr val="FF9900"/>
              </a:solidFill>
              <a:ln w="19050">
                <a:solidFill>
                  <a:schemeClr val="lt1"/>
                </a:solidFill>
              </a:ln>
              <a:effectLst/>
            </c:spPr>
            <c:extLst>
              <c:ext xmlns:c16="http://schemas.microsoft.com/office/drawing/2014/chart" uri="{C3380CC4-5D6E-409C-BE32-E72D297353CC}">
                <c16:uniqueId val="{00000011-8457-4BAB-9517-CEA2C927AA9F}"/>
              </c:ext>
            </c:extLst>
          </c:dPt>
          <c:dPt>
            <c:idx val="9"/>
            <c:bubble3D val="0"/>
            <c:spPr>
              <a:solidFill>
                <a:srgbClr val="FF9900"/>
              </a:solidFill>
              <a:ln w="19050">
                <a:solidFill>
                  <a:schemeClr val="lt1"/>
                </a:solidFill>
              </a:ln>
              <a:effectLst/>
            </c:spPr>
            <c:extLst>
              <c:ext xmlns:c16="http://schemas.microsoft.com/office/drawing/2014/chart" uri="{C3380CC4-5D6E-409C-BE32-E72D297353CC}">
                <c16:uniqueId val="{00000013-8457-4BAB-9517-CEA2C927AA9F}"/>
              </c:ext>
            </c:extLst>
          </c:dPt>
          <c:dPt>
            <c:idx val="10"/>
            <c:bubble3D val="0"/>
            <c:spPr>
              <a:solidFill>
                <a:srgbClr val="FF9900"/>
              </a:solidFill>
              <a:ln w="19050">
                <a:solidFill>
                  <a:schemeClr val="lt1"/>
                </a:solidFill>
              </a:ln>
              <a:effectLst/>
            </c:spPr>
            <c:extLst>
              <c:ext xmlns:c16="http://schemas.microsoft.com/office/drawing/2014/chart" uri="{C3380CC4-5D6E-409C-BE32-E72D297353CC}">
                <c16:uniqueId val="{00000015-8457-4BAB-9517-CEA2C927AA9F}"/>
              </c:ext>
            </c:extLst>
          </c:dPt>
          <c:dPt>
            <c:idx val="11"/>
            <c:bubble3D val="0"/>
            <c:spPr>
              <a:solidFill>
                <a:srgbClr val="FF9900"/>
              </a:solidFill>
              <a:ln w="19050">
                <a:solidFill>
                  <a:schemeClr val="lt1"/>
                </a:solidFill>
              </a:ln>
              <a:effectLst/>
            </c:spPr>
            <c:extLst>
              <c:ext xmlns:c16="http://schemas.microsoft.com/office/drawing/2014/chart" uri="{C3380CC4-5D6E-409C-BE32-E72D297353CC}">
                <c16:uniqueId val="{00000017-8457-4BAB-9517-CEA2C927AA9F}"/>
              </c:ext>
            </c:extLst>
          </c:dPt>
          <c:dPt>
            <c:idx val="12"/>
            <c:bubble3D val="0"/>
            <c:spPr>
              <a:solidFill>
                <a:srgbClr val="FF9900"/>
              </a:solidFill>
              <a:ln w="19050">
                <a:solidFill>
                  <a:schemeClr val="lt1"/>
                </a:solidFill>
              </a:ln>
              <a:effectLst/>
            </c:spPr>
            <c:extLst>
              <c:ext xmlns:c16="http://schemas.microsoft.com/office/drawing/2014/chart" uri="{C3380CC4-5D6E-409C-BE32-E72D297353CC}">
                <c16:uniqueId val="{00000019-8457-4BAB-9517-CEA2C927AA9F}"/>
              </c:ext>
            </c:extLst>
          </c:dPt>
          <c:dPt>
            <c:idx val="13"/>
            <c:bubble3D val="0"/>
            <c:spPr>
              <a:solidFill>
                <a:srgbClr val="FF9900"/>
              </a:solidFill>
              <a:ln w="19050">
                <a:solidFill>
                  <a:schemeClr val="lt1"/>
                </a:solidFill>
              </a:ln>
              <a:effectLst/>
            </c:spPr>
            <c:extLst>
              <c:ext xmlns:c16="http://schemas.microsoft.com/office/drawing/2014/chart" uri="{C3380CC4-5D6E-409C-BE32-E72D297353CC}">
                <c16:uniqueId val="{0000001B-8457-4BAB-9517-CEA2C927AA9F}"/>
              </c:ext>
            </c:extLst>
          </c:dPt>
          <c:dPt>
            <c:idx val="14"/>
            <c:bubble3D val="0"/>
            <c:spPr>
              <a:solidFill>
                <a:srgbClr val="FF9900"/>
              </a:solidFill>
              <a:ln w="19050">
                <a:solidFill>
                  <a:schemeClr val="lt1"/>
                </a:solidFill>
              </a:ln>
              <a:effectLst/>
            </c:spPr>
            <c:extLst>
              <c:ext xmlns:c16="http://schemas.microsoft.com/office/drawing/2014/chart" uri="{C3380CC4-5D6E-409C-BE32-E72D297353CC}">
                <c16:uniqueId val="{0000001D-8457-4BAB-9517-CEA2C927AA9F}"/>
              </c:ext>
            </c:extLst>
          </c:dPt>
          <c:dPt>
            <c:idx val="15"/>
            <c:bubble3D val="0"/>
            <c:spPr>
              <a:solidFill>
                <a:srgbClr val="FF9900"/>
              </a:solidFill>
              <a:ln w="19050">
                <a:solidFill>
                  <a:schemeClr val="lt1"/>
                </a:solidFill>
              </a:ln>
              <a:effectLst/>
            </c:spPr>
            <c:extLst>
              <c:ext xmlns:c16="http://schemas.microsoft.com/office/drawing/2014/chart" uri="{C3380CC4-5D6E-409C-BE32-E72D297353CC}">
                <c16:uniqueId val="{0000001F-8457-4BAB-9517-CEA2C927AA9F}"/>
              </c:ext>
            </c:extLst>
          </c:dPt>
          <c:dPt>
            <c:idx val="16"/>
            <c:bubble3D val="0"/>
            <c:spPr>
              <a:solidFill>
                <a:srgbClr val="FF9900"/>
              </a:solidFill>
              <a:ln w="19050">
                <a:solidFill>
                  <a:schemeClr val="lt1"/>
                </a:solidFill>
              </a:ln>
              <a:effectLst/>
            </c:spPr>
            <c:extLst>
              <c:ext xmlns:c16="http://schemas.microsoft.com/office/drawing/2014/chart" uri="{C3380CC4-5D6E-409C-BE32-E72D297353CC}">
                <c16:uniqueId val="{00000021-8457-4BAB-9517-CEA2C927AA9F}"/>
              </c:ext>
            </c:extLst>
          </c:dPt>
          <c:dPt>
            <c:idx val="17"/>
            <c:bubble3D val="0"/>
            <c:spPr>
              <a:solidFill>
                <a:srgbClr val="FF9900"/>
              </a:solidFill>
              <a:ln w="19050">
                <a:solidFill>
                  <a:schemeClr val="lt1"/>
                </a:solidFill>
              </a:ln>
              <a:effectLst/>
            </c:spPr>
            <c:extLst>
              <c:ext xmlns:c16="http://schemas.microsoft.com/office/drawing/2014/chart" uri="{C3380CC4-5D6E-409C-BE32-E72D297353CC}">
                <c16:uniqueId val="{00000023-8457-4BAB-9517-CEA2C927AA9F}"/>
              </c:ext>
            </c:extLst>
          </c:dPt>
          <c:dPt>
            <c:idx val="18"/>
            <c:bubble3D val="0"/>
            <c:spPr>
              <a:solidFill>
                <a:srgbClr val="FF9900"/>
              </a:solidFill>
              <a:ln w="19050">
                <a:solidFill>
                  <a:schemeClr val="lt1"/>
                </a:solidFill>
              </a:ln>
              <a:effectLst/>
            </c:spPr>
            <c:extLst>
              <c:ext xmlns:c16="http://schemas.microsoft.com/office/drawing/2014/chart" uri="{C3380CC4-5D6E-409C-BE32-E72D297353CC}">
                <c16:uniqueId val="{00000025-8457-4BAB-9517-CEA2C927AA9F}"/>
              </c:ext>
            </c:extLst>
          </c:dPt>
          <c:dPt>
            <c:idx val="19"/>
            <c:bubble3D val="0"/>
            <c:spPr>
              <a:solidFill>
                <a:srgbClr val="FF9900"/>
              </a:solidFill>
              <a:ln w="19050">
                <a:solidFill>
                  <a:schemeClr val="lt1"/>
                </a:solidFill>
              </a:ln>
              <a:effectLst/>
            </c:spPr>
            <c:extLst>
              <c:ext xmlns:c16="http://schemas.microsoft.com/office/drawing/2014/chart" uri="{C3380CC4-5D6E-409C-BE32-E72D297353CC}">
                <c16:uniqueId val="{00000027-8457-4BAB-9517-CEA2C927AA9F}"/>
              </c:ext>
            </c:extLst>
          </c:dPt>
          <c:dPt>
            <c:idx val="20"/>
            <c:bubble3D val="0"/>
            <c:spPr>
              <a:solidFill>
                <a:srgbClr val="FF9900"/>
              </a:solidFill>
              <a:ln w="19050">
                <a:solidFill>
                  <a:schemeClr val="lt1"/>
                </a:solidFill>
              </a:ln>
              <a:effectLst/>
            </c:spPr>
            <c:extLst>
              <c:ext xmlns:c16="http://schemas.microsoft.com/office/drawing/2014/chart" uri="{C3380CC4-5D6E-409C-BE32-E72D297353CC}">
                <c16:uniqueId val="{00000029-8457-4BAB-9517-CEA2C927AA9F}"/>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8457-4BAB-9517-CEA2C927AA9F}"/>
            </c:ext>
          </c:extLst>
        </c:ser>
        <c:dLbls>
          <c:showLegendKey val="0"/>
          <c:showVal val="0"/>
          <c:showCatName val="0"/>
          <c:showSerName val="0"/>
          <c:showPercent val="0"/>
          <c:showBubbleSize val="0"/>
          <c:showLeaderLines val="0"/>
        </c:dLbls>
        <c:firstSliceAng val="0"/>
        <c:holeSize val="68"/>
      </c:doughnutChart>
      <c:doughnutChart>
        <c:varyColors val="1"/>
        <c:ser>
          <c:idx val="1"/>
          <c:order val="1"/>
          <c:tx>
            <c:strRef>
              <c:f>'12. Executive Summary'!$H$7</c:f>
              <c:strCache>
                <c:ptCount val="1"/>
                <c:pt idx="0">
                  <c:v>Qualitative</c:v>
                </c:pt>
              </c:strCache>
            </c:strRef>
          </c:tx>
          <c:dPt>
            <c:idx val="0"/>
            <c:bubble3D val="0"/>
            <c:spPr>
              <a:noFill/>
            </c:spPr>
            <c:extLst>
              <c:ext xmlns:c16="http://schemas.microsoft.com/office/drawing/2014/chart" uri="{C3380CC4-5D6E-409C-BE32-E72D297353CC}">
                <c16:uniqueId val="{0000002B-89BD-4716-870C-4E7E892DAAA9}"/>
              </c:ext>
            </c:extLst>
          </c:dPt>
          <c:dPt>
            <c:idx val="1"/>
            <c:bubble3D val="0"/>
            <c:spPr>
              <a:solidFill>
                <a:schemeClr val="bg1">
                  <a:alpha val="78000"/>
                </a:schemeClr>
              </a:solidFill>
            </c:spPr>
            <c:extLst>
              <c:ext xmlns:c16="http://schemas.microsoft.com/office/drawing/2014/chart" uri="{C3380CC4-5D6E-409C-BE32-E72D297353CC}">
                <c16:uniqueId val="{0000002C-89BD-4716-870C-4E7E892DAAA9}"/>
              </c:ext>
            </c:extLst>
          </c:dPt>
          <c:val>
            <c:numRef>
              <c:f>'12. Executive Summary'!$I$7:$J$7</c:f>
              <c:numCache>
                <c:formatCode>0.0%</c:formatCode>
                <c:ptCount val="2"/>
                <c:pt idx="0">
                  <c:v>0.71250000000000002</c:v>
                </c:pt>
                <c:pt idx="1">
                  <c:v>0.28749999999999998</c:v>
                </c:pt>
              </c:numCache>
            </c:numRef>
          </c:val>
          <c:extLst>
            <c:ext xmlns:c16="http://schemas.microsoft.com/office/drawing/2014/chart" uri="{C3380CC4-5D6E-409C-BE32-E72D297353CC}">
              <c16:uniqueId val="{0000002A-89BD-4716-870C-4E7E892DAAA9}"/>
            </c:ext>
          </c:extLst>
        </c:ser>
        <c:dLbls>
          <c:showLegendKey val="0"/>
          <c:showVal val="0"/>
          <c:showCatName val="0"/>
          <c:showSerName val="0"/>
          <c:showPercent val="0"/>
          <c:showBubbleSize val="0"/>
          <c:showLeaderLines val="0"/>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39484703821247"/>
          <c:y val="7.3647718238696633E-2"/>
          <c:w val="0.80699425670644465"/>
          <c:h val="0.6122966911772455"/>
        </c:manualLayout>
      </c:layout>
      <c:lineChart>
        <c:grouping val="standard"/>
        <c:varyColors val="0"/>
        <c:ser>
          <c:idx val="0"/>
          <c:order val="0"/>
          <c:tx>
            <c:strRef>
              <c:f>'Final Graph'!$C$4</c:f>
              <c:strCache>
                <c:ptCount val="1"/>
                <c:pt idx="0">
                  <c:v>Debt Equity</c:v>
                </c:pt>
              </c:strCache>
            </c:strRef>
          </c:tx>
          <c:spPr>
            <a:ln w="19050" cap="rnd">
              <a:solidFill>
                <a:srgbClr val="3366FF"/>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Graph'!$F$4:$H$4</c:f>
              <c:numCache>
                <c:formatCode>0.0</c:formatCode>
                <c:ptCount val="3"/>
                <c:pt idx="0">
                  <c:v>3.199355260869682</c:v>
                </c:pt>
                <c:pt idx="1">
                  <c:v>3.49246800438259</c:v>
                </c:pt>
                <c:pt idx="2">
                  <c:v>3.9252586061418495</c:v>
                </c:pt>
              </c:numCache>
            </c:numRef>
          </c:val>
          <c:smooth val="0"/>
          <c:extLst>
            <c:ext xmlns:c16="http://schemas.microsoft.com/office/drawing/2014/chart" uri="{C3380CC4-5D6E-409C-BE32-E72D297353CC}">
              <c16:uniqueId val="{00000000-F22D-4320-A588-1094A31BCFDF}"/>
            </c:ext>
          </c:extLst>
        </c:ser>
        <c:ser>
          <c:idx val="1"/>
          <c:order val="1"/>
          <c:tx>
            <c:strRef>
              <c:f>'Final Graph'!$C$5</c:f>
              <c:strCache>
                <c:ptCount val="1"/>
                <c:pt idx="0">
                  <c:v>Total Financial Debt</c:v>
                </c:pt>
              </c:strCache>
            </c:strRef>
          </c:tx>
          <c:spPr>
            <a:ln w="12700"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Graph'!$D$5:$F$5</c:f>
            </c:numRef>
          </c:val>
          <c:smooth val="0"/>
          <c:extLst>
            <c:ext xmlns:c16="http://schemas.microsoft.com/office/drawing/2014/chart" uri="{C3380CC4-5D6E-409C-BE32-E72D297353CC}">
              <c16:uniqueId val="{00000001-F22D-4320-A588-1094A31BCFDF}"/>
            </c:ext>
          </c:extLst>
        </c:ser>
        <c:ser>
          <c:idx val="2"/>
          <c:order val="2"/>
          <c:tx>
            <c:strRef>
              <c:f>'Final Graph'!$C$6</c:f>
              <c:strCache>
                <c:ptCount val="1"/>
                <c:pt idx="0">
                  <c:v>Total Tangible Net Worth</c:v>
                </c:pt>
              </c:strCache>
            </c:strRef>
          </c:tx>
          <c:spPr>
            <a:ln w="12700"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Graph'!$D$6:$F$6</c:f>
            </c:numRef>
          </c:val>
          <c:smooth val="0"/>
          <c:extLst>
            <c:ext xmlns:c16="http://schemas.microsoft.com/office/drawing/2014/chart" uri="{C3380CC4-5D6E-409C-BE32-E72D297353CC}">
              <c16:uniqueId val="{00000002-F22D-4320-A588-1094A31BCFDF}"/>
            </c:ext>
          </c:extLst>
        </c:ser>
        <c:ser>
          <c:idx val="3"/>
          <c:order val="3"/>
          <c:tx>
            <c:strRef>
              <c:f>'Final Graph'!$C$7</c:f>
              <c:strCache>
                <c:ptCount val="1"/>
                <c:pt idx="0">
                  <c:v>Debt to Assets</c:v>
                </c:pt>
              </c:strCache>
            </c:strRef>
          </c:tx>
          <c:spPr>
            <a:ln w="22225"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Graph'!$F$7:$H$7</c:f>
              <c:numCache>
                <c:formatCode>0.0</c:formatCode>
                <c:ptCount val="3"/>
                <c:pt idx="0">
                  <c:v>0.70931830384274286</c:v>
                </c:pt>
                <c:pt idx="1">
                  <c:v>0.74091911134311206</c:v>
                </c:pt>
                <c:pt idx="2">
                  <c:v>0.78528910732277912</c:v>
                </c:pt>
              </c:numCache>
            </c:numRef>
          </c:val>
          <c:smooth val="0"/>
          <c:extLst>
            <c:ext xmlns:c16="http://schemas.microsoft.com/office/drawing/2014/chart" uri="{C3380CC4-5D6E-409C-BE32-E72D297353CC}">
              <c16:uniqueId val="{00000003-F22D-4320-A588-1094A31BCFDF}"/>
            </c:ext>
          </c:extLst>
        </c:ser>
        <c:ser>
          <c:idx val="4"/>
          <c:order val="4"/>
          <c:tx>
            <c:strRef>
              <c:f>'Final Graph'!$C$8</c:f>
              <c:strCache>
                <c:ptCount val="1"/>
                <c:pt idx="0">
                  <c:v>Total Financial Debt</c:v>
                </c:pt>
              </c:strCache>
            </c:strRef>
          </c:tx>
          <c:spPr>
            <a:ln w="28575" cap="rnd">
              <a:solidFill>
                <a:schemeClr val="accent3">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Graph'!$D$8:$F$8</c:f>
            </c:numRef>
          </c:val>
          <c:smooth val="0"/>
          <c:extLst>
            <c:ext xmlns:c16="http://schemas.microsoft.com/office/drawing/2014/chart" uri="{C3380CC4-5D6E-409C-BE32-E72D297353CC}">
              <c16:uniqueId val="{00000004-F22D-4320-A588-1094A31BCFDF}"/>
            </c:ext>
          </c:extLst>
        </c:ser>
        <c:ser>
          <c:idx val="5"/>
          <c:order val="5"/>
          <c:tx>
            <c:strRef>
              <c:f>'Final Graph'!$C$9</c:f>
              <c:strCache>
                <c:ptCount val="1"/>
                <c:pt idx="0">
                  <c:v>Total Assets</c:v>
                </c:pt>
              </c:strCache>
            </c:strRef>
          </c:tx>
          <c:spPr>
            <a:ln w="28575" cap="rnd">
              <a:solidFill>
                <a:schemeClr val="accent5">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Graph'!$D$9:$F$9</c:f>
            </c:numRef>
          </c:val>
          <c:smooth val="0"/>
          <c:extLst>
            <c:ext xmlns:c16="http://schemas.microsoft.com/office/drawing/2014/chart" uri="{C3380CC4-5D6E-409C-BE32-E72D297353CC}">
              <c16:uniqueId val="{00000005-F22D-4320-A588-1094A31BCFDF}"/>
            </c:ext>
          </c:extLst>
        </c:ser>
        <c:ser>
          <c:idx val="6"/>
          <c:order val="6"/>
          <c:tx>
            <c:strRef>
              <c:f>'Final Graph'!$C$10</c:f>
              <c:strCache>
                <c:ptCount val="1"/>
                <c:pt idx="0">
                  <c:v>Cash Ratio</c:v>
                </c:pt>
              </c:strCache>
            </c:strRef>
          </c:tx>
          <c:spPr>
            <a:ln w="22225" cap="rnd">
              <a:solidFill>
                <a:schemeClr val="accent6">
                  <a:lumMod val="75000"/>
                </a:schemeClr>
              </a:solidFill>
              <a:prstDash val="dash"/>
              <a:round/>
            </a:ln>
            <a:effectLst/>
          </c:spPr>
          <c:marker>
            <c:symbol val="none"/>
          </c:marker>
          <c:cat>
            <c:numRef>
              <c:f>'Final Graph'!$F$3:$H$3</c:f>
              <c:numCache>
                <c:formatCode>General</c:formatCode>
                <c:ptCount val="3"/>
                <c:pt idx="0">
                  <c:v>2023</c:v>
                </c:pt>
                <c:pt idx="1">
                  <c:v>2024</c:v>
                </c:pt>
                <c:pt idx="2">
                  <c:v>2025</c:v>
                </c:pt>
              </c:numCache>
            </c:numRef>
          </c:cat>
          <c:val>
            <c:numRef>
              <c:f>'Final Graph'!$F$10:$H$10</c:f>
              <c:numCache>
                <c:formatCode>0.0</c:formatCode>
                <c:ptCount val="3"/>
                <c:pt idx="0">
                  <c:v>8.3231700402745905E-3</c:v>
                </c:pt>
                <c:pt idx="1">
                  <c:v>1.442501347030347E-2</c:v>
                </c:pt>
                <c:pt idx="2">
                  <c:v>6.1472340974284764E-3</c:v>
                </c:pt>
              </c:numCache>
            </c:numRef>
          </c:val>
          <c:smooth val="0"/>
          <c:extLst>
            <c:ext xmlns:c16="http://schemas.microsoft.com/office/drawing/2014/chart" uri="{C3380CC4-5D6E-409C-BE32-E72D297353CC}">
              <c16:uniqueId val="{00000006-F22D-4320-A588-1094A31BCFDF}"/>
            </c:ext>
          </c:extLst>
        </c:ser>
        <c:ser>
          <c:idx val="7"/>
          <c:order val="7"/>
          <c:tx>
            <c:strRef>
              <c:f>'Final Graph'!$C$11</c:f>
              <c:strCache>
                <c:ptCount val="1"/>
                <c:pt idx="0">
                  <c:v>Current Ratio</c:v>
                </c:pt>
              </c:strCache>
            </c:strRef>
          </c:tx>
          <c:spPr>
            <a:ln w="19050" cap="rnd">
              <a:solidFill>
                <a:schemeClr val="accent3">
                  <a:lumMod val="80000"/>
                  <a:lumOff val="2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Graph'!$F$11:$H$11</c:f>
              <c:numCache>
                <c:formatCode>0.0</c:formatCode>
                <c:ptCount val="3"/>
                <c:pt idx="0">
                  <c:v>1.0849472454475959</c:v>
                </c:pt>
                <c:pt idx="1">
                  <c:v>1.027609585035133</c:v>
                </c:pt>
                <c:pt idx="2">
                  <c:v>1.040552151554528</c:v>
                </c:pt>
              </c:numCache>
            </c:numRef>
          </c:val>
          <c:smooth val="0"/>
          <c:extLst>
            <c:ext xmlns:c16="http://schemas.microsoft.com/office/drawing/2014/chart" uri="{C3380CC4-5D6E-409C-BE32-E72D297353CC}">
              <c16:uniqueId val="{00000007-F22D-4320-A588-1094A31BCFDF}"/>
            </c:ext>
          </c:extLst>
        </c:ser>
        <c:dLbls>
          <c:showLegendKey val="0"/>
          <c:showVal val="0"/>
          <c:showCatName val="0"/>
          <c:showSerName val="0"/>
          <c:showPercent val="0"/>
          <c:showBubbleSize val="0"/>
        </c:dLbls>
        <c:smooth val="0"/>
        <c:axId val="1729145328"/>
        <c:axId val="1729143696"/>
      </c:lineChart>
      <c:catAx>
        <c:axId val="17291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29143696"/>
        <c:crosses val="autoZero"/>
        <c:auto val="1"/>
        <c:lblAlgn val="ctr"/>
        <c:lblOffset val="100"/>
        <c:noMultiLvlLbl val="0"/>
      </c:catAx>
      <c:valAx>
        <c:axId val="17291436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29145328"/>
        <c:crosses val="autoZero"/>
        <c:crossBetween val="between"/>
      </c:valAx>
      <c:spPr>
        <a:noFill/>
        <a:ln>
          <a:noFill/>
        </a:ln>
        <a:effectLst/>
      </c:spPr>
    </c:plotArea>
    <c:legend>
      <c:legendPos val="b"/>
      <c:layout>
        <c:manualLayout>
          <c:xMode val="edge"/>
          <c:yMode val="edge"/>
          <c:x val="5.1765528501609252E-2"/>
          <c:y val="0.76818524009051325"/>
          <c:w val="0.8918773324116368"/>
          <c:h val="0.192599063298026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677908863060674"/>
          <c:y val="7.3333333333334194E-2"/>
          <c:w val="0.788893396368473"/>
          <c:h val="0.65259788680261122"/>
        </c:manualLayout>
      </c:layout>
      <c:lineChart>
        <c:grouping val="stacked"/>
        <c:varyColors val="0"/>
        <c:ser>
          <c:idx val="0"/>
          <c:order val="0"/>
          <c:tx>
            <c:strRef>
              <c:f>'Final Graph'!$C$15</c:f>
              <c:strCache>
                <c:ptCount val="1"/>
                <c:pt idx="0">
                  <c:v>Net Profit Margin</c:v>
                </c:pt>
              </c:strCache>
            </c:strRef>
          </c:tx>
          <c:spPr>
            <a:ln w="28575" cap="rnd">
              <a:solidFill>
                <a:srgbClr val="00B0F0"/>
              </a:solidFill>
              <a:round/>
            </a:ln>
            <a:effectLst/>
          </c:spPr>
          <c:marker>
            <c:symbol val="circle"/>
            <c:size val="5"/>
            <c:spPr>
              <a:solidFill>
                <a:schemeClr val="accent1"/>
              </a:solidFill>
              <a:ln w="9525">
                <a:solidFill>
                  <a:srgbClr val="00B0F0"/>
                </a:solidFill>
              </a:ln>
              <a:effectLst/>
            </c:spPr>
          </c:marker>
          <c:cat>
            <c:numRef>
              <c:f>'Final Graph'!$F$3:$H$3</c:f>
              <c:numCache>
                <c:formatCode>General</c:formatCode>
                <c:ptCount val="3"/>
                <c:pt idx="0">
                  <c:v>2023</c:v>
                </c:pt>
                <c:pt idx="1">
                  <c:v>2024</c:v>
                </c:pt>
                <c:pt idx="2">
                  <c:v>2025</c:v>
                </c:pt>
              </c:numCache>
            </c:numRef>
          </c:cat>
          <c:val>
            <c:numRef>
              <c:f>'Final Graph'!$D$15:$H$15</c:f>
            </c:numRef>
          </c:val>
          <c:smooth val="0"/>
          <c:extLst>
            <c:ext xmlns:c16="http://schemas.microsoft.com/office/drawing/2014/chart" uri="{C3380CC4-5D6E-409C-BE32-E72D297353CC}">
              <c16:uniqueId val="{00000000-7959-4EAC-BB22-77F74509BCBB}"/>
            </c:ext>
          </c:extLst>
        </c:ser>
        <c:ser>
          <c:idx val="1"/>
          <c:order val="1"/>
          <c:tx>
            <c:strRef>
              <c:f>'Final Graph'!$C$16</c:f>
              <c:strCache>
                <c:ptCount val="1"/>
                <c:pt idx="0">
                  <c:v>Net profit after tax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numRef>
              <c:f>'Final Graph'!$F$3:$H$3</c:f>
              <c:numCache>
                <c:formatCode>General</c:formatCode>
                <c:ptCount val="3"/>
                <c:pt idx="0">
                  <c:v>2023</c:v>
                </c:pt>
                <c:pt idx="1">
                  <c:v>2024</c:v>
                </c:pt>
                <c:pt idx="2">
                  <c:v>2025</c:v>
                </c:pt>
              </c:numCache>
            </c:numRef>
          </c:cat>
          <c:val>
            <c:numRef>
              <c:f>'Final Graph'!$D$16:$H$16</c:f>
            </c:numRef>
          </c:val>
          <c:smooth val="0"/>
          <c:extLst>
            <c:ext xmlns:c16="http://schemas.microsoft.com/office/drawing/2014/chart" uri="{C3380CC4-5D6E-409C-BE32-E72D297353CC}">
              <c16:uniqueId val="{00000001-7959-4EAC-BB22-77F74509BCBB}"/>
            </c:ext>
          </c:extLst>
        </c:ser>
        <c:ser>
          <c:idx val="2"/>
          <c:order val="2"/>
          <c:tx>
            <c:strRef>
              <c:f>'Final Graph'!$C$17</c:f>
              <c:strCache>
                <c:ptCount val="1"/>
                <c:pt idx="0">
                  <c:v>Net Sales</c:v>
                </c:pt>
              </c:strCache>
            </c:strRef>
          </c:tx>
          <c:spPr>
            <a:ln w="28575"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Graph'!$D$17:$H$17</c:f>
            </c:numRef>
          </c:val>
          <c:smooth val="0"/>
          <c:extLst>
            <c:ext xmlns:c16="http://schemas.microsoft.com/office/drawing/2014/chart" uri="{C3380CC4-5D6E-409C-BE32-E72D297353CC}">
              <c16:uniqueId val="{00000002-7959-4EAC-BB22-77F74509BCBB}"/>
            </c:ext>
          </c:extLst>
        </c:ser>
        <c:ser>
          <c:idx val="3"/>
          <c:order val="3"/>
          <c:tx>
            <c:strRef>
              <c:f>'Final Graph'!$C$18</c:f>
              <c:strCache>
                <c:ptCount val="1"/>
                <c:pt idx="0">
                  <c:v>Return on Asset</c:v>
                </c:pt>
              </c:strCache>
            </c:strRef>
          </c:tx>
          <c:spPr>
            <a:ln w="22225" cap="rnd">
              <a:solidFill>
                <a:srgbClr val="FF9900"/>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Graph'!$D$18:$H$18</c:f>
              <c:numCache>
                <c:formatCode>0%</c:formatCode>
                <c:ptCount val="3"/>
                <c:pt idx="0">
                  <c:v>3.8740377616665149E-2</c:v>
                </c:pt>
                <c:pt idx="1">
                  <c:v>2.0455740448311707E-2</c:v>
                </c:pt>
                <c:pt idx="2">
                  <c:v>1.9426111026367571E-2</c:v>
                </c:pt>
              </c:numCache>
            </c:numRef>
          </c:val>
          <c:smooth val="0"/>
          <c:extLst>
            <c:ext xmlns:c16="http://schemas.microsoft.com/office/drawing/2014/chart" uri="{C3380CC4-5D6E-409C-BE32-E72D297353CC}">
              <c16:uniqueId val="{00000003-7959-4EAC-BB22-77F74509BCBB}"/>
            </c:ext>
          </c:extLst>
        </c:ser>
        <c:ser>
          <c:idx val="4"/>
          <c:order val="4"/>
          <c:tx>
            <c:strRef>
              <c:f>'Final Graph'!$C$19</c:f>
              <c:strCache>
                <c:ptCount val="1"/>
                <c:pt idx="0">
                  <c:v>Net profit after tax</c:v>
                </c:pt>
              </c:strCache>
            </c:strRef>
          </c:tx>
          <c:spPr>
            <a:ln w="15875"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Graph'!$D$19:$H$19</c:f>
            </c:numRef>
          </c:val>
          <c:smooth val="0"/>
          <c:extLst>
            <c:ext xmlns:c16="http://schemas.microsoft.com/office/drawing/2014/chart" uri="{C3380CC4-5D6E-409C-BE32-E72D297353CC}">
              <c16:uniqueId val="{00000004-7959-4EAC-BB22-77F74509BCBB}"/>
            </c:ext>
          </c:extLst>
        </c:ser>
        <c:ser>
          <c:idx val="5"/>
          <c:order val="5"/>
          <c:tx>
            <c:strRef>
              <c:f>'Final Graph'!$C$20</c:f>
              <c:strCache>
                <c:ptCount val="1"/>
                <c:pt idx="0">
                  <c:v>Average Total Assets</c:v>
                </c:pt>
              </c:strCache>
            </c:strRef>
          </c:tx>
          <c:spPr>
            <a:ln w="15875" cap="rnd">
              <a:solidFill>
                <a:schemeClr val="accent6"/>
              </a:solidFill>
              <a:round/>
            </a:ln>
            <a:effectLst/>
          </c:spPr>
          <c:marker>
            <c:symbol val="none"/>
          </c:marker>
          <c:cat>
            <c:numRef>
              <c:f>'Final Graph'!$F$3:$H$3</c:f>
              <c:numCache>
                <c:formatCode>General</c:formatCode>
                <c:ptCount val="3"/>
                <c:pt idx="0">
                  <c:v>2023</c:v>
                </c:pt>
                <c:pt idx="1">
                  <c:v>2024</c:v>
                </c:pt>
                <c:pt idx="2">
                  <c:v>2025</c:v>
                </c:pt>
              </c:numCache>
            </c:numRef>
          </c:cat>
          <c:val>
            <c:numRef>
              <c:f>'Final Graph'!$D$20:$H$20</c:f>
            </c:numRef>
          </c:val>
          <c:smooth val="0"/>
          <c:extLst>
            <c:ext xmlns:c16="http://schemas.microsoft.com/office/drawing/2014/chart" uri="{C3380CC4-5D6E-409C-BE32-E72D297353CC}">
              <c16:uniqueId val="{00000005-7959-4EAC-BB22-77F74509BCBB}"/>
            </c:ext>
          </c:extLst>
        </c:ser>
        <c:ser>
          <c:idx val="6"/>
          <c:order val="6"/>
          <c:tx>
            <c:strRef>
              <c:f>'Final Graph'!$C$21</c:f>
              <c:strCache>
                <c:ptCount val="1"/>
                <c:pt idx="0">
                  <c:v>Operating Profit to Operating Assets</c:v>
                </c:pt>
              </c:strCache>
            </c:strRef>
          </c:tx>
          <c:spPr>
            <a:ln w="25400"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Graph'!$D$21:$H$21</c:f>
              <c:numCache>
                <c:formatCode>0%</c:formatCode>
                <c:ptCount val="3"/>
                <c:pt idx="0">
                  <c:v>7.7093465735060207E-2</c:v>
                </c:pt>
                <c:pt idx="1">
                  <c:v>6.3539007832642477E-2</c:v>
                </c:pt>
                <c:pt idx="2">
                  <c:v>4.652054000911502E-2</c:v>
                </c:pt>
              </c:numCache>
            </c:numRef>
          </c:val>
          <c:smooth val="0"/>
          <c:extLst>
            <c:ext xmlns:c16="http://schemas.microsoft.com/office/drawing/2014/chart" uri="{C3380CC4-5D6E-409C-BE32-E72D297353CC}">
              <c16:uniqueId val="{00000006-7959-4EAC-BB22-77F74509BCBB}"/>
            </c:ext>
          </c:extLst>
        </c:ser>
        <c:dLbls>
          <c:showLegendKey val="0"/>
          <c:showVal val="0"/>
          <c:showCatName val="0"/>
          <c:showSerName val="0"/>
          <c:showPercent val="0"/>
          <c:showBubbleSize val="0"/>
        </c:dLbls>
        <c:smooth val="0"/>
        <c:axId val="1729138256"/>
        <c:axId val="1841524080"/>
      </c:lineChart>
      <c:catAx>
        <c:axId val="17291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1524080"/>
        <c:crosses val="autoZero"/>
        <c:auto val="1"/>
        <c:lblAlgn val="ctr"/>
        <c:lblOffset val="100"/>
        <c:noMultiLvlLbl val="0"/>
      </c:catAx>
      <c:valAx>
        <c:axId val="1841524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29138256"/>
        <c:crosses val="autoZero"/>
        <c:crossBetween val="between"/>
      </c:valAx>
      <c:spPr>
        <a:noFill/>
        <a:ln>
          <a:noFill/>
        </a:ln>
        <a:effectLst/>
      </c:spPr>
    </c:plotArea>
    <c:legend>
      <c:legendPos val="b"/>
      <c:layout>
        <c:manualLayout>
          <c:xMode val="edge"/>
          <c:yMode val="edge"/>
          <c:x val="0"/>
          <c:y val="0.82684110640016972"/>
          <c:w val="0.98932698461155377"/>
          <c:h val="0.1546402853489469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78512193018127"/>
          <c:y val="7.5213715708306483E-2"/>
          <c:w val="0.80535728808546758"/>
          <c:h val="0.6350993391745634"/>
        </c:manualLayout>
      </c:layout>
      <c:lineChart>
        <c:grouping val="stacked"/>
        <c:varyColors val="0"/>
        <c:ser>
          <c:idx val="0"/>
          <c:order val="0"/>
          <c:tx>
            <c:strRef>
              <c:f>'Final Graph'!$C$24</c:f>
              <c:strCache>
                <c:ptCount val="1"/>
                <c:pt idx="0">
                  <c:v>Interest Coverage</c:v>
                </c:pt>
              </c:strCache>
            </c:strRef>
          </c:tx>
          <c:spPr>
            <a:ln w="15875" cap="flat">
              <a:solidFill>
                <a:srgbClr val="00B0F0"/>
              </a:solidFill>
              <a:round/>
              <a:tailEnd w="sm" len="sm"/>
            </a:ln>
            <a:effectLst/>
          </c:spPr>
          <c:marker>
            <c:symbol val="circle"/>
            <c:size val="5"/>
            <c:spPr>
              <a:solidFill>
                <a:schemeClr val="accent1"/>
              </a:solidFill>
              <a:ln w="9525">
                <a:solidFill>
                  <a:srgbClr val="00B0F0"/>
                </a:solidFill>
              </a:ln>
              <a:effectLst/>
            </c:spPr>
          </c:marker>
          <c:dPt>
            <c:idx val="2"/>
            <c:bubble3D val="0"/>
            <c:spPr>
              <a:ln w="15875" cap="flat">
                <a:solidFill>
                  <a:srgbClr val="00B0F0"/>
                </a:solidFill>
                <a:round/>
                <a:tailEnd w="sm" len="sm"/>
              </a:ln>
              <a:effectLst/>
            </c:spPr>
            <c:extLst>
              <c:ext xmlns:c16="http://schemas.microsoft.com/office/drawing/2014/chart" uri="{C3380CC4-5D6E-409C-BE32-E72D297353CC}">
                <c16:uniqueId val="{00000000-0EAF-42F7-BA77-DAFDABA32AFE}"/>
              </c:ext>
            </c:extLst>
          </c:dPt>
          <c:cat>
            <c:numRef>
              <c:f>'Final Graph'!$F$3:$H$3</c:f>
              <c:numCache>
                <c:formatCode>General</c:formatCode>
                <c:ptCount val="3"/>
                <c:pt idx="0">
                  <c:v>2023</c:v>
                </c:pt>
                <c:pt idx="1">
                  <c:v>2024</c:v>
                </c:pt>
                <c:pt idx="2">
                  <c:v>2025</c:v>
                </c:pt>
              </c:numCache>
            </c:numRef>
          </c:cat>
          <c:val>
            <c:numRef>
              <c:f>'Final Graph'!$D$24:$H$24</c:f>
              <c:numCache>
                <c:formatCode>0.0</c:formatCode>
                <c:ptCount val="3"/>
                <c:pt idx="0" formatCode="#,##0.00">
                  <c:v>2.9173829285511252</c:v>
                </c:pt>
                <c:pt idx="1">
                  <c:v>1.6813178124419406</c:v>
                </c:pt>
                <c:pt idx="2">
                  <c:v>2.1640484041893577</c:v>
                </c:pt>
              </c:numCache>
            </c:numRef>
          </c:val>
          <c:smooth val="0"/>
          <c:extLst>
            <c:ext xmlns:c16="http://schemas.microsoft.com/office/drawing/2014/chart" uri="{C3380CC4-5D6E-409C-BE32-E72D297353CC}">
              <c16:uniqueId val="{00000000-CA0A-4862-825C-9A11359CC6F0}"/>
            </c:ext>
          </c:extLst>
        </c:ser>
        <c:ser>
          <c:idx val="1"/>
          <c:order val="1"/>
          <c:tx>
            <c:strRef>
              <c:f>'Final Graph'!$C$25</c:f>
              <c:strCache>
                <c:ptCount val="1"/>
                <c:pt idx="0">
                  <c:v>Earning Before Interest and Tax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'Final Graph'!$F$3:$H$3</c:f>
              <c:numCache>
                <c:formatCode>General</c:formatCode>
                <c:ptCount val="3"/>
                <c:pt idx="0">
                  <c:v>2023</c:v>
                </c:pt>
                <c:pt idx="1">
                  <c:v>2024</c:v>
                </c:pt>
                <c:pt idx="2">
                  <c:v>2025</c:v>
                </c:pt>
              </c:numCache>
            </c:numRef>
          </c:cat>
          <c:val>
            <c:numRef>
              <c:f>'Final Graph'!$D$25:$H$25</c:f>
            </c:numRef>
          </c:val>
          <c:smooth val="0"/>
          <c:extLst>
            <c:ext xmlns:c16="http://schemas.microsoft.com/office/drawing/2014/chart" uri="{C3380CC4-5D6E-409C-BE32-E72D297353CC}">
              <c16:uniqueId val="{00000001-CA0A-4862-825C-9A11359CC6F0}"/>
            </c:ext>
          </c:extLst>
        </c:ser>
        <c:ser>
          <c:idx val="2"/>
          <c:order val="2"/>
          <c:tx>
            <c:strRef>
              <c:f>'Final Graph'!$C$26</c:f>
              <c:strCache>
                <c:ptCount val="1"/>
                <c:pt idx="0">
                  <c:v>Interest Expense</c:v>
                </c:pt>
              </c:strCache>
            </c:strRef>
          </c:tx>
          <c:spPr>
            <a:ln w="28575" cap="rnd">
              <a:solidFill>
                <a:schemeClr val="accent3"/>
              </a:solidFill>
              <a:round/>
            </a:ln>
            <a:effectLst/>
          </c:spPr>
          <c:marker>
            <c:symbol val="none"/>
          </c:marker>
          <c:cat>
            <c:numRef>
              <c:f>'Final Graph'!$F$3:$H$3</c:f>
              <c:numCache>
                <c:formatCode>General</c:formatCode>
                <c:ptCount val="3"/>
                <c:pt idx="0">
                  <c:v>2023</c:v>
                </c:pt>
                <c:pt idx="1">
                  <c:v>2024</c:v>
                </c:pt>
                <c:pt idx="2">
                  <c:v>2025</c:v>
                </c:pt>
              </c:numCache>
            </c:numRef>
          </c:cat>
          <c:val>
            <c:numRef>
              <c:f>'Final Graph'!$D$26:$H$26</c:f>
            </c:numRef>
          </c:val>
          <c:smooth val="0"/>
          <c:extLst>
            <c:ext xmlns:c16="http://schemas.microsoft.com/office/drawing/2014/chart" uri="{C3380CC4-5D6E-409C-BE32-E72D297353CC}">
              <c16:uniqueId val="{00000002-CA0A-4862-825C-9A11359CC6F0}"/>
            </c:ext>
          </c:extLst>
        </c:ser>
        <c:ser>
          <c:idx val="3"/>
          <c:order val="3"/>
          <c:tx>
            <c:strRef>
              <c:f>'Final Graph'!$C$27</c:f>
              <c:strCache>
                <c:ptCount val="1"/>
                <c:pt idx="0">
                  <c:v>DSCR</c:v>
                </c:pt>
              </c:strCache>
            </c:strRef>
          </c:tx>
          <c:spPr>
            <a:ln w="22225" cap="rnd">
              <a:solidFill>
                <a:srgbClr val="FF9900"/>
              </a:solidFill>
              <a:prstDash val="dashDot"/>
              <a:round/>
            </a:ln>
            <a:effectLst/>
          </c:spPr>
          <c:marker>
            <c:symbol val="none"/>
          </c:marker>
          <c:cat>
            <c:numRef>
              <c:f>'Final Graph'!$F$3:$H$3</c:f>
              <c:numCache>
                <c:formatCode>General</c:formatCode>
                <c:ptCount val="3"/>
                <c:pt idx="0">
                  <c:v>2023</c:v>
                </c:pt>
                <c:pt idx="1">
                  <c:v>2024</c:v>
                </c:pt>
                <c:pt idx="2">
                  <c:v>2025</c:v>
                </c:pt>
              </c:numCache>
            </c:numRef>
          </c:cat>
          <c:val>
            <c:numRef>
              <c:f>'Final Graph'!$D$27:$H$27</c:f>
              <c:numCache>
                <c:formatCode>0.0</c:formatCode>
                <c:ptCount val="3"/>
                <c:pt idx="0" formatCode="#,##0.00">
                  <c:v>1.713075961372456</c:v>
                </c:pt>
                <c:pt idx="1">
                  <c:v>1.2305543858213717</c:v>
                </c:pt>
                <c:pt idx="2">
                  <c:v>1.4160266339747576</c:v>
                </c:pt>
              </c:numCache>
            </c:numRef>
          </c:val>
          <c:smooth val="0"/>
          <c:extLst>
            <c:ext xmlns:c16="http://schemas.microsoft.com/office/drawing/2014/chart" uri="{C3380CC4-5D6E-409C-BE32-E72D297353CC}">
              <c16:uniqueId val="{00000003-CA0A-4862-825C-9A11359CC6F0}"/>
            </c:ext>
          </c:extLst>
        </c:ser>
        <c:ser>
          <c:idx val="4"/>
          <c:order val="4"/>
          <c:tx>
            <c:strRef>
              <c:f>'Final Graph'!$C$28</c:f>
              <c:strCache>
                <c:ptCount val="1"/>
                <c:pt idx="0">
                  <c:v>Earning Before Interest Tax Depreciation Amortization</c:v>
                </c:pt>
              </c:strCache>
            </c:strRef>
          </c:tx>
          <c:spPr>
            <a:ln w="28575" cap="rnd">
              <a:solidFill>
                <a:schemeClr val="accent5"/>
              </a:solidFill>
              <a:round/>
            </a:ln>
            <a:effectLst/>
          </c:spPr>
          <c:marker>
            <c:symbol val="none"/>
          </c:marker>
          <c:cat>
            <c:numRef>
              <c:f>'Final Graph'!$F$3:$H$3</c:f>
              <c:numCache>
                <c:formatCode>General</c:formatCode>
                <c:ptCount val="3"/>
                <c:pt idx="0">
                  <c:v>2023</c:v>
                </c:pt>
                <c:pt idx="1">
                  <c:v>2024</c:v>
                </c:pt>
                <c:pt idx="2">
                  <c:v>2025</c:v>
                </c:pt>
              </c:numCache>
            </c:numRef>
          </c:cat>
          <c:val>
            <c:numRef>
              <c:f>'Final Graph'!$D$28:$H$28</c:f>
            </c:numRef>
          </c:val>
          <c:smooth val="0"/>
          <c:extLst>
            <c:ext xmlns:c16="http://schemas.microsoft.com/office/drawing/2014/chart" uri="{C3380CC4-5D6E-409C-BE32-E72D297353CC}">
              <c16:uniqueId val="{00000004-CA0A-4862-825C-9A11359CC6F0}"/>
            </c:ext>
          </c:extLst>
        </c:ser>
        <c:ser>
          <c:idx val="5"/>
          <c:order val="5"/>
          <c:tx>
            <c:strRef>
              <c:f>'Final Graph'!$C$29</c:f>
              <c:strCache>
                <c:ptCount val="1"/>
                <c:pt idx="0">
                  <c:v>Debts to be Serviced</c:v>
                </c:pt>
              </c:strCache>
            </c:strRef>
          </c:tx>
          <c:spPr>
            <a:ln w="28575" cap="rnd">
              <a:solidFill>
                <a:schemeClr val="accent6"/>
              </a:solidFill>
              <a:round/>
            </a:ln>
            <a:effectLst/>
          </c:spPr>
          <c:marker>
            <c:symbol val="none"/>
          </c:marker>
          <c:cat>
            <c:numRef>
              <c:f>'Final Graph'!$F$3:$H$3</c:f>
              <c:numCache>
                <c:formatCode>General</c:formatCode>
                <c:ptCount val="3"/>
                <c:pt idx="0">
                  <c:v>2023</c:v>
                </c:pt>
                <c:pt idx="1">
                  <c:v>2024</c:v>
                </c:pt>
                <c:pt idx="2">
                  <c:v>2025</c:v>
                </c:pt>
              </c:numCache>
            </c:numRef>
          </c:cat>
          <c:val>
            <c:numRef>
              <c:f>'Final Graph'!$D$29:$H$29</c:f>
            </c:numRef>
          </c:val>
          <c:smooth val="0"/>
          <c:extLst>
            <c:ext xmlns:c16="http://schemas.microsoft.com/office/drawing/2014/chart" uri="{C3380CC4-5D6E-409C-BE32-E72D297353CC}">
              <c16:uniqueId val="{00000005-CA0A-4862-825C-9A11359CC6F0}"/>
            </c:ext>
          </c:extLst>
        </c:ser>
        <c:ser>
          <c:idx val="7"/>
          <c:order val="6"/>
          <c:tx>
            <c:strRef>
              <c:f>'Final Graph'!$C$31</c:f>
              <c:strCache>
                <c:ptCount val="1"/>
                <c:pt idx="0">
                  <c:v>Total Financial Debt</c:v>
                </c:pt>
              </c:strCache>
            </c:strRef>
          </c:tx>
          <c:spPr>
            <a:ln w="28575" cap="rnd">
              <a:solidFill>
                <a:schemeClr val="accent2">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Graph'!$D$31:$H$31</c:f>
            </c:numRef>
          </c:val>
          <c:smooth val="0"/>
          <c:extLst>
            <c:ext xmlns:c16="http://schemas.microsoft.com/office/drawing/2014/chart" uri="{C3380CC4-5D6E-409C-BE32-E72D297353CC}">
              <c16:uniqueId val="{00000006-CA0A-4862-825C-9A11359CC6F0}"/>
            </c:ext>
          </c:extLst>
        </c:ser>
        <c:ser>
          <c:idx val="8"/>
          <c:order val="7"/>
          <c:tx>
            <c:strRef>
              <c:f>'Final Graph'!$C$32</c:f>
              <c:strCache>
                <c:ptCount val="1"/>
                <c:pt idx="0">
                  <c:v>Operating Cash flow</c:v>
                </c:pt>
              </c:strCache>
            </c:strRef>
          </c:tx>
          <c:spPr>
            <a:ln w="28575" cap="rnd">
              <a:solidFill>
                <a:schemeClr val="accent3">
                  <a:lumMod val="60000"/>
                </a:schemeClr>
              </a:solidFill>
              <a:round/>
            </a:ln>
            <a:effectLst/>
          </c:spPr>
          <c:marker>
            <c:symbol val="none"/>
          </c:marker>
          <c:cat>
            <c:numRef>
              <c:f>'Final Graph'!$F$3:$H$3</c:f>
              <c:numCache>
                <c:formatCode>General</c:formatCode>
                <c:ptCount val="3"/>
                <c:pt idx="0">
                  <c:v>2023</c:v>
                </c:pt>
                <c:pt idx="1">
                  <c:v>2024</c:v>
                </c:pt>
                <c:pt idx="2">
                  <c:v>2025</c:v>
                </c:pt>
              </c:numCache>
            </c:numRef>
          </c:cat>
          <c:val>
            <c:numRef>
              <c:f>'Final Graph'!$D$32:$H$32</c:f>
            </c:numRef>
          </c:val>
          <c:smooth val="0"/>
          <c:extLst>
            <c:ext xmlns:c16="http://schemas.microsoft.com/office/drawing/2014/chart" uri="{C3380CC4-5D6E-409C-BE32-E72D297353CC}">
              <c16:uniqueId val="{00000007-CA0A-4862-825C-9A11359CC6F0}"/>
            </c:ext>
          </c:extLst>
        </c:ser>
        <c:ser>
          <c:idx val="9"/>
          <c:order val="8"/>
          <c:tx>
            <c:strRef>
              <c:f>'Final Graph'!$C$33</c:f>
              <c:strCache>
                <c:ptCount val="1"/>
                <c:pt idx="0">
                  <c:v>Cashflow Coverage</c:v>
                </c:pt>
              </c:strCache>
            </c:strRef>
          </c:tx>
          <c:spPr>
            <a:ln w="25400" cap="rnd">
              <a:solidFill>
                <a:srgbClr val="9933FF"/>
              </a:solidFill>
              <a:prstDash val="sysDot"/>
              <a:round/>
            </a:ln>
            <a:effectLst/>
          </c:spPr>
          <c:marker>
            <c:symbol val="none"/>
          </c:marker>
          <c:cat>
            <c:numRef>
              <c:f>'Final Graph'!$F$3:$H$3</c:f>
              <c:numCache>
                <c:formatCode>General</c:formatCode>
                <c:ptCount val="3"/>
                <c:pt idx="0">
                  <c:v>2023</c:v>
                </c:pt>
                <c:pt idx="1">
                  <c:v>2024</c:v>
                </c:pt>
                <c:pt idx="2">
                  <c:v>2025</c:v>
                </c:pt>
              </c:numCache>
            </c:numRef>
          </c:cat>
          <c:val>
            <c:numRef>
              <c:f>'Final Graph'!$D$33:$H$33</c:f>
              <c:numCache>
                <c:formatCode>0.0</c:formatCode>
                <c:ptCount val="3"/>
                <c:pt idx="0" formatCode="#,##0.00">
                  <c:v>-5.7953376483403183</c:v>
                </c:pt>
                <c:pt idx="1">
                  <c:v>2.2375425471678914</c:v>
                </c:pt>
                <c:pt idx="2">
                  <c:v>0.76522361031669384</c:v>
                </c:pt>
              </c:numCache>
            </c:numRef>
          </c:val>
          <c:smooth val="0"/>
          <c:extLst>
            <c:ext xmlns:c16="http://schemas.microsoft.com/office/drawing/2014/chart" uri="{C3380CC4-5D6E-409C-BE32-E72D297353CC}">
              <c16:uniqueId val="{00000008-CA0A-4862-825C-9A11359CC6F0}"/>
            </c:ext>
          </c:extLst>
        </c:ser>
        <c:dLbls>
          <c:showLegendKey val="0"/>
          <c:showVal val="0"/>
          <c:showCatName val="0"/>
          <c:showSerName val="0"/>
          <c:showPercent val="0"/>
          <c:showBubbleSize val="0"/>
        </c:dLbls>
        <c:marker val="1"/>
        <c:smooth val="0"/>
        <c:axId val="1841528432"/>
        <c:axId val="1841513744"/>
      </c:lineChart>
      <c:catAx>
        <c:axId val="184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1513744"/>
        <c:crosses val="autoZero"/>
        <c:auto val="1"/>
        <c:lblAlgn val="ctr"/>
        <c:lblOffset val="100"/>
        <c:noMultiLvlLbl val="0"/>
      </c:catAx>
      <c:valAx>
        <c:axId val="1841513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41528432"/>
        <c:crosses val="autoZero"/>
        <c:crossBetween val="between"/>
      </c:valAx>
      <c:spPr>
        <a:noFill/>
        <a:ln>
          <a:noFill/>
        </a:ln>
        <a:effectLst/>
      </c:spPr>
    </c:plotArea>
    <c:legend>
      <c:legendPos val="b"/>
      <c:layout>
        <c:manualLayout>
          <c:xMode val="edge"/>
          <c:yMode val="edge"/>
          <c:x val="3.5571745701870562E-4"/>
          <c:y val="0.80254111449821164"/>
          <c:w val="0.97434012689715954"/>
          <c:h val="0.156433222388169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0F3B-4FD7-BB79-FCB186E003F1}"/>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F3B-4FD7-BB79-FCB186E003F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0F3B-4FD7-BB79-FCB186E003F1}"/>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0F3B-4FD7-BB79-FCB186E003F1}"/>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0F3B-4FD7-BB79-FCB186E003F1}"/>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0F3B-4FD7-BB79-FCB186E003F1}"/>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0F3B-4FD7-BB79-FCB186E003F1}"/>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0F3B-4FD7-BB79-FCB186E003F1}"/>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0F3B-4FD7-BB79-FCB186E003F1}"/>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0F3B-4FD7-BB79-FCB186E003F1}"/>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0F3B-4FD7-BB79-FCB186E003F1}"/>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0F3B-4FD7-BB79-FCB186E003F1}"/>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0F3B-4FD7-BB79-FCB186E003F1}"/>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0F3B-4FD7-BB79-FCB186E003F1}"/>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0F3B-4FD7-BB79-FCB186E003F1}"/>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0F3B-4FD7-BB79-FCB186E003F1}"/>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0F3B-4FD7-BB79-FCB186E003F1}"/>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0F3B-4FD7-BB79-FCB186E003F1}"/>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0F3B-4FD7-BB79-FCB186E003F1}"/>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0F3B-4FD7-BB79-FCB186E003F1}"/>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0F3B-4FD7-BB79-FCB186E003F1}"/>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0F3B-4FD7-BB79-FCB186E003F1}"/>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 RMG'!$S$6</c:f>
              <c:strCache>
                <c:ptCount val="1"/>
                <c:pt idx="0">
                  <c:v>Score</c:v>
                </c:pt>
              </c:strCache>
            </c:strRef>
          </c:tx>
          <c:dPt>
            <c:idx val="0"/>
            <c:bubble3D val="0"/>
            <c:spPr>
              <a:noFill/>
            </c:spPr>
            <c:extLst>
              <c:ext xmlns:c16="http://schemas.microsoft.com/office/drawing/2014/chart" uri="{C3380CC4-5D6E-409C-BE32-E72D297353CC}">
                <c16:uniqueId val="{0000002C-0F3B-4FD7-BB79-FCB186E003F1}"/>
              </c:ext>
            </c:extLst>
          </c:dPt>
          <c:dPt>
            <c:idx val="1"/>
            <c:bubble3D val="0"/>
            <c:spPr>
              <a:solidFill>
                <a:schemeClr val="bg1">
                  <a:alpha val="66000"/>
                </a:schemeClr>
              </a:solidFill>
            </c:spPr>
            <c:extLst>
              <c:ext xmlns:c16="http://schemas.microsoft.com/office/drawing/2014/chart" uri="{C3380CC4-5D6E-409C-BE32-E72D297353CC}">
                <c16:uniqueId val="{0000002E-0F3B-4FD7-BB79-FCB186E003F1}"/>
              </c:ext>
            </c:extLst>
          </c:dPt>
          <c:val>
            <c:numRef>
              <c:f>'1. RMG'!$T$6:$U$6</c:f>
              <c:numCache>
                <c:formatCode>0%</c:formatCode>
                <c:ptCount val="2"/>
                <c:pt idx="0">
                  <c:v>0.3</c:v>
                </c:pt>
                <c:pt idx="1">
                  <c:v>0.7</c:v>
                </c:pt>
              </c:numCache>
            </c:numRef>
          </c:val>
          <c:extLst>
            <c:ext xmlns:c16="http://schemas.microsoft.com/office/drawing/2014/chart" uri="{C3380CC4-5D6E-409C-BE32-E72D297353CC}">
              <c16:uniqueId val="{0000002F-0F3B-4FD7-BB79-FCB186E003F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8CD6-45BD-A1A3-00357C7A4E6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8CD6-45BD-A1A3-00357C7A4E6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8CD6-45BD-A1A3-00357C7A4E6A}"/>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8CD6-45BD-A1A3-00357C7A4E6A}"/>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8CD6-45BD-A1A3-00357C7A4E6A}"/>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8CD6-45BD-A1A3-00357C7A4E6A}"/>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8CD6-45BD-A1A3-00357C7A4E6A}"/>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8CD6-45BD-A1A3-00357C7A4E6A}"/>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8CD6-45BD-A1A3-00357C7A4E6A}"/>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8CD6-45BD-A1A3-00357C7A4E6A}"/>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8CD6-45BD-A1A3-00357C7A4E6A}"/>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8CD6-45BD-A1A3-00357C7A4E6A}"/>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8CD6-45BD-A1A3-00357C7A4E6A}"/>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8CD6-45BD-A1A3-00357C7A4E6A}"/>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8CD6-45BD-A1A3-00357C7A4E6A}"/>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8CD6-45BD-A1A3-00357C7A4E6A}"/>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8CD6-45BD-A1A3-00357C7A4E6A}"/>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8CD6-45BD-A1A3-00357C7A4E6A}"/>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8CD6-45BD-A1A3-00357C7A4E6A}"/>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8CD6-45BD-A1A3-00357C7A4E6A}"/>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8CD6-45BD-A1A3-00357C7A4E6A}"/>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8CD6-45BD-A1A3-00357C7A4E6A}"/>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'2.  Textile '!$S$6</c:f>
              <c:strCache>
                <c:ptCount val="1"/>
                <c:pt idx="0">
                  <c:v>Score</c:v>
                </c:pt>
              </c:strCache>
            </c:strRef>
          </c:tx>
          <c:dPt>
            <c:idx val="0"/>
            <c:bubble3D val="0"/>
            <c:spPr>
              <a:noFill/>
            </c:spPr>
            <c:extLst>
              <c:ext xmlns:c16="http://schemas.microsoft.com/office/drawing/2014/chart" uri="{C3380CC4-5D6E-409C-BE32-E72D297353CC}">
                <c16:uniqueId val="{0000002C-8CD6-45BD-A1A3-00357C7A4E6A}"/>
              </c:ext>
            </c:extLst>
          </c:dPt>
          <c:dPt>
            <c:idx val="1"/>
            <c:bubble3D val="0"/>
            <c:spPr>
              <a:solidFill>
                <a:schemeClr val="bg1">
                  <a:alpha val="66000"/>
                </a:schemeClr>
              </a:solidFill>
            </c:spPr>
            <c:extLst>
              <c:ext xmlns:c16="http://schemas.microsoft.com/office/drawing/2014/chart" uri="{C3380CC4-5D6E-409C-BE32-E72D297353CC}">
                <c16:uniqueId val="{0000002E-8CD6-45BD-A1A3-00357C7A4E6A}"/>
              </c:ext>
            </c:extLst>
          </c:dPt>
          <c:val>
            <c:numRef>
              <c:f>'2.  Textile '!$T$6:$U$6</c:f>
              <c:numCache>
                <c:formatCode>0%</c:formatCode>
                <c:ptCount val="2"/>
                <c:pt idx="0">
                  <c:v>0.36666666666666664</c:v>
                </c:pt>
                <c:pt idx="1">
                  <c:v>0.6333333333333333</c:v>
                </c:pt>
              </c:numCache>
            </c:numRef>
          </c:val>
          <c:extLst>
            <c:ext xmlns:c16="http://schemas.microsoft.com/office/drawing/2014/chart" uri="{C3380CC4-5D6E-409C-BE32-E72D297353CC}">
              <c16:uniqueId val="{0000002F-8CD6-45BD-A1A3-00357C7A4E6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3734-48CD-8A3E-22C2F25128A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734-48CD-8A3E-22C2F25128A0}"/>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3734-48CD-8A3E-22C2F25128A0}"/>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3734-48CD-8A3E-22C2F25128A0}"/>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3734-48CD-8A3E-22C2F25128A0}"/>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3734-48CD-8A3E-22C2F25128A0}"/>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3734-48CD-8A3E-22C2F25128A0}"/>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3734-48CD-8A3E-22C2F25128A0}"/>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3734-48CD-8A3E-22C2F25128A0}"/>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3734-48CD-8A3E-22C2F25128A0}"/>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3734-48CD-8A3E-22C2F25128A0}"/>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3734-48CD-8A3E-22C2F25128A0}"/>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3734-48CD-8A3E-22C2F25128A0}"/>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3734-48CD-8A3E-22C2F25128A0}"/>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3734-48CD-8A3E-22C2F25128A0}"/>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3734-48CD-8A3E-22C2F25128A0}"/>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3734-48CD-8A3E-22C2F25128A0}"/>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3734-48CD-8A3E-22C2F25128A0}"/>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3734-48CD-8A3E-22C2F25128A0}"/>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3734-48CD-8A3E-22C2F25128A0}"/>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3734-48CD-8A3E-22C2F25128A0}"/>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3734-48CD-8A3E-22C2F25128A0}"/>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'3. Food and Allied'!$S$6</c:f>
              <c:strCache>
                <c:ptCount val="1"/>
                <c:pt idx="0">
                  <c:v>Score</c:v>
                </c:pt>
              </c:strCache>
            </c:strRef>
          </c:tx>
          <c:dPt>
            <c:idx val="0"/>
            <c:bubble3D val="0"/>
            <c:spPr>
              <a:noFill/>
            </c:spPr>
            <c:extLst>
              <c:ext xmlns:c16="http://schemas.microsoft.com/office/drawing/2014/chart" uri="{C3380CC4-5D6E-409C-BE32-E72D297353CC}">
                <c16:uniqueId val="{0000002C-3734-48CD-8A3E-22C2F25128A0}"/>
              </c:ext>
            </c:extLst>
          </c:dPt>
          <c:dPt>
            <c:idx val="1"/>
            <c:bubble3D val="0"/>
            <c:spPr>
              <a:solidFill>
                <a:schemeClr val="bg1">
                  <a:alpha val="66000"/>
                </a:schemeClr>
              </a:solidFill>
            </c:spPr>
            <c:extLst>
              <c:ext xmlns:c16="http://schemas.microsoft.com/office/drawing/2014/chart" uri="{C3380CC4-5D6E-409C-BE32-E72D297353CC}">
                <c16:uniqueId val="{0000002E-3734-48CD-8A3E-22C2F25128A0}"/>
              </c:ext>
            </c:extLst>
          </c:dPt>
          <c:val>
            <c:numRef>
              <c:f>'3. Food and Allied'!$T$6:$U$6</c:f>
              <c:numCache>
                <c:formatCode>0%</c:formatCode>
                <c:ptCount val="2"/>
                <c:pt idx="0">
                  <c:v>0.36666666666666664</c:v>
                </c:pt>
                <c:pt idx="1">
                  <c:v>0.6333333333333333</c:v>
                </c:pt>
              </c:numCache>
            </c:numRef>
          </c:val>
          <c:extLst>
            <c:ext xmlns:c16="http://schemas.microsoft.com/office/drawing/2014/chart" uri="{C3380CC4-5D6E-409C-BE32-E72D297353CC}">
              <c16:uniqueId val="{0000002F-3734-48CD-8A3E-22C2F25128A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5F77-4B9D-811B-896370977A03}"/>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F77-4B9D-811B-896370977A03}"/>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5F77-4B9D-811B-896370977A03}"/>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5F77-4B9D-811B-896370977A03}"/>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5F77-4B9D-811B-896370977A03}"/>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5F77-4B9D-811B-896370977A03}"/>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5F77-4B9D-811B-896370977A03}"/>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5F77-4B9D-811B-896370977A03}"/>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5F77-4B9D-811B-896370977A03}"/>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5F77-4B9D-811B-896370977A03}"/>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5F77-4B9D-811B-896370977A03}"/>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5F77-4B9D-811B-896370977A03}"/>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5F77-4B9D-811B-896370977A03}"/>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5F77-4B9D-811B-896370977A03}"/>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5F77-4B9D-811B-896370977A03}"/>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5F77-4B9D-811B-896370977A03}"/>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5F77-4B9D-811B-896370977A03}"/>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5F77-4B9D-811B-896370977A03}"/>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5F77-4B9D-811B-896370977A03}"/>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5F77-4B9D-811B-896370977A03}"/>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5F77-4B9D-811B-896370977A03}"/>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5F77-4B9D-811B-896370977A03}"/>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'4. Pharmaceutical'!$S$6</c:f>
              <c:strCache>
                <c:ptCount val="1"/>
                <c:pt idx="0">
                  <c:v>Score</c:v>
                </c:pt>
              </c:strCache>
            </c:strRef>
          </c:tx>
          <c:dPt>
            <c:idx val="0"/>
            <c:bubble3D val="0"/>
            <c:spPr>
              <a:noFill/>
            </c:spPr>
            <c:extLst>
              <c:ext xmlns:c16="http://schemas.microsoft.com/office/drawing/2014/chart" uri="{C3380CC4-5D6E-409C-BE32-E72D297353CC}">
                <c16:uniqueId val="{0000002C-5F77-4B9D-811B-896370977A03}"/>
              </c:ext>
            </c:extLst>
          </c:dPt>
          <c:dPt>
            <c:idx val="1"/>
            <c:bubble3D val="0"/>
            <c:spPr>
              <a:solidFill>
                <a:schemeClr val="bg1">
                  <a:alpha val="66000"/>
                </a:schemeClr>
              </a:solidFill>
            </c:spPr>
            <c:extLst>
              <c:ext xmlns:c16="http://schemas.microsoft.com/office/drawing/2014/chart" uri="{C3380CC4-5D6E-409C-BE32-E72D297353CC}">
                <c16:uniqueId val="{0000002E-5F77-4B9D-811B-896370977A03}"/>
              </c:ext>
            </c:extLst>
          </c:dPt>
          <c:val>
            <c:numRef>
              <c:f>'4. Pharmaceutical'!$T$6:$U$6</c:f>
              <c:numCache>
                <c:formatCode>0%</c:formatCode>
                <c:ptCount val="2"/>
                <c:pt idx="0">
                  <c:v>0.36666666666666664</c:v>
                </c:pt>
                <c:pt idx="1">
                  <c:v>0.6333333333333333</c:v>
                </c:pt>
              </c:numCache>
            </c:numRef>
          </c:val>
          <c:extLst>
            <c:ext xmlns:c16="http://schemas.microsoft.com/office/drawing/2014/chart" uri="{C3380CC4-5D6E-409C-BE32-E72D297353CC}">
              <c16:uniqueId val="{0000002F-5F77-4B9D-811B-896370977A0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42E9-4A61-A1C0-23B834016C8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2E9-4A61-A1C0-23B834016C8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2E9-4A61-A1C0-23B834016C8A}"/>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42E9-4A61-A1C0-23B834016C8A}"/>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42E9-4A61-A1C0-23B834016C8A}"/>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42E9-4A61-A1C0-23B834016C8A}"/>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42E9-4A61-A1C0-23B834016C8A}"/>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42E9-4A61-A1C0-23B834016C8A}"/>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42E9-4A61-A1C0-23B834016C8A}"/>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42E9-4A61-A1C0-23B834016C8A}"/>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42E9-4A61-A1C0-23B834016C8A}"/>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42E9-4A61-A1C0-23B834016C8A}"/>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42E9-4A61-A1C0-23B834016C8A}"/>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42E9-4A61-A1C0-23B834016C8A}"/>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42E9-4A61-A1C0-23B834016C8A}"/>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42E9-4A61-A1C0-23B834016C8A}"/>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42E9-4A61-A1C0-23B834016C8A}"/>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42E9-4A61-A1C0-23B834016C8A}"/>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42E9-4A61-A1C0-23B834016C8A}"/>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42E9-4A61-A1C0-23B834016C8A}"/>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42E9-4A61-A1C0-23B834016C8A}"/>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42E9-4A61-A1C0-23B834016C8A}"/>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'5. Chemical'!$S$6</c:f>
              <c:strCache>
                <c:ptCount val="1"/>
                <c:pt idx="0">
                  <c:v>Score</c:v>
                </c:pt>
              </c:strCache>
            </c:strRef>
          </c:tx>
          <c:dPt>
            <c:idx val="0"/>
            <c:bubble3D val="0"/>
            <c:spPr>
              <a:noFill/>
            </c:spPr>
            <c:extLst>
              <c:ext xmlns:c16="http://schemas.microsoft.com/office/drawing/2014/chart" uri="{C3380CC4-5D6E-409C-BE32-E72D297353CC}">
                <c16:uniqueId val="{0000002C-42E9-4A61-A1C0-23B834016C8A}"/>
              </c:ext>
            </c:extLst>
          </c:dPt>
          <c:dPt>
            <c:idx val="1"/>
            <c:bubble3D val="0"/>
            <c:spPr>
              <a:solidFill>
                <a:schemeClr val="bg1">
                  <a:alpha val="66000"/>
                </a:schemeClr>
              </a:solidFill>
            </c:spPr>
            <c:extLst>
              <c:ext xmlns:c16="http://schemas.microsoft.com/office/drawing/2014/chart" uri="{C3380CC4-5D6E-409C-BE32-E72D297353CC}">
                <c16:uniqueId val="{0000002E-42E9-4A61-A1C0-23B834016C8A}"/>
              </c:ext>
            </c:extLst>
          </c:dPt>
          <c:val>
            <c:numRef>
              <c:f>'5. Chemical'!$T$6:$U$6</c:f>
              <c:numCache>
                <c:formatCode>0%</c:formatCode>
                <c:ptCount val="2"/>
                <c:pt idx="0">
                  <c:v>0.38333333333333336</c:v>
                </c:pt>
                <c:pt idx="1">
                  <c:v>0.6166666666666667</c:v>
                </c:pt>
              </c:numCache>
            </c:numRef>
          </c:val>
          <c:extLst>
            <c:ext xmlns:c16="http://schemas.microsoft.com/office/drawing/2014/chart" uri="{C3380CC4-5D6E-409C-BE32-E72D297353CC}">
              <c16:uniqueId val="{0000002F-42E9-4A61-A1C0-23B834016C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FAF0-4620-A8E1-9D8BB0B35AD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AF0-4620-A8E1-9D8BB0B35AD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FAF0-4620-A8E1-9D8BB0B35AD6}"/>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FAF0-4620-A8E1-9D8BB0B35AD6}"/>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FAF0-4620-A8E1-9D8BB0B35AD6}"/>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FAF0-4620-A8E1-9D8BB0B35AD6}"/>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FAF0-4620-A8E1-9D8BB0B35AD6}"/>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FAF0-4620-A8E1-9D8BB0B35AD6}"/>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FAF0-4620-A8E1-9D8BB0B35AD6}"/>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FAF0-4620-A8E1-9D8BB0B35AD6}"/>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FAF0-4620-A8E1-9D8BB0B35AD6}"/>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FAF0-4620-A8E1-9D8BB0B35AD6}"/>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FAF0-4620-A8E1-9D8BB0B35AD6}"/>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FAF0-4620-A8E1-9D8BB0B35AD6}"/>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FAF0-4620-A8E1-9D8BB0B35AD6}"/>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FAF0-4620-A8E1-9D8BB0B35AD6}"/>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FAF0-4620-A8E1-9D8BB0B35AD6}"/>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FAF0-4620-A8E1-9D8BB0B35AD6}"/>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FAF0-4620-A8E1-9D8BB0B35AD6}"/>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FAF0-4620-A8E1-9D8BB0B35AD6}"/>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FAF0-4620-A8E1-9D8BB0B35AD6}"/>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FAF0-4620-A8E1-9D8BB0B35AD6}"/>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'6. Fertilizer'!$S$6</c:f>
              <c:strCache>
                <c:ptCount val="1"/>
                <c:pt idx="0">
                  <c:v>Score</c:v>
                </c:pt>
              </c:strCache>
            </c:strRef>
          </c:tx>
          <c:dPt>
            <c:idx val="0"/>
            <c:bubble3D val="0"/>
            <c:spPr>
              <a:noFill/>
            </c:spPr>
            <c:extLst>
              <c:ext xmlns:c16="http://schemas.microsoft.com/office/drawing/2014/chart" uri="{C3380CC4-5D6E-409C-BE32-E72D297353CC}">
                <c16:uniqueId val="{0000002C-FAF0-4620-A8E1-9D8BB0B35AD6}"/>
              </c:ext>
            </c:extLst>
          </c:dPt>
          <c:dPt>
            <c:idx val="1"/>
            <c:bubble3D val="0"/>
            <c:spPr>
              <a:solidFill>
                <a:schemeClr val="bg1">
                  <a:alpha val="66000"/>
                </a:schemeClr>
              </a:solidFill>
            </c:spPr>
            <c:extLst>
              <c:ext xmlns:c16="http://schemas.microsoft.com/office/drawing/2014/chart" uri="{C3380CC4-5D6E-409C-BE32-E72D297353CC}">
                <c16:uniqueId val="{0000002E-FAF0-4620-A8E1-9D8BB0B35AD6}"/>
              </c:ext>
            </c:extLst>
          </c:dPt>
          <c:val>
            <c:numRef>
              <c:f>'6. Fertilizer'!$T$6:$U$6</c:f>
              <c:numCache>
                <c:formatCode>0%</c:formatCode>
                <c:ptCount val="2"/>
                <c:pt idx="0">
                  <c:v>0.36666666666666664</c:v>
                </c:pt>
                <c:pt idx="1">
                  <c:v>0.6333333333333333</c:v>
                </c:pt>
              </c:numCache>
            </c:numRef>
          </c:val>
          <c:extLst>
            <c:ext xmlns:c16="http://schemas.microsoft.com/office/drawing/2014/chart" uri="{C3380CC4-5D6E-409C-BE32-E72D297353CC}">
              <c16:uniqueId val="{0000002F-FAF0-4620-A8E1-9D8BB0B35AD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C566-4394-AB23-E5C3E8424A7E}"/>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C566-4394-AB23-E5C3E8424A7E}"/>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566-4394-AB23-E5C3E8424A7E}"/>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C566-4394-AB23-E5C3E8424A7E}"/>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C566-4394-AB23-E5C3E8424A7E}"/>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C566-4394-AB23-E5C3E8424A7E}"/>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C566-4394-AB23-E5C3E8424A7E}"/>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C566-4394-AB23-E5C3E8424A7E}"/>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C566-4394-AB23-E5C3E8424A7E}"/>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C566-4394-AB23-E5C3E8424A7E}"/>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C566-4394-AB23-E5C3E8424A7E}"/>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C566-4394-AB23-E5C3E8424A7E}"/>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C566-4394-AB23-E5C3E8424A7E}"/>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C566-4394-AB23-E5C3E8424A7E}"/>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C566-4394-AB23-E5C3E8424A7E}"/>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C566-4394-AB23-E5C3E8424A7E}"/>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C566-4394-AB23-E5C3E8424A7E}"/>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C566-4394-AB23-E5C3E8424A7E}"/>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C566-4394-AB23-E5C3E8424A7E}"/>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C566-4394-AB23-E5C3E8424A7E}"/>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C566-4394-AB23-E5C3E8424A7E}"/>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C566-4394-AB23-E5C3E8424A7E}"/>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'7.Cement'!$S$6</c:f>
              <c:strCache>
                <c:ptCount val="1"/>
                <c:pt idx="0">
                  <c:v>Score</c:v>
                </c:pt>
              </c:strCache>
            </c:strRef>
          </c:tx>
          <c:dPt>
            <c:idx val="0"/>
            <c:bubble3D val="0"/>
            <c:spPr>
              <a:noFill/>
            </c:spPr>
            <c:extLst>
              <c:ext xmlns:c16="http://schemas.microsoft.com/office/drawing/2014/chart" uri="{C3380CC4-5D6E-409C-BE32-E72D297353CC}">
                <c16:uniqueId val="{0000002C-C566-4394-AB23-E5C3E8424A7E}"/>
              </c:ext>
            </c:extLst>
          </c:dPt>
          <c:dPt>
            <c:idx val="1"/>
            <c:bubble3D val="0"/>
            <c:spPr>
              <a:solidFill>
                <a:schemeClr val="bg1">
                  <a:alpha val="66000"/>
                </a:schemeClr>
              </a:solidFill>
            </c:spPr>
            <c:extLst>
              <c:ext xmlns:c16="http://schemas.microsoft.com/office/drawing/2014/chart" uri="{C3380CC4-5D6E-409C-BE32-E72D297353CC}">
                <c16:uniqueId val="{0000002E-C566-4394-AB23-E5C3E8424A7E}"/>
              </c:ext>
            </c:extLst>
          </c:dPt>
          <c:val>
            <c:numRef>
              <c:f>'7.Cement'!$T$6:$U$6</c:f>
              <c:numCache>
                <c:formatCode>0%</c:formatCode>
                <c:ptCount val="2"/>
                <c:pt idx="0">
                  <c:v>0.4</c:v>
                </c:pt>
                <c:pt idx="1">
                  <c:v>0.6</c:v>
                </c:pt>
              </c:numCache>
            </c:numRef>
          </c:val>
          <c:extLst>
            <c:ext xmlns:c16="http://schemas.microsoft.com/office/drawing/2014/chart" uri="{C3380CC4-5D6E-409C-BE32-E72D297353CC}">
              <c16:uniqueId val="{0000002F-C566-4394-AB23-E5C3E8424A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EF25-482A-B78E-7293C66638B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F25-482A-B78E-7293C66638BD}"/>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F25-482A-B78E-7293C66638BD}"/>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EF25-482A-B78E-7293C66638BD}"/>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EF25-482A-B78E-7293C66638BD}"/>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EF25-482A-B78E-7293C66638BD}"/>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EF25-482A-B78E-7293C66638BD}"/>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EF25-482A-B78E-7293C66638BD}"/>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EF25-482A-B78E-7293C66638BD}"/>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EF25-482A-B78E-7293C66638BD}"/>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EF25-482A-B78E-7293C66638BD}"/>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EF25-482A-B78E-7293C66638BD}"/>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EF25-482A-B78E-7293C66638BD}"/>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EF25-482A-B78E-7293C66638BD}"/>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EF25-482A-B78E-7293C66638BD}"/>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EF25-482A-B78E-7293C66638BD}"/>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EF25-482A-B78E-7293C66638BD}"/>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EF25-482A-B78E-7293C66638BD}"/>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EF25-482A-B78E-7293C66638BD}"/>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EF25-482A-B78E-7293C66638BD}"/>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EF25-482A-B78E-7293C66638BD}"/>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EF25-482A-B78E-7293C66638BD}"/>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'8. Ceramic'!$S$6</c:f>
              <c:strCache>
                <c:ptCount val="1"/>
                <c:pt idx="0">
                  <c:v>Score</c:v>
                </c:pt>
              </c:strCache>
            </c:strRef>
          </c:tx>
          <c:dPt>
            <c:idx val="0"/>
            <c:bubble3D val="0"/>
            <c:spPr>
              <a:noFill/>
            </c:spPr>
            <c:extLst>
              <c:ext xmlns:c16="http://schemas.microsoft.com/office/drawing/2014/chart" uri="{C3380CC4-5D6E-409C-BE32-E72D297353CC}">
                <c16:uniqueId val="{0000002C-EF25-482A-B78E-7293C66638BD}"/>
              </c:ext>
            </c:extLst>
          </c:dPt>
          <c:dPt>
            <c:idx val="1"/>
            <c:bubble3D val="0"/>
            <c:spPr>
              <a:solidFill>
                <a:schemeClr val="bg1">
                  <a:alpha val="66000"/>
                </a:schemeClr>
              </a:solidFill>
            </c:spPr>
            <c:extLst>
              <c:ext xmlns:c16="http://schemas.microsoft.com/office/drawing/2014/chart" uri="{C3380CC4-5D6E-409C-BE32-E72D297353CC}">
                <c16:uniqueId val="{0000002E-EF25-482A-B78E-7293C66638BD}"/>
              </c:ext>
            </c:extLst>
          </c:dPt>
          <c:val>
            <c:numRef>
              <c:f>'8. Ceramic'!$T$6:$U$6</c:f>
              <c:numCache>
                <c:formatCode>0%</c:formatCode>
                <c:ptCount val="2"/>
                <c:pt idx="0">
                  <c:v>0.43333333333333335</c:v>
                </c:pt>
                <c:pt idx="1">
                  <c:v>0.56666666666666665</c:v>
                </c:pt>
              </c:numCache>
            </c:numRef>
          </c:val>
          <c:extLst>
            <c:ext xmlns:c16="http://schemas.microsoft.com/office/drawing/2014/chart" uri="{C3380CC4-5D6E-409C-BE32-E72D297353CC}">
              <c16:uniqueId val="{0000002F-EF25-482A-B78E-7293C66638B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4F91-4132-AD9D-9595728D5ED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F91-4132-AD9D-9595728D5ED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F91-4132-AD9D-9595728D5ED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4F91-4132-AD9D-9595728D5ED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4F91-4132-AD9D-9595728D5ED5}"/>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4F91-4132-AD9D-9595728D5ED5}"/>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4F91-4132-AD9D-9595728D5ED5}"/>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4F91-4132-AD9D-9595728D5ED5}"/>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4F91-4132-AD9D-9595728D5ED5}"/>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4F91-4132-AD9D-9595728D5ED5}"/>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4F91-4132-AD9D-9595728D5ED5}"/>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4F91-4132-AD9D-9595728D5ED5}"/>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4F91-4132-AD9D-9595728D5ED5}"/>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4F91-4132-AD9D-9595728D5ED5}"/>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4F91-4132-AD9D-9595728D5ED5}"/>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4F91-4132-AD9D-9595728D5ED5}"/>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4F91-4132-AD9D-9595728D5ED5}"/>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4F91-4132-AD9D-9595728D5ED5}"/>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4F91-4132-AD9D-9595728D5ED5}"/>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4F91-4132-AD9D-9595728D5ED5}"/>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4F91-4132-AD9D-9595728D5ED5}"/>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4F91-4132-AD9D-9595728D5ED5}"/>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'9. Ship Building'!$S$6</c:f>
              <c:strCache>
                <c:ptCount val="1"/>
                <c:pt idx="0">
                  <c:v>Score</c:v>
                </c:pt>
              </c:strCache>
            </c:strRef>
          </c:tx>
          <c:dPt>
            <c:idx val="0"/>
            <c:bubble3D val="0"/>
            <c:spPr>
              <a:noFill/>
            </c:spPr>
            <c:extLst>
              <c:ext xmlns:c16="http://schemas.microsoft.com/office/drawing/2014/chart" uri="{C3380CC4-5D6E-409C-BE32-E72D297353CC}">
                <c16:uniqueId val="{0000002C-4F91-4132-AD9D-9595728D5ED5}"/>
              </c:ext>
            </c:extLst>
          </c:dPt>
          <c:dPt>
            <c:idx val="1"/>
            <c:bubble3D val="0"/>
            <c:spPr>
              <a:solidFill>
                <a:schemeClr val="bg1">
                  <a:alpha val="66000"/>
                </a:schemeClr>
              </a:solidFill>
            </c:spPr>
            <c:extLst>
              <c:ext xmlns:c16="http://schemas.microsoft.com/office/drawing/2014/chart" uri="{C3380CC4-5D6E-409C-BE32-E72D297353CC}">
                <c16:uniqueId val="{0000002E-4F91-4132-AD9D-9595728D5ED5}"/>
              </c:ext>
            </c:extLst>
          </c:dPt>
          <c:val>
            <c:numRef>
              <c:f>'9. Ship Building'!$T$6:$U$6</c:f>
              <c:numCache>
                <c:formatCode>0%</c:formatCode>
                <c:ptCount val="2"/>
                <c:pt idx="0">
                  <c:v>0.48333333333333334</c:v>
                </c:pt>
                <c:pt idx="1">
                  <c:v>0.51666666666666661</c:v>
                </c:pt>
              </c:numCache>
            </c:numRef>
          </c:val>
          <c:extLst>
            <c:ext xmlns:c16="http://schemas.microsoft.com/office/drawing/2014/chart" uri="{C3380CC4-5D6E-409C-BE32-E72D297353CC}">
              <c16:uniqueId val="{0000002F-4F91-4132-AD9D-9595728D5ED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1348-4A88-BC1E-C715791817F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348-4A88-BC1E-C715791817F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1348-4A88-BC1E-C715791817F8}"/>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1348-4A88-BC1E-C715791817F8}"/>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1348-4A88-BC1E-C715791817F8}"/>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1348-4A88-BC1E-C715791817F8}"/>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1348-4A88-BC1E-C715791817F8}"/>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1348-4A88-BC1E-C715791817F8}"/>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1348-4A88-BC1E-C715791817F8}"/>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1348-4A88-BC1E-C715791817F8}"/>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1348-4A88-BC1E-C715791817F8}"/>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1348-4A88-BC1E-C715791817F8}"/>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1348-4A88-BC1E-C715791817F8}"/>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1348-4A88-BC1E-C715791817F8}"/>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1348-4A88-BC1E-C715791817F8}"/>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1348-4A88-BC1E-C715791817F8}"/>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1348-4A88-BC1E-C715791817F8}"/>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1348-4A88-BC1E-C715791817F8}"/>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1348-4A88-BC1E-C715791817F8}"/>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1348-4A88-BC1E-C715791817F8}"/>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1348-4A88-BC1E-C715791817F8}"/>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1348-4A88-BC1E-C715791817F8}"/>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'10. Ship Breaking'!$S$6</c:f>
              <c:strCache>
                <c:ptCount val="1"/>
                <c:pt idx="0">
                  <c:v>Score</c:v>
                </c:pt>
              </c:strCache>
            </c:strRef>
          </c:tx>
          <c:dPt>
            <c:idx val="0"/>
            <c:bubble3D val="0"/>
            <c:spPr>
              <a:noFill/>
            </c:spPr>
            <c:extLst>
              <c:ext xmlns:c16="http://schemas.microsoft.com/office/drawing/2014/chart" uri="{C3380CC4-5D6E-409C-BE32-E72D297353CC}">
                <c16:uniqueId val="{0000002C-1348-4A88-BC1E-C715791817F8}"/>
              </c:ext>
            </c:extLst>
          </c:dPt>
          <c:dPt>
            <c:idx val="1"/>
            <c:bubble3D val="0"/>
            <c:spPr>
              <a:solidFill>
                <a:schemeClr val="bg1">
                  <a:alpha val="66000"/>
                </a:schemeClr>
              </a:solidFill>
            </c:spPr>
            <c:extLst>
              <c:ext xmlns:c16="http://schemas.microsoft.com/office/drawing/2014/chart" uri="{C3380CC4-5D6E-409C-BE32-E72D297353CC}">
                <c16:uniqueId val="{0000002E-1348-4A88-BC1E-C715791817F8}"/>
              </c:ext>
            </c:extLst>
          </c:dPt>
          <c:val>
            <c:numRef>
              <c:f>'10. Ship Breaking'!$T$6:$U$6</c:f>
              <c:numCache>
                <c:formatCode>0%</c:formatCode>
                <c:ptCount val="2"/>
                <c:pt idx="0">
                  <c:v>0.35</c:v>
                </c:pt>
                <c:pt idx="1">
                  <c:v>0.65</c:v>
                </c:pt>
              </c:numCache>
            </c:numRef>
          </c:val>
          <c:extLst>
            <c:ext xmlns:c16="http://schemas.microsoft.com/office/drawing/2014/chart" uri="{C3380CC4-5D6E-409C-BE32-E72D297353CC}">
              <c16:uniqueId val="{0000002F-1348-4A88-BC1E-C715791817F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F63C-4BCC-8753-7CC058F9C86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63C-4BCC-8753-7CC058F9C86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F63C-4BCC-8753-7CC058F9C867}"/>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F63C-4BCC-8753-7CC058F9C867}"/>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F63C-4BCC-8753-7CC058F9C867}"/>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F63C-4BCC-8753-7CC058F9C867}"/>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F63C-4BCC-8753-7CC058F9C867}"/>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F63C-4BCC-8753-7CC058F9C867}"/>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F63C-4BCC-8753-7CC058F9C867}"/>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F63C-4BCC-8753-7CC058F9C867}"/>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F63C-4BCC-8753-7CC058F9C867}"/>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F63C-4BCC-8753-7CC058F9C867}"/>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F63C-4BCC-8753-7CC058F9C867}"/>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F63C-4BCC-8753-7CC058F9C867}"/>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F63C-4BCC-8753-7CC058F9C867}"/>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F63C-4BCC-8753-7CC058F9C867}"/>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F63C-4BCC-8753-7CC058F9C867}"/>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F63C-4BCC-8753-7CC058F9C867}"/>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F63C-4BCC-8753-7CC058F9C867}"/>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F63C-4BCC-8753-7CC058F9C867}"/>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F63C-4BCC-8753-7CC058F9C867}"/>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F63C-4BCC-8753-7CC058F9C867}"/>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'11. Jute Mills'!$S$6</c:f>
              <c:strCache>
                <c:ptCount val="1"/>
                <c:pt idx="0">
                  <c:v>Score</c:v>
                </c:pt>
              </c:strCache>
            </c:strRef>
          </c:tx>
          <c:dPt>
            <c:idx val="0"/>
            <c:bubble3D val="0"/>
            <c:spPr>
              <a:noFill/>
            </c:spPr>
            <c:extLst>
              <c:ext xmlns:c16="http://schemas.microsoft.com/office/drawing/2014/chart" uri="{C3380CC4-5D6E-409C-BE32-E72D297353CC}">
                <c16:uniqueId val="{0000002C-F63C-4BCC-8753-7CC058F9C867}"/>
              </c:ext>
            </c:extLst>
          </c:dPt>
          <c:dPt>
            <c:idx val="1"/>
            <c:bubble3D val="0"/>
            <c:spPr>
              <a:solidFill>
                <a:schemeClr val="bg1">
                  <a:alpha val="66000"/>
                </a:schemeClr>
              </a:solidFill>
            </c:spPr>
            <c:extLst>
              <c:ext xmlns:c16="http://schemas.microsoft.com/office/drawing/2014/chart" uri="{C3380CC4-5D6E-409C-BE32-E72D297353CC}">
                <c16:uniqueId val="{0000002E-F63C-4BCC-8753-7CC058F9C867}"/>
              </c:ext>
            </c:extLst>
          </c:dPt>
          <c:val>
            <c:numRef>
              <c:f>'11. Jute Mills'!$T$6:$U$6</c:f>
              <c:numCache>
                <c:formatCode>0%</c:formatCode>
                <c:ptCount val="2"/>
                <c:pt idx="0">
                  <c:v>0.55000000000000004</c:v>
                </c:pt>
                <c:pt idx="1">
                  <c:v>0.44999999999999996</c:v>
                </c:pt>
              </c:numCache>
            </c:numRef>
          </c:val>
          <c:extLst>
            <c:ext xmlns:c16="http://schemas.microsoft.com/office/drawing/2014/chart" uri="{C3380CC4-5D6E-409C-BE32-E72D297353CC}">
              <c16:uniqueId val="{0000002F-F63C-4BCC-8753-7CC058F9C86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DC86-4061-B25F-6B3F2DC8F13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C86-4061-B25F-6B3F2DC8F13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DC86-4061-B25F-6B3F2DC8F137}"/>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DC86-4061-B25F-6B3F2DC8F137}"/>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DC86-4061-B25F-6B3F2DC8F137}"/>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DC86-4061-B25F-6B3F2DC8F137}"/>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DC86-4061-B25F-6B3F2DC8F137}"/>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DC86-4061-B25F-6B3F2DC8F137}"/>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DC86-4061-B25F-6B3F2DC8F137}"/>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DC86-4061-B25F-6B3F2DC8F137}"/>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DC86-4061-B25F-6B3F2DC8F137}"/>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DC86-4061-B25F-6B3F2DC8F137}"/>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DC86-4061-B25F-6B3F2DC8F137}"/>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DC86-4061-B25F-6B3F2DC8F137}"/>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DC86-4061-B25F-6B3F2DC8F137}"/>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DC86-4061-B25F-6B3F2DC8F137}"/>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DC86-4061-B25F-6B3F2DC8F137}"/>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DC86-4061-B25F-6B3F2DC8F137}"/>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DC86-4061-B25F-6B3F2DC8F137}"/>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DC86-4061-B25F-6B3F2DC8F137}"/>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DC86-4061-B25F-6B3F2DC8F137}"/>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DC86-4061-B25F-6B3F2DC8F137}"/>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'12. Steel Engineering '!$S$6</c:f>
              <c:strCache>
                <c:ptCount val="1"/>
                <c:pt idx="0">
                  <c:v>Score</c:v>
                </c:pt>
              </c:strCache>
            </c:strRef>
          </c:tx>
          <c:dPt>
            <c:idx val="0"/>
            <c:bubble3D val="0"/>
            <c:spPr>
              <a:noFill/>
            </c:spPr>
            <c:extLst>
              <c:ext xmlns:c16="http://schemas.microsoft.com/office/drawing/2014/chart" uri="{C3380CC4-5D6E-409C-BE32-E72D297353CC}">
                <c16:uniqueId val="{0000002C-DC86-4061-B25F-6B3F2DC8F137}"/>
              </c:ext>
            </c:extLst>
          </c:dPt>
          <c:dPt>
            <c:idx val="1"/>
            <c:bubble3D val="0"/>
            <c:spPr>
              <a:solidFill>
                <a:schemeClr val="bg1">
                  <a:alpha val="66000"/>
                </a:schemeClr>
              </a:solidFill>
            </c:spPr>
            <c:extLst>
              <c:ext xmlns:c16="http://schemas.microsoft.com/office/drawing/2014/chart" uri="{C3380CC4-5D6E-409C-BE32-E72D297353CC}">
                <c16:uniqueId val="{0000002E-DC86-4061-B25F-6B3F2DC8F137}"/>
              </c:ext>
            </c:extLst>
          </c:dPt>
          <c:val>
            <c:numRef>
              <c:f>'12. Steel Engineering '!$T$6:$U$6</c:f>
              <c:numCache>
                <c:formatCode>0%</c:formatCode>
                <c:ptCount val="2"/>
                <c:pt idx="0">
                  <c:v>0.41666666666666669</c:v>
                </c:pt>
                <c:pt idx="1">
                  <c:v>0.58333333333333326</c:v>
                </c:pt>
              </c:numCache>
            </c:numRef>
          </c:val>
          <c:extLst>
            <c:ext xmlns:c16="http://schemas.microsoft.com/office/drawing/2014/chart" uri="{C3380CC4-5D6E-409C-BE32-E72D297353CC}">
              <c16:uniqueId val="{0000002F-DC86-4061-B25F-6B3F2DC8F13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70BD-4985-842E-9BED6A69ECF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0BD-4985-842E-9BED6A69ECF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70BD-4985-842E-9BED6A69ECFA}"/>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70BD-4985-842E-9BED6A69ECFA}"/>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70BD-4985-842E-9BED6A69ECFA}"/>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70BD-4985-842E-9BED6A69ECFA}"/>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70BD-4985-842E-9BED6A69ECFA}"/>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70BD-4985-842E-9BED6A69ECFA}"/>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70BD-4985-842E-9BED6A69ECFA}"/>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70BD-4985-842E-9BED6A69ECFA}"/>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70BD-4985-842E-9BED6A69ECFA}"/>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70BD-4985-842E-9BED6A69ECFA}"/>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70BD-4985-842E-9BED6A69ECFA}"/>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70BD-4985-842E-9BED6A69ECFA}"/>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70BD-4985-842E-9BED6A69ECFA}"/>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70BD-4985-842E-9BED6A69ECFA}"/>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70BD-4985-842E-9BED6A69ECFA}"/>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70BD-4985-842E-9BED6A69ECFA}"/>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70BD-4985-842E-9BED6A69ECFA}"/>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70BD-4985-842E-9BED6A69ECFA}"/>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70BD-4985-842E-9BED6A69ECFA}"/>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70BD-4985-842E-9BED6A69ECFA}"/>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'13.Power and gas'!$S$6</c:f>
              <c:strCache>
                <c:ptCount val="1"/>
                <c:pt idx="0">
                  <c:v>Score</c:v>
                </c:pt>
              </c:strCache>
            </c:strRef>
          </c:tx>
          <c:dPt>
            <c:idx val="0"/>
            <c:bubble3D val="0"/>
            <c:spPr>
              <a:noFill/>
            </c:spPr>
            <c:extLst>
              <c:ext xmlns:c16="http://schemas.microsoft.com/office/drawing/2014/chart" uri="{C3380CC4-5D6E-409C-BE32-E72D297353CC}">
                <c16:uniqueId val="{0000002C-70BD-4985-842E-9BED6A69ECFA}"/>
              </c:ext>
            </c:extLst>
          </c:dPt>
          <c:dPt>
            <c:idx val="1"/>
            <c:bubble3D val="0"/>
            <c:spPr>
              <a:solidFill>
                <a:schemeClr val="bg1">
                  <a:alpha val="66000"/>
                </a:schemeClr>
              </a:solidFill>
            </c:spPr>
            <c:extLst>
              <c:ext xmlns:c16="http://schemas.microsoft.com/office/drawing/2014/chart" uri="{C3380CC4-5D6E-409C-BE32-E72D297353CC}">
                <c16:uniqueId val="{0000002E-70BD-4985-842E-9BED6A69ECFA}"/>
              </c:ext>
            </c:extLst>
          </c:dPt>
          <c:val>
            <c:numRef>
              <c:f>'13.Power and gas'!$T$6:$U$6</c:f>
              <c:numCache>
                <c:formatCode>0%</c:formatCode>
                <c:ptCount val="2"/>
                <c:pt idx="0">
                  <c:v>0.43333333333333335</c:v>
                </c:pt>
                <c:pt idx="1">
                  <c:v>0.56666666666666665</c:v>
                </c:pt>
              </c:numCache>
            </c:numRef>
          </c:val>
          <c:extLst>
            <c:ext xmlns:c16="http://schemas.microsoft.com/office/drawing/2014/chart" uri="{C3380CC4-5D6E-409C-BE32-E72D297353CC}">
              <c16:uniqueId val="{0000002F-70BD-4985-842E-9BED6A69ECF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E5F1-4E08-AF0A-E4F602A0B91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5F1-4E08-AF0A-E4F602A0B91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5F1-4E08-AF0A-E4F602A0B91C}"/>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E5F1-4E08-AF0A-E4F602A0B91C}"/>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E5F1-4E08-AF0A-E4F602A0B91C}"/>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E5F1-4E08-AF0A-E4F602A0B91C}"/>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E5F1-4E08-AF0A-E4F602A0B91C}"/>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E5F1-4E08-AF0A-E4F602A0B91C}"/>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E5F1-4E08-AF0A-E4F602A0B91C}"/>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E5F1-4E08-AF0A-E4F602A0B91C}"/>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E5F1-4E08-AF0A-E4F602A0B91C}"/>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E5F1-4E08-AF0A-E4F602A0B91C}"/>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E5F1-4E08-AF0A-E4F602A0B91C}"/>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E5F1-4E08-AF0A-E4F602A0B91C}"/>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E5F1-4E08-AF0A-E4F602A0B91C}"/>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E5F1-4E08-AF0A-E4F602A0B91C}"/>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E5F1-4E08-AF0A-E4F602A0B91C}"/>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E5F1-4E08-AF0A-E4F602A0B91C}"/>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E5F1-4E08-AF0A-E4F602A0B91C}"/>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E5F1-4E08-AF0A-E4F602A0B91C}"/>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E5F1-4E08-AF0A-E4F602A0B91C}"/>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E5F1-4E08-AF0A-E4F602A0B91C}"/>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'14. Industry_Others'!$S$6</c:f>
              <c:strCache>
                <c:ptCount val="1"/>
                <c:pt idx="0">
                  <c:v>Score</c:v>
                </c:pt>
              </c:strCache>
            </c:strRef>
          </c:tx>
          <c:dPt>
            <c:idx val="0"/>
            <c:bubble3D val="0"/>
            <c:spPr>
              <a:noFill/>
            </c:spPr>
            <c:extLst>
              <c:ext xmlns:c16="http://schemas.microsoft.com/office/drawing/2014/chart" uri="{C3380CC4-5D6E-409C-BE32-E72D297353CC}">
                <c16:uniqueId val="{0000002C-E5F1-4E08-AF0A-E4F602A0B91C}"/>
              </c:ext>
            </c:extLst>
          </c:dPt>
          <c:dPt>
            <c:idx val="1"/>
            <c:bubble3D val="0"/>
            <c:spPr>
              <a:solidFill>
                <a:schemeClr val="bg1">
                  <a:alpha val="66000"/>
                </a:schemeClr>
              </a:solidFill>
            </c:spPr>
            <c:extLst>
              <c:ext xmlns:c16="http://schemas.microsoft.com/office/drawing/2014/chart" uri="{C3380CC4-5D6E-409C-BE32-E72D297353CC}">
                <c16:uniqueId val="{0000002E-E5F1-4E08-AF0A-E4F602A0B91C}"/>
              </c:ext>
            </c:extLst>
          </c:dPt>
          <c:val>
            <c:numRef>
              <c:f>'14. Industry_Others'!$T$6:$U$6</c:f>
              <c:numCache>
                <c:formatCode>0%</c:formatCode>
                <c:ptCount val="2"/>
                <c:pt idx="0">
                  <c:v>0.41666666666666669</c:v>
                </c:pt>
                <c:pt idx="1">
                  <c:v>0.58333333333333326</c:v>
                </c:pt>
              </c:numCache>
            </c:numRef>
          </c:val>
          <c:extLst>
            <c:ext xmlns:c16="http://schemas.microsoft.com/office/drawing/2014/chart" uri="{C3380CC4-5D6E-409C-BE32-E72D297353CC}">
              <c16:uniqueId val="{0000002F-E5F1-4E08-AF0A-E4F602A0B91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B1AD-416C-A40D-11B2E05CD53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B1AD-416C-A40D-11B2E05CD530}"/>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1AD-416C-A40D-11B2E05CD530}"/>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B1AD-416C-A40D-11B2E05CD530}"/>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B1AD-416C-A40D-11B2E05CD530}"/>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B1AD-416C-A40D-11B2E05CD530}"/>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B1AD-416C-A40D-11B2E05CD530}"/>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B1AD-416C-A40D-11B2E05CD530}"/>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B1AD-416C-A40D-11B2E05CD530}"/>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B1AD-416C-A40D-11B2E05CD530}"/>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B1AD-416C-A40D-11B2E05CD530}"/>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B1AD-416C-A40D-11B2E05CD530}"/>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B1AD-416C-A40D-11B2E05CD530}"/>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B1AD-416C-A40D-11B2E05CD530}"/>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B1AD-416C-A40D-11B2E05CD530}"/>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B1AD-416C-A40D-11B2E05CD530}"/>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B1AD-416C-A40D-11B2E05CD530}"/>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B1AD-416C-A40D-11B2E05CD530}"/>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B1AD-416C-A40D-11B2E05CD530}"/>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B1AD-416C-A40D-11B2E05CD530}"/>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B1AD-416C-A40D-11B2E05CD530}"/>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B1AD-416C-A40D-11B2E05CD530}"/>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'B. Trade and commerce'!$S$6</c:f>
              <c:strCache>
                <c:ptCount val="1"/>
                <c:pt idx="0">
                  <c:v>Score</c:v>
                </c:pt>
              </c:strCache>
            </c:strRef>
          </c:tx>
          <c:dPt>
            <c:idx val="0"/>
            <c:bubble3D val="0"/>
            <c:spPr>
              <a:noFill/>
            </c:spPr>
            <c:extLst>
              <c:ext xmlns:c16="http://schemas.microsoft.com/office/drawing/2014/chart" uri="{C3380CC4-5D6E-409C-BE32-E72D297353CC}">
                <c16:uniqueId val="{0000002C-B1AD-416C-A40D-11B2E05CD530}"/>
              </c:ext>
            </c:extLst>
          </c:dPt>
          <c:dPt>
            <c:idx val="1"/>
            <c:bubble3D val="0"/>
            <c:spPr>
              <a:solidFill>
                <a:schemeClr val="bg1">
                  <a:alpha val="66000"/>
                </a:schemeClr>
              </a:solidFill>
            </c:spPr>
            <c:extLst>
              <c:ext xmlns:c16="http://schemas.microsoft.com/office/drawing/2014/chart" uri="{C3380CC4-5D6E-409C-BE32-E72D297353CC}">
                <c16:uniqueId val="{0000002E-B1AD-416C-A40D-11B2E05CD530}"/>
              </c:ext>
            </c:extLst>
          </c:dPt>
          <c:val>
            <c:numRef>
              <c:f>'B. Trade and commerce'!$T$6:$U$6</c:f>
              <c:numCache>
                <c:formatCode>0%</c:formatCode>
                <c:ptCount val="2"/>
                <c:pt idx="0">
                  <c:v>0.38333333333333336</c:v>
                </c:pt>
                <c:pt idx="1">
                  <c:v>0.6166666666666667</c:v>
                </c:pt>
              </c:numCache>
            </c:numRef>
          </c:val>
          <c:extLst>
            <c:ext xmlns:c16="http://schemas.microsoft.com/office/drawing/2014/chart" uri="{C3380CC4-5D6E-409C-BE32-E72D297353CC}">
              <c16:uniqueId val="{0000002F-B1AD-416C-A40D-11B2E05CD53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716C-4B6F-8170-2DB0C5FD35E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16C-4B6F-8170-2DB0C5FD35EC}"/>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716C-4B6F-8170-2DB0C5FD35EC}"/>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716C-4B6F-8170-2DB0C5FD35EC}"/>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716C-4B6F-8170-2DB0C5FD35EC}"/>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716C-4B6F-8170-2DB0C5FD35EC}"/>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716C-4B6F-8170-2DB0C5FD35EC}"/>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716C-4B6F-8170-2DB0C5FD35EC}"/>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716C-4B6F-8170-2DB0C5FD35EC}"/>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716C-4B6F-8170-2DB0C5FD35EC}"/>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716C-4B6F-8170-2DB0C5FD35EC}"/>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716C-4B6F-8170-2DB0C5FD35EC}"/>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716C-4B6F-8170-2DB0C5FD35EC}"/>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716C-4B6F-8170-2DB0C5FD35EC}"/>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716C-4B6F-8170-2DB0C5FD35EC}"/>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716C-4B6F-8170-2DB0C5FD35EC}"/>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716C-4B6F-8170-2DB0C5FD35EC}"/>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716C-4B6F-8170-2DB0C5FD35EC}"/>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716C-4B6F-8170-2DB0C5FD35EC}"/>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716C-4B6F-8170-2DB0C5FD35EC}"/>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716C-4B6F-8170-2DB0C5FD35EC}"/>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716C-4B6F-8170-2DB0C5FD35EC}"/>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'C. Agro'!$S$6</c:f>
              <c:strCache>
                <c:ptCount val="1"/>
                <c:pt idx="0">
                  <c:v>Score</c:v>
                </c:pt>
              </c:strCache>
            </c:strRef>
          </c:tx>
          <c:dPt>
            <c:idx val="0"/>
            <c:bubble3D val="0"/>
            <c:spPr>
              <a:noFill/>
            </c:spPr>
            <c:extLst>
              <c:ext xmlns:c16="http://schemas.microsoft.com/office/drawing/2014/chart" uri="{C3380CC4-5D6E-409C-BE32-E72D297353CC}">
                <c16:uniqueId val="{0000002C-716C-4B6F-8170-2DB0C5FD35EC}"/>
              </c:ext>
            </c:extLst>
          </c:dPt>
          <c:dPt>
            <c:idx val="1"/>
            <c:bubble3D val="0"/>
            <c:spPr>
              <a:solidFill>
                <a:schemeClr val="bg1">
                  <a:alpha val="66000"/>
                </a:schemeClr>
              </a:solidFill>
            </c:spPr>
            <c:extLst>
              <c:ext xmlns:c16="http://schemas.microsoft.com/office/drawing/2014/chart" uri="{C3380CC4-5D6E-409C-BE32-E72D297353CC}">
                <c16:uniqueId val="{0000002E-716C-4B6F-8170-2DB0C5FD35EC}"/>
              </c:ext>
            </c:extLst>
          </c:dPt>
          <c:val>
            <c:numRef>
              <c:f>'C. Agro'!$T$6:$U$6</c:f>
              <c:numCache>
                <c:formatCode>0%</c:formatCode>
                <c:ptCount val="2"/>
                <c:pt idx="0">
                  <c:v>0.45</c:v>
                </c:pt>
                <c:pt idx="1">
                  <c:v>0.55000000000000004</c:v>
                </c:pt>
              </c:numCache>
            </c:numRef>
          </c:val>
          <c:extLst>
            <c:ext xmlns:c16="http://schemas.microsoft.com/office/drawing/2014/chart" uri="{C3380CC4-5D6E-409C-BE32-E72D297353CC}">
              <c16:uniqueId val="{0000002F-716C-4B6F-8170-2DB0C5FD35E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8393-40DD-975C-443708A786B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8393-40DD-975C-443708A786B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8393-40DD-975C-443708A786B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8393-40DD-975C-443708A786B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8393-40DD-975C-443708A786B5}"/>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8393-40DD-975C-443708A786B5}"/>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8393-40DD-975C-443708A786B5}"/>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8393-40DD-975C-443708A786B5}"/>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8393-40DD-975C-443708A786B5}"/>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8393-40DD-975C-443708A786B5}"/>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8393-40DD-975C-443708A786B5}"/>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8393-40DD-975C-443708A786B5}"/>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8393-40DD-975C-443708A786B5}"/>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8393-40DD-975C-443708A786B5}"/>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8393-40DD-975C-443708A786B5}"/>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8393-40DD-975C-443708A786B5}"/>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8393-40DD-975C-443708A786B5}"/>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8393-40DD-975C-443708A786B5}"/>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8393-40DD-975C-443708A786B5}"/>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8393-40DD-975C-443708A786B5}"/>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8393-40DD-975C-443708A786B5}"/>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8393-40DD-975C-443708A786B5}"/>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'1. Service_Housing&amp;Cnst'!$S$6</c:f>
              <c:strCache>
                <c:ptCount val="1"/>
                <c:pt idx="0">
                  <c:v>Score</c:v>
                </c:pt>
              </c:strCache>
            </c:strRef>
          </c:tx>
          <c:dPt>
            <c:idx val="0"/>
            <c:bubble3D val="0"/>
            <c:spPr>
              <a:noFill/>
            </c:spPr>
            <c:extLst>
              <c:ext xmlns:c16="http://schemas.microsoft.com/office/drawing/2014/chart" uri="{C3380CC4-5D6E-409C-BE32-E72D297353CC}">
                <c16:uniqueId val="{0000002C-8393-40DD-975C-443708A786B5}"/>
              </c:ext>
            </c:extLst>
          </c:dPt>
          <c:dPt>
            <c:idx val="1"/>
            <c:bubble3D val="0"/>
            <c:spPr>
              <a:solidFill>
                <a:schemeClr val="bg1">
                  <a:alpha val="66000"/>
                </a:schemeClr>
              </a:solidFill>
            </c:spPr>
            <c:extLst>
              <c:ext xmlns:c16="http://schemas.microsoft.com/office/drawing/2014/chart" uri="{C3380CC4-5D6E-409C-BE32-E72D297353CC}">
                <c16:uniqueId val="{0000002E-8393-40DD-975C-443708A786B5}"/>
              </c:ext>
            </c:extLst>
          </c:dPt>
          <c:val>
            <c:numRef>
              <c:f>'1. Service_Housing&amp;Cnst'!$T$6:$U$6</c:f>
              <c:numCache>
                <c:formatCode>0%</c:formatCode>
                <c:ptCount val="2"/>
                <c:pt idx="0">
                  <c:v>0.43333333333333335</c:v>
                </c:pt>
                <c:pt idx="1">
                  <c:v>0.56666666666666665</c:v>
                </c:pt>
              </c:numCache>
            </c:numRef>
          </c:val>
          <c:extLst>
            <c:ext xmlns:c16="http://schemas.microsoft.com/office/drawing/2014/chart" uri="{C3380CC4-5D6E-409C-BE32-E72D297353CC}">
              <c16:uniqueId val="{0000002F-8393-40DD-975C-443708A786B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2D0C-4CF9-8959-9B81AA203D9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D0C-4CF9-8959-9B81AA203D99}"/>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2D0C-4CF9-8959-9B81AA203D99}"/>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2D0C-4CF9-8959-9B81AA203D99}"/>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2D0C-4CF9-8959-9B81AA203D99}"/>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2D0C-4CF9-8959-9B81AA203D99}"/>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2D0C-4CF9-8959-9B81AA203D99}"/>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2D0C-4CF9-8959-9B81AA203D99}"/>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2D0C-4CF9-8959-9B81AA203D99}"/>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2D0C-4CF9-8959-9B81AA203D99}"/>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2D0C-4CF9-8959-9B81AA203D99}"/>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2D0C-4CF9-8959-9B81AA203D99}"/>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2D0C-4CF9-8959-9B81AA203D99}"/>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2D0C-4CF9-8959-9B81AA203D99}"/>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2D0C-4CF9-8959-9B81AA203D99}"/>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2D0C-4CF9-8959-9B81AA203D99}"/>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2D0C-4CF9-8959-9B81AA203D99}"/>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2D0C-4CF9-8959-9B81AA203D99}"/>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2D0C-4CF9-8959-9B81AA203D99}"/>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2D0C-4CF9-8959-9B81AA203D99}"/>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2D0C-4CF9-8959-9B81AA203D99}"/>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2D0C-4CF9-8959-9B81AA203D99}"/>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'2. Service_Telecom'!$S$6</c:f>
              <c:strCache>
                <c:ptCount val="1"/>
                <c:pt idx="0">
                  <c:v>Score</c:v>
                </c:pt>
              </c:strCache>
            </c:strRef>
          </c:tx>
          <c:dPt>
            <c:idx val="0"/>
            <c:bubble3D val="0"/>
            <c:spPr>
              <a:noFill/>
            </c:spPr>
            <c:extLst>
              <c:ext xmlns:c16="http://schemas.microsoft.com/office/drawing/2014/chart" uri="{C3380CC4-5D6E-409C-BE32-E72D297353CC}">
                <c16:uniqueId val="{0000002C-2D0C-4CF9-8959-9B81AA203D99}"/>
              </c:ext>
            </c:extLst>
          </c:dPt>
          <c:dPt>
            <c:idx val="1"/>
            <c:bubble3D val="0"/>
            <c:spPr>
              <a:solidFill>
                <a:schemeClr val="bg1">
                  <a:alpha val="66000"/>
                </a:schemeClr>
              </a:solidFill>
            </c:spPr>
            <c:extLst>
              <c:ext xmlns:c16="http://schemas.microsoft.com/office/drawing/2014/chart" uri="{C3380CC4-5D6E-409C-BE32-E72D297353CC}">
                <c16:uniqueId val="{0000002E-2D0C-4CF9-8959-9B81AA203D99}"/>
              </c:ext>
            </c:extLst>
          </c:dPt>
          <c:val>
            <c:numRef>
              <c:f>'2. Service_Telecom'!$T$6:$U$6</c:f>
              <c:numCache>
                <c:formatCode>0%</c:formatCode>
                <c:ptCount val="2"/>
                <c:pt idx="0">
                  <c:v>0.46666666666666667</c:v>
                </c:pt>
                <c:pt idx="1">
                  <c:v>0.53333333333333333</c:v>
                </c:pt>
              </c:numCache>
            </c:numRef>
          </c:val>
          <c:extLst>
            <c:ext xmlns:c16="http://schemas.microsoft.com/office/drawing/2014/chart" uri="{C3380CC4-5D6E-409C-BE32-E72D297353CC}">
              <c16:uniqueId val="{0000002F-2D0C-4CF9-8959-9B81AA203D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9976-4B24-9DEC-99FE50551DE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976-4B24-9DEC-99FE50551DE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9976-4B24-9DEC-99FE50551DE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9976-4B24-9DEC-99FE50551DE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9976-4B24-9DEC-99FE50551DE5}"/>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9976-4B24-9DEC-99FE50551DE5}"/>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9976-4B24-9DEC-99FE50551DE5}"/>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9976-4B24-9DEC-99FE50551DE5}"/>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9976-4B24-9DEC-99FE50551DE5}"/>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9976-4B24-9DEC-99FE50551DE5}"/>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9976-4B24-9DEC-99FE50551DE5}"/>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9976-4B24-9DEC-99FE50551DE5}"/>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9976-4B24-9DEC-99FE50551DE5}"/>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9976-4B24-9DEC-99FE50551DE5}"/>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9976-4B24-9DEC-99FE50551DE5}"/>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9976-4B24-9DEC-99FE50551DE5}"/>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9976-4B24-9DEC-99FE50551DE5}"/>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9976-4B24-9DEC-99FE50551DE5}"/>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9976-4B24-9DEC-99FE50551DE5}"/>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9976-4B24-9DEC-99FE50551DE5}"/>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9976-4B24-9DEC-99FE50551DE5}"/>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9976-4B24-9DEC-99FE50551DE5}"/>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'3. Servic_Hospitals&amp;Clinics'!$S$6</c:f>
              <c:strCache>
                <c:ptCount val="1"/>
                <c:pt idx="0">
                  <c:v>Score</c:v>
                </c:pt>
              </c:strCache>
            </c:strRef>
          </c:tx>
          <c:dPt>
            <c:idx val="0"/>
            <c:bubble3D val="0"/>
            <c:spPr>
              <a:noFill/>
            </c:spPr>
            <c:extLst>
              <c:ext xmlns:c16="http://schemas.microsoft.com/office/drawing/2014/chart" uri="{C3380CC4-5D6E-409C-BE32-E72D297353CC}">
                <c16:uniqueId val="{0000002C-9976-4B24-9DEC-99FE50551DE5}"/>
              </c:ext>
            </c:extLst>
          </c:dPt>
          <c:dPt>
            <c:idx val="1"/>
            <c:bubble3D val="0"/>
            <c:spPr>
              <a:solidFill>
                <a:schemeClr val="bg1">
                  <a:alpha val="66000"/>
                </a:schemeClr>
              </a:solidFill>
            </c:spPr>
            <c:extLst>
              <c:ext xmlns:c16="http://schemas.microsoft.com/office/drawing/2014/chart" uri="{C3380CC4-5D6E-409C-BE32-E72D297353CC}">
                <c16:uniqueId val="{0000002E-9976-4B24-9DEC-99FE50551DE5}"/>
              </c:ext>
            </c:extLst>
          </c:dPt>
          <c:val>
            <c:numRef>
              <c:f>'3. Servic_Hospitals&amp;Clinics'!$T$6:$U$6</c:f>
              <c:numCache>
                <c:formatCode>0%</c:formatCode>
                <c:ptCount val="2"/>
                <c:pt idx="0">
                  <c:v>0.45</c:v>
                </c:pt>
                <c:pt idx="1">
                  <c:v>0.55000000000000004</c:v>
                </c:pt>
              </c:numCache>
            </c:numRef>
          </c:val>
          <c:extLst>
            <c:ext xmlns:c16="http://schemas.microsoft.com/office/drawing/2014/chart" uri="{C3380CC4-5D6E-409C-BE32-E72D297353CC}">
              <c16:uniqueId val="{0000002F-9976-4B24-9DEC-99FE50551DE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4878140232471"/>
          <c:y val="5.6849948841140613E-2"/>
          <c:w val="0.76131008623922014"/>
          <c:h val="0.90324925486009811"/>
        </c:manualLayout>
      </c:layout>
      <c:doughnutChart>
        <c:varyColors val="1"/>
        <c:ser>
          <c:idx val="0"/>
          <c:order val="0"/>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DFEE-4B6B-836F-0A02EC41F4A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DFEE-4B6B-836F-0A02EC41F4A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DFEE-4B6B-836F-0A02EC41F4A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DFEE-4B6B-836F-0A02EC41F4A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DFEE-4B6B-836F-0A02EC41F4A5}"/>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DFEE-4B6B-836F-0A02EC41F4A5}"/>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DFEE-4B6B-836F-0A02EC41F4A5}"/>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DFEE-4B6B-836F-0A02EC41F4A5}"/>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DFEE-4B6B-836F-0A02EC41F4A5}"/>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DFEE-4B6B-836F-0A02EC41F4A5}"/>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DFEE-4B6B-836F-0A02EC41F4A5}"/>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DFEE-4B6B-836F-0A02EC41F4A5}"/>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DFEE-4B6B-836F-0A02EC41F4A5}"/>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DFEE-4B6B-836F-0A02EC41F4A5}"/>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DFEE-4B6B-836F-0A02EC41F4A5}"/>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DFEE-4B6B-836F-0A02EC41F4A5}"/>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DFEE-4B6B-836F-0A02EC41F4A5}"/>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DFEE-4B6B-836F-0A02EC41F4A5}"/>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DFEE-4B6B-836F-0A02EC41F4A5}"/>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DFEE-4B6B-836F-0A02EC41F4A5}"/>
              </c:ext>
            </c:extLst>
          </c:dPt>
          <c:dPt>
            <c:idx val="20"/>
            <c:bubble3D val="0"/>
            <c:spPr>
              <a:solidFill>
                <a:srgbClr val="00B050"/>
              </a:solidFill>
              <a:ln w="19050">
                <a:solidFill>
                  <a:schemeClr val="lt1"/>
                </a:solidFill>
              </a:ln>
              <a:effectLst/>
            </c:spPr>
            <c:extLst>
              <c:ext xmlns:c16="http://schemas.microsoft.com/office/drawing/2014/chart" uri="{C3380CC4-5D6E-409C-BE32-E72D297353CC}">
                <c16:uniqueId val="{00000029-DFEE-4B6B-836F-0A02EC41F4A5}"/>
              </c:ext>
            </c:extLst>
          </c:dPt>
          <c:val>
            <c:numLit>
              <c:formatCode>General</c:formatCode>
              <c:ptCount val="2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Lit>
          </c:val>
          <c:extLst>
            <c:ext xmlns:c16="http://schemas.microsoft.com/office/drawing/2014/chart" uri="{C3380CC4-5D6E-409C-BE32-E72D297353CC}">
              <c16:uniqueId val="{0000002A-DFEE-4B6B-836F-0A02EC41F4A5}"/>
            </c:ext>
          </c:extLst>
        </c:ser>
        <c:dLbls>
          <c:showLegendKey val="0"/>
          <c:showVal val="0"/>
          <c:showCatName val="0"/>
          <c:showSerName val="0"/>
          <c:showPercent val="0"/>
          <c:showBubbleSize val="0"/>
          <c:showLeaderLines val="0"/>
        </c:dLbls>
        <c:firstSliceAng val="0"/>
        <c:holeSize val="75"/>
      </c:doughnutChart>
      <c:doughnutChart>
        <c:varyColors val="1"/>
        <c:ser>
          <c:idx val="1"/>
          <c:order val="1"/>
          <c:tx>
            <c:strRef>
              <c:f>'3. Service_ Others '!$S$6</c:f>
              <c:strCache>
                <c:ptCount val="1"/>
                <c:pt idx="0">
                  <c:v>Score</c:v>
                </c:pt>
              </c:strCache>
            </c:strRef>
          </c:tx>
          <c:dPt>
            <c:idx val="0"/>
            <c:bubble3D val="0"/>
            <c:spPr>
              <a:noFill/>
            </c:spPr>
            <c:extLst>
              <c:ext xmlns:c16="http://schemas.microsoft.com/office/drawing/2014/chart" uri="{C3380CC4-5D6E-409C-BE32-E72D297353CC}">
                <c16:uniqueId val="{0000002C-DFEE-4B6B-836F-0A02EC41F4A5}"/>
              </c:ext>
            </c:extLst>
          </c:dPt>
          <c:dPt>
            <c:idx val="1"/>
            <c:bubble3D val="0"/>
            <c:spPr>
              <a:solidFill>
                <a:schemeClr val="bg1">
                  <a:alpha val="66000"/>
                </a:schemeClr>
              </a:solidFill>
            </c:spPr>
            <c:extLst>
              <c:ext xmlns:c16="http://schemas.microsoft.com/office/drawing/2014/chart" uri="{C3380CC4-5D6E-409C-BE32-E72D297353CC}">
                <c16:uniqueId val="{0000002E-DFEE-4B6B-836F-0A02EC41F4A5}"/>
              </c:ext>
            </c:extLst>
          </c:dPt>
          <c:val>
            <c:numRef>
              <c:f>'3. Service_ Others '!$T$6:$U$6</c:f>
              <c:numCache>
                <c:formatCode>0%</c:formatCode>
                <c:ptCount val="2"/>
                <c:pt idx="0">
                  <c:v>0.45</c:v>
                </c:pt>
                <c:pt idx="1">
                  <c:v>0.55000000000000004</c:v>
                </c:pt>
              </c:numCache>
            </c:numRef>
          </c:val>
          <c:extLst>
            <c:ext xmlns:c16="http://schemas.microsoft.com/office/drawing/2014/chart" uri="{C3380CC4-5D6E-409C-BE32-E72D297353CC}">
              <c16:uniqueId val="{0000002F-DFEE-4B6B-836F-0A02EC41F4A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prstDash val="dash"/>
      <a:round/>
    </a:ln>
    <a:effectLst/>
  </c:spPr>
  <c:txPr>
    <a:bodyPr/>
    <a:lstStyle/>
    <a:p>
      <a:pPr>
        <a:defRPr/>
      </a:pPr>
      <a:endParaRPr lang="en-US"/>
    </a:p>
  </c:txPr>
  <c:printSettings>
    <c:headerFooter/>
    <c:pageMargins b="0.75000000000000655" l="0.70000000000000062" r="0.70000000000000062" t="0.75000000000000655"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hyperlink" Target="#Index!A1"/><Relationship Id="rId1" Type="http://schemas.openxmlformats.org/officeDocument/2006/relationships/hyperlink" Target="#'Top Page'!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editAs="oneCell">
    <xdr:from>
      <xdr:col>5</xdr:col>
      <xdr:colOff>47625</xdr:colOff>
      <xdr:row>30</xdr:row>
      <xdr:rowOff>104775</xdr:rowOff>
    </xdr:from>
    <xdr:to>
      <xdr:col>6</xdr:col>
      <xdr:colOff>420813</xdr:colOff>
      <xdr:row>35</xdr:row>
      <xdr:rowOff>66675</xdr:rowOff>
    </xdr:to>
    <xdr:pic>
      <xdr:nvPicPr>
        <xdr:cNvPr id="8" name="Picture 7" descr="http://1.bp.blogspot.com/-ncI_ZO5Fa5g/TrN5aa0C5aI/AAAAAAAAAoI/TAQLYQrAHiQ/s320/bblogo.JPG">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bwMode="auto">
        <a:xfrm>
          <a:off x="5610225" y="5819775"/>
          <a:ext cx="982788" cy="9144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2486026</xdr:colOff>
      <xdr:row>10</xdr:row>
      <xdr:rowOff>47625</xdr:rowOff>
    </xdr:from>
    <xdr:to>
      <xdr:col>9</xdr:col>
      <xdr:colOff>566908</xdr:colOff>
      <xdr:row>38</xdr:row>
      <xdr:rowOff>19050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486026" y="1952625"/>
          <a:ext cx="5700882" cy="66865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969065</xdr:colOff>
      <xdr:row>1</xdr:row>
      <xdr:rowOff>554934</xdr:rowOff>
    </xdr:from>
    <xdr:to>
      <xdr:col>3</xdr:col>
      <xdr:colOff>2840934</xdr:colOff>
      <xdr:row>1</xdr:row>
      <xdr:rowOff>1118152</xdr:rowOff>
    </xdr:to>
    <xdr:grpSp>
      <xdr:nvGrpSpPr>
        <xdr:cNvPr id="8" name="Group 7">
          <a:extLst>
            <a:ext uri="{FF2B5EF4-FFF2-40B4-BE49-F238E27FC236}">
              <a16:creationId xmlns:a16="http://schemas.microsoft.com/office/drawing/2014/main" id="{00000000-0008-0000-0200-000008000000}"/>
            </a:ext>
          </a:extLst>
        </xdr:cNvPr>
        <xdr:cNvGrpSpPr/>
      </xdr:nvGrpSpPr>
      <xdr:grpSpPr>
        <a:xfrm>
          <a:off x="5894851" y="1365920"/>
          <a:ext cx="1871869" cy="0"/>
          <a:chOff x="5905500" y="753717"/>
          <a:chExt cx="1871869" cy="563218"/>
        </a:xfrm>
        <a:solidFill>
          <a:srgbClr val="9933FF"/>
        </a:solidFill>
      </xdr:grpSpPr>
      <xdr:sp macro="" textlink="">
        <xdr:nvSpPr>
          <xdr:cNvPr id="6" name="Arrow: Right 5">
            <a:hlinkClick xmlns:r="http://schemas.openxmlformats.org/officeDocument/2006/relationships" r:id="rId1"/>
            <a:extLst>
              <a:ext uri="{FF2B5EF4-FFF2-40B4-BE49-F238E27FC236}">
                <a16:creationId xmlns:a16="http://schemas.microsoft.com/office/drawing/2014/main" id="{00000000-0008-0000-0200-000006000000}"/>
              </a:ext>
            </a:extLst>
          </xdr:cNvPr>
          <xdr:cNvSpPr/>
        </xdr:nvSpPr>
        <xdr:spPr>
          <a:xfrm>
            <a:off x="6940824" y="753719"/>
            <a:ext cx="836545" cy="554933"/>
          </a:xfrm>
          <a:prstGeom prst="rightArrow">
            <a:avLst/>
          </a:prstGeom>
          <a:grpFill/>
          <a:ln>
            <a:noFill/>
          </a:ln>
          <a:scene3d>
            <a:camera prst="isometricOffAxis1Righ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NEXT</a:t>
            </a:r>
          </a:p>
        </xdr:txBody>
      </xdr:sp>
      <xdr:sp macro="" textlink="">
        <xdr:nvSpPr>
          <xdr:cNvPr id="7" name="Arrow: Left 6">
            <a:hlinkClick xmlns:r="http://schemas.openxmlformats.org/officeDocument/2006/relationships" r:id="rId2"/>
            <a:extLst>
              <a:ext uri="{FF2B5EF4-FFF2-40B4-BE49-F238E27FC236}">
                <a16:creationId xmlns:a16="http://schemas.microsoft.com/office/drawing/2014/main" id="{00000000-0008-0000-0200-000007000000}"/>
              </a:ext>
            </a:extLst>
          </xdr:cNvPr>
          <xdr:cNvSpPr/>
        </xdr:nvSpPr>
        <xdr:spPr>
          <a:xfrm>
            <a:off x="5905500" y="753717"/>
            <a:ext cx="977349" cy="563218"/>
          </a:xfrm>
          <a:prstGeom prst="leftArrow">
            <a:avLst/>
          </a:prstGeom>
          <a:grpFill/>
          <a:ln>
            <a:noFill/>
          </a:ln>
          <a:scene3d>
            <a:camera prst="isometricOffAxis1Right"/>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PREVIOUS</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549260</xdr:colOff>
      <xdr:row>0</xdr:row>
      <xdr:rowOff>0</xdr:rowOff>
    </xdr:from>
    <xdr:to>
      <xdr:col>13</xdr:col>
      <xdr:colOff>295553</xdr:colOff>
      <xdr:row>18</xdr:row>
      <xdr:rowOff>5283</xdr:rowOff>
    </xdr:to>
    <xdr:graphicFrame macro="">
      <xdr:nvGraphicFramePr>
        <xdr:cNvPr id="2" name="Chart 1">
          <a:extLst>
            <a:ext uri="{FF2B5EF4-FFF2-40B4-BE49-F238E27FC236}">
              <a16:creationId xmlns:a16="http://schemas.microsoft.com/office/drawing/2014/main" id="{787BEAEB-92F0-4117-82BD-AF29F003C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330020</xdr:colOff>
      <xdr:row>23</xdr:row>
      <xdr:rowOff>90688</xdr:rowOff>
    </xdr:from>
    <xdr:to>
      <xdr:col>16</xdr:col>
      <xdr:colOff>308556</xdr:colOff>
      <xdr:row>49</xdr:row>
      <xdr:rowOff>137374</xdr:rowOff>
    </xdr:to>
    <xdr:graphicFrame macro="">
      <xdr:nvGraphicFramePr>
        <xdr:cNvPr id="4" name="Chart 3">
          <a:extLst>
            <a:ext uri="{FF2B5EF4-FFF2-40B4-BE49-F238E27FC236}">
              <a16:creationId xmlns:a16="http://schemas.microsoft.com/office/drawing/2014/main" id="{FD7D1A14-2F32-4F9D-86C3-CCA603207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174305</xdr:colOff>
      <xdr:row>8</xdr:row>
      <xdr:rowOff>122631</xdr:rowOff>
    </xdr:from>
    <xdr:to>
      <xdr:col>25</xdr:col>
      <xdr:colOff>204108</xdr:colOff>
      <xdr:row>26</xdr:row>
      <xdr:rowOff>79375</xdr:rowOff>
    </xdr:to>
    <xdr:graphicFrame macro="">
      <xdr:nvGraphicFramePr>
        <xdr:cNvPr id="5" name="Chart 4">
          <a:extLst>
            <a:ext uri="{FF2B5EF4-FFF2-40B4-BE49-F238E27FC236}">
              <a16:creationId xmlns:a16="http://schemas.microsoft.com/office/drawing/2014/main" id="{FAC874E5-393D-42AB-A0C7-D49E73F2B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575829</xdr:colOff>
      <xdr:row>0</xdr:row>
      <xdr:rowOff>126424</xdr:rowOff>
    </xdr:from>
    <xdr:to>
      <xdr:col>12</xdr:col>
      <xdr:colOff>606135</xdr:colOff>
      <xdr:row>17</xdr:row>
      <xdr:rowOff>138547</xdr:rowOff>
    </xdr:to>
    <xdr:graphicFrame macro="">
      <xdr:nvGraphicFramePr>
        <xdr:cNvPr id="5" name="Chart 4">
          <a:extLst>
            <a:ext uri="{FF2B5EF4-FFF2-40B4-BE49-F238E27FC236}">
              <a16:creationId xmlns:a16="http://schemas.microsoft.com/office/drawing/2014/main" id="{E42A13FD-E3FD-442B-8B5B-D166E4237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220808</xdr:colOff>
      <xdr:row>0</xdr:row>
      <xdr:rowOff>187037</xdr:rowOff>
    </xdr:from>
    <xdr:to>
      <xdr:col>17</xdr:col>
      <xdr:colOff>147204</xdr:colOff>
      <xdr:row>14</xdr:row>
      <xdr:rowOff>164522</xdr:rowOff>
    </xdr:to>
    <xdr:graphicFrame macro="">
      <xdr:nvGraphicFramePr>
        <xdr:cNvPr id="6" name="Chart 5">
          <a:extLst>
            <a:ext uri="{FF2B5EF4-FFF2-40B4-BE49-F238E27FC236}">
              <a16:creationId xmlns:a16="http://schemas.microsoft.com/office/drawing/2014/main" id="{015FCC7E-6789-458F-ABA8-F116EC5A3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168852</xdr:colOff>
      <xdr:row>33</xdr:row>
      <xdr:rowOff>126422</xdr:rowOff>
    </xdr:from>
    <xdr:to>
      <xdr:col>19</xdr:col>
      <xdr:colOff>497898</xdr:colOff>
      <xdr:row>59</xdr:row>
      <xdr:rowOff>142008</xdr:rowOff>
    </xdr:to>
    <xdr:graphicFrame macro="">
      <xdr:nvGraphicFramePr>
        <xdr:cNvPr id="7" name="Chart 6">
          <a:extLst>
            <a:ext uri="{FF2B5EF4-FFF2-40B4-BE49-F238E27FC236}">
              <a16:creationId xmlns:a16="http://schemas.microsoft.com/office/drawing/2014/main" id="{3893C623-6BC7-41AA-A819-386BB9033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48997CCA-BF76-4F3E-8B41-FCE7A19D3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714376</xdr:colOff>
      <xdr:row>4</xdr:row>
      <xdr:rowOff>220399</xdr:rowOff>
    </xdr:from>
    <xdr:to>
      <xdr:col>4</xdr:col>
      <xdr:colOff>400050</xdr:colOff>
      <xdr:row>6</xdr:row>
      <xdr:rowOff>55034</xdr:rowOff>
    </xdr:to>
    <xdr:sp macro="" textlink="$C$55">
      <xdr:nvSpPr>
        <xdr:cNvPr id="3" name="TextBox 2">
          <a:extLst>
            <a:ext uri="{FF2B5EF4-FFF2-40B4-BE49-F238E27FC236}">
              <a16:creationId xmlns:a16="http://schemas.microsoft.com/office/drawing/2014/main" id="{26AAFCE4-A280-4B13-B06C-25C43FD7C8E8}"/>
            </a:ext>
          </a:extLst>
        </xdr:cNvPr>
        <xdr:cNvSpPr txBox="1"/>
      </xdr:nvSpPr>
      <xdr:spPr>
        <a:xfrm>
          <a:off x="5257801" y="1496749"/>
          <a:ext cx="1704974"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3AAC4B-C1E6-466A-809D-1B5C41C98835}" type="TxLink">
            <a:rPr lang="en-US" sz="3600" b="0" i="0" u="none" strike="noStrike">
              <a:solidFill>
                <a:srgbClr val="000000"/>
              </a:solidFill>
              <a:latin typeface="Impact" panose="020B0806030902050204" pitchFamily="34" charset="0"/>
            </a:rPr>
            <a:pPr algn="ctr"/>
            <a:t>37%</a:t>
          </a:fld>
          <a:endParaRPr lang="en-US" sz="3600">
            <a:latin typeface="Impact" panose="020B0806030902050204" pitchFamily="34" charset="0"/>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0.09914</cdr:x>
      <cdr:y>0.53871</cdr:y>
    </cdr:from>
    <cdr:to>
      <cdr:x>0.85484</cdr:x>
      <cdr:y>0.75732</cdr:y>
    </cdr:to>
    <cdr:sp macro="" textlink="'9. Quantitative Analysis'!$E$54">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221189" y="1207552"/>
          <a:ext cx="1685919" cy="49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D12EE75F-0533-4EF5-BD88-053827E45594}" type="TxLink">
            <a:rPr lang="en-US" sz="2800" b="1" i="0" u="none" strike="noStrike">
              <a:solidFill>
                <a:srgbClr val="000000"/>
              </a:solidFill>
              <a:latin typeface="Impact" pitchFamily="34" charset="0"/>
            </a:rPr>
            <a:pPr algn="ctr"/>
            <a:t>22</a:t>
          </a:fld>
          <a:endParaRPr lang="en-US" sz="2800" b="1">
            <a:latin typeface="Impact"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4</xdr:col>
      <xdr:colOff>409576</xdr:colOff>
      <xdr:row>1</xdr:row>
      <xdr:rowOff>114300</xdr:rowOff>
    </xdr:from>
    <xdr:to>
      <xdr:col>6</xdr:col>
      <xdr:colOff>742951</xdr:colOff>
      <xdr:row>12</xdr:row>
      <xdr:rowOff>28575</xdr:rowOff>
    </xdr:to>
    <xdr:graphicFrame macro="">
      <xdr:nvGraphicFramePr>
        <xdr:cNvPr id="5" name="Chart 4">
          <a:extLst>
            <a:ext uri="{FF2B5EF4-FFF2-40B4-BE49-F238E27FC236}">
              <a16:creationId xmlns:a16="http://schemas.microsoft.com/office/drawing/2014/main" id="{34193238-B379-46E6-96E2-0796D916B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3</xdr:row>
      <xdr:rowOff>171451</xdr:rowOff>
    </xdr:from>
    <xdr:to>
      <xdr:col>6</xdr:col>
      <xdr:colOff>581025</xdr:colOff>
      <xdr:row>6</xdr:row>
      <xdr:rowOff>28575</xdr:rowOff>
    </xdr:to>
    <xdr:sp macro="" textlink="$J$8">
      <xdr:nvSpPr>
        <xdr:cNvPr id="6" name="TextBox 5">
          <a:extLst>
            <a:ext uri="{FF2B5EF4-FFF2-40B4-BE49-F238E27FC236}">
              <a16:creationId xmlns:a16="http://schemas.microsoft.com/office/drawing/2014/main" id="{8B1D8CBE-E8CA-4A92-BD2C-D14CB63427A3}"/>
            </a:ext>
          </a:extLst>
        </xdr:cNvPr>
        <xdr:cNvSpPr txBox="1"/>
      </xdr:nvSpPr>
      <xdr:spPr>
        <a:xfrm>
          <a:off x="5934075" y="962026"/>
          <a:ext cx="1695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F693B5-1138-4EAE-A434-92D42D2A1FF3}" type="TxLink">
            <a:rPr lang="en-US" sz="3200" b="0" i="0" u="none" strike="noStrike">
              <a:solidFill>
                <a:srgbClr val="000000"/>
              </a:solidFill>
              <a:latin typeface="Impact" panose="020B0806030902050204" pitchFamily="34" charset="0"/>
            </a:rPr>
            <a:pPr algn="ctr"/>
            <a:t>71%</a:t>
          </a:fld>
          <a:endParaRPr lang="en-US" sz="3200" i="0">
            <a:latin typeface="Impact" panose="020B0806030902050204" pitchFamily="34" charset="0"/>
          </a:endParaRPr>
        </a:p>
      </xdr:txBody>
    </xdr:sp>
    <xdr:clientData/>
  </xdr:twoCellAnchor>
  <xdr:twoCellAnchor>
    <xdr:from>
      <xdr:col>5</xdr:col>
      <xdr:colOff>133350</xdr:colOff>
      <xdr:row>6</xdr:row>
      <xdr:rowOff>47625</xdr:rowOff>
    </xdr:from>
    <xdr:to>
      <xdr:col>6</xdr:col>
      <xdr:colOff>504825</xdr:colOff>
      <xdr:row>8</xdr:row>
      <xdr:rowOff>133350</xdr:rowOff>
    </xdr:to>
    <xdr:sp macro="" textlink="$G$111">
      <xdr:nvSpPr>
        <xdr:cNvPr id="2" name="Rectangle 1">
          <a:extLst>
            <a:ext uri="{FF2B5EF4-FFF2-40B4-BE49-F238E27FC236}">
              <a16:creationId xmlns:a16="http://schemas.microsoft.com/office/drawing/2014/main" id="{EE1F431D-488E-45F1-9883-030812B68BBD}"/>
            </a:ext>
          </a:extLst>
        </xdr:cNvPr>
        <xdr:cNvSpPr/>
      </xdr:nvSpPr>
      <xdr:spPr>
        <a:xfrm>
          <a:off x="5991225" y="1485900"/>
          <a:ext cx="1562100" cy="552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757AB6D-ACCB-4E73-AFB7-64D22437A140}" type="TxLink">
            <a:rPr lang="en-US" sz="2400" b="0" i="0" u="none" strike="noStrike">
              <a:solidFill>
                <a:srgbClr val="000000"/>
              </a:solidFill>
              <a:latin typeface="Impact" panose="020B0806030902050204" pitchFamily="34" charset="0"/>
            </a:rPr>
            <a:pPr algn="ctr"/>
            <a:t>28.5</a:t>
          </a:fld>
          <a:endParaRPr lang="en-US" sz="2400">
            <a:latin typeface="Impact" panose="020B080603090205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546100</xdr:colOff>
      <xdr:row>0</xdr:row>
      <xdr:rowOff>101287</xdr:rowOff>
    </xdr:from>
    <xdr:to>
      <xdr:col>6</xdr:col>
      <xdr:colOff>1355725</xdr:colOff>
      <xdr:row>3</xdr:row>
      <xdr:rowOff>484710</xdr:rowOff>
    </xdr:to>
    <xdr:graphicFrame macro="">
      <xdr:nvGraphicFramePr>
        <xdr:cNvPr id="5" name="Chart 4">
          <a:extLst>
            <a:ext uri="{FF2B5EF4-FFF2-40B4-BE49-F238E27FC236}">
              <a16:creationId xmlns:a16="http://schemas.microsoft.com/office/drawing/2014/main" id="{65923739-90A9-4235-8917-D54C270BF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654832</xdr:colOff>
      <xdr:row>3</xdr:row>
      <xdr:rowOff>462859</xdr:rowOff>
    </xdr:from>
    <xdr:to>
      <xdr:col>6</xdr:col>
      <xdr:colOff>1246993</xdr:colOff>
      <xdr:row>8</xdr:row>
      <xdr:rowOff>135582</xdr:rowOff>
    </xdr:to>
    <xdr:graphicFrame macro="">
      <xdr:nvGraphicFramePr>
        <xdr:cNvPr id="9" name="Chart 8">
          <a:extLst>
            <a:ext uri="{FF2B5EF4-FFF2-40B4-BE49-F238E27FC236}">
              <a16:creationId xmlns:a16="http://schemas.microsoft.com/office/drawing/2014/main" id="{AA06E5CA-A59D-40A3-807D-2280582D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654832</xdr:colOff>
      <xdr:row>8</xdr:row>
      <xdr:rowOff>113731</xdr:rowOff>
    </xdr:from>
    <xdr:to>
      <xdr:col>6</xdr:col>
      <xdr:colOff>1246993</xdr:colOff>
      <xdr:row>13</xdr:row>
      <xdr:rowOff>170297</xdr:rowOff>
    </xdr:to>
    <xdr:graphicFrame macro="">
      <xdr:nvGraphicFramePr>
        <xdr:cNvPr id="12" name="Chart 11">
          <a:extLst>
            <a:ext uri="{FF2B5EF4-FFF2-40B4-BE49-F238E27FC236}">
              <a16:creationId xmlns:a16="http://schemas.microsoft.com/office/drawing/2014/main" id="{1846A29F-6EA9-40F2-B59B-DDEFA0365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233795</xdr:colOff>
      <xdr:row>14</xdr:row>
      <xdr:rowOff>1939637</xdr:rowOff>
    </xdr:from>
    <xdr:to>
      <xdr:col>2</xdr:col>
      <xdr:colOff>1743941</xdr:colOff>
      <xdr:row>14</xdr:row>
      <xdr:rowOff>2139463</xdr:rowOff>
    </xdr:to>
    <xdr:sp macro="" textlink="">
      <xdr:nvSpPr>
        <xdr:cNvPr id="19" name="TextBox 18">
          <a:extLst>
            <a:ext uri="{FF2B5EF4-FFF2-40B4-BE49-F238E27FC236}">
              <a16:creationId xmlns:a16="http://schemas.microsoft.com/office/drawing/2014/main" id="{285D2F26-9402-4B99-95FA-953476F7895C}"/>
            </a:ext>
          </a:extLst>
        </xdr:cNvPr>
        <xdr:cNvSpPr txBox="1"/>
      </xdr:nvSpPr>
      <xdr:spPr>
        <a:xfrm>
          <a:off x="233795" y="6004531"/>
          <a:ext cx="1832118" cy="199826"/>
        </a:xfrm>
        <a:prstGeom prst="rect">
          <a:avLst/>
        </a:prstGeom>
        <a:solidFill>
          <a:schemeClr val="lt1"/>
        </a:solidFill>
        <a:ln w="12700" cmpd="sng">
          <a:solidFill>
            <a:srgbClr val="00B0F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j-lt"/>
            </a:rPr>
            <a:t>LEVERAGE</a:t>
          </a:r>
          <a:r>
            <a:rPr lang="en-US" sz="1100" baseline="0">
              <a:latin typeface="+mj-lt"/>
            </a:rPr>
            <a:t> &amp; LIQUIDITY</a:t>
          </a:r>
          <a:endParaRPr lang="en-US" sz="1100">
            <a:latin typeface="+mj-lt"/>
          </a:endParaRPr>
        </a:p>
      </xdr:txBody>
    </xdr:sp>
    <xdr:clientData/>
  </xdr:twoCellAnchor>
  <xdr:twoCellAnchor>
    <xdr:from>
      <xdr:col>3</xdr:col>
      <xdr:colOff>434173</xdr:colOff>
      <xdr:row>14</xdr:row>
      <xdr:rowOff>1931831</xdr:rowOff>
    </xdr:from>
    <xdr:to>
      <xdr:col>4</xdr:col>
      <xdr:colOff>992747</xdr:colOff>
      <xdr:row>14</xdr:row>
      <xdr:rowOff>2139462</xdr:rowOff>
    </xdr:to>
    <xdr:sp macro="" textlink="">
      <xdr:nvSpPr>
        <xdr:cNvPr id="20" name="TextBox 19">
          <a:extLst>
            <a:ext uri="{FF2B5EF4-FFF2-40B4-BE49-F238E27FC236}">
              <a16:creationId xmlns:a16="http://schemas.microsoft.com/office/drawing/2014/main" id="{A82D45F4-7CFC-418F-872F-1199C75AA072}"/>
            </a:ext>
          </a:extLst>
        </xdr:cNvPr>
        <xdr:cNvSpPr txBox="1"/>
      </xdr:nvSpPr>
      <xdr:spPr>
        <a:xfrm>
          <a:off x="2500159" y="5996725"/>
          <a:ext cx="1967201" cy="207631"/>
        </a:xfrm>
        <a:prstGeom prst="rect">
          <a:avLst/>
        </a:prstGeom>
        <a:solidFill>
          <a:schemeClr val="lt1"/>
        </a:solidFill>
        <a:ln w="12700" cmpd="sng">
          <a:solidFill>
            <a:srgbClr val="00B0F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j-lt"/>
            </a:rPr>
            <a:t>PROFITABILITY</a:t>
          </a:r>
        </a:p>
      </xdr:txBody>
    </xdr:sp>
    <xdr:clientData/>
  </xdr:twoCellAnchor>
  <xdr:twoCellAnchor>
    <xdr:from>
      <xdr:col>5</xdr:col>
      <xdr:colOff>386195</xdr:colOff>
      <xdr:row>14</xdr:row>
      <xdr:rowOff>1944832</xdr:rowOff>
    </xdr:from>
    <xdr:to>
      <xdr:col>6</xdr:col>
      <xdr:colOff>1330037</xdr:colOff>
      <xdr:row>14</xdr:row>
      <xdr:rowOff>2154116</xdr:rowOff>
    </xdr:to>
    <xdr:sp macro="" textlink="">
      <xdr:nvSpPr>
        <xdr:cNvPr id="21" name="TextBox 20">
          <a:extLst>
            <a:ext uri="{FF2B5EF4-FFF2-40B4-BE49-F238E27FC236}">
              <a16:creationId xmlns:a16="http://schemas.microsoft.com/office/drawing/2014/main" id="{BAC7F2D2-AFC3-4402-BEA9-F385ECEABC85}"/>
            </a:ext>
          </a:extLst>
        </xdr:cNvPr>
        <xdr:cNvSpPr txBox="1"/>
      </xdr:nvSpPr>
      <xdr:spPr>
        <a:xfrm>
          <a:off x="4866970" y="6009726"/>
          <a:ext cx="1950004" cy="209284"/>
        </a:xfrm>
        <a:prstGeom prst="rect">
          <a:avLst/>
        </a:prstGeom>
        <a:solidFill>
          <a:schemeClr val="lt1"/>
        </a:solidFill>
        <a:ln w="12700" cmpd="sng">
          <a:solidFill>
            <a:srgbClr val="00B0F0"/>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j-lt"/>
            </a:rPr>
            <a:t>COVERAGE</a:t>
          </a:r>
        </a:p>
      </xdr:txBody>
    </xdr:sp>
    <xdr:clientData/>
  </xdr:twoCellAnchor>
  <xdr:twoCellAnchor>
    <xdr:from>
      <xdr:col>5</xdr:col>
      <xdr:colOff>819150</xdr:colOff>
      <xdr:row>2</xdr:row>
      <xdr:rowOff>125738</xdr:rowOff>
    </xdr:from>
    <xdr:to>
      <xdr:col>6</xdr:col>
      <xdr:colOff>1095375</xdr:colOff>
      <xdr:row>2</xdr:row>
      <xdr:rowOff>478163</xdr:rowOff>
    </xdr:to>
    <xdr:sp macro="" textlink="$F$31">
      <xdr:nvSpPr>
        <xdr:cNvPr id="22" name="TextBox 21">
          <a:extLst>
            <a:ext uri="{FF2B5EF4-FFF2-40B4-BE49-F238E27FC236}">
              <a16:creationId xmlns:a16="http://schemas.microsoft.com/office/drawing/2014/main" id="{E64FC4D2-1E57-4065-B950-BCEF5C1AFF3A}"/>
            </a:ext>
          </a:extLst>
        </xdr:cNvPr>
        <xdr:cNvSpPr txBox="1"/>
      </xdr:nvSpPr>
      <xdr:spPr>
        <a:xfrm>
          <a:off x="6248400" y="525788"/>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590480-FD29-4D53-BE42-126DFDB769BD}" type="TxLink">
            <a:rPr lang="en-US" sz="2000" b="0" i="0" u="none" strike="noStrike">
              <a:solidFill>
                <a:srgbClr val="000000"/>
              </a:solidFill>
              <a:latin typeface="Impact" panose="020B0806030902050204" pitchFamily="34" charset="0"/>
            </a:rPr>
            <a:pPr algn="ctr"/>
            <a:t>50.5%</a:t>
          </a:fld>
          <a:endParaRPr lang="en-US" sz="1800">
            <a:latin typeface="Impact" panose="020B0806030902050204" pitchFamily="34" charset="0"/>
          </a:endParaRPr>
        </a:p>
      </xdr:txBody>
    </xdr:sp>
    <xdr:clientData/>
  </xdr:twoCellAnchor>
  <xdr:twoCellAnchor>
    <xdr:from>
      <xdr:col>6</xdr:col>
      <xdr:colOff>135094</xdr:colOff>
      <xdr:row>9</xdr:row>
      <xdr:rowOff>258985</xdr:rowOff>
    </xdr:from>
    <xdr:to>
      <xdr:col>6</xdr:col>
      <xdr:colOff>944719</xdr:colOff>
      <xdr:row>11</xdr:row>
      <xdr:rowOff>100414</xdr:rowOff>
    </xdr:to>
    <xdr:sp macro="" textlink="$F$24">
      <xdr:nvSpPr>
        <xdr:cNvPr id="23" name="TextBox 22">
          <a:extLst>
            <a:ext uri="{FF2B5EF4-FFF2-40B4-BE49-F238E27FC236}">
              <a16:creationId xmlns:a16="http://schemas.microsoft.com/office/drawing/2014/main" id="{E09AE079-5678-41F4-9FCB-105754968037}"/>
            </a:ext>
          </a:extLst>
        </xdr:cNvPr>
        <xdr:cNvSpPr txBox="1"/>
      </xdr:nvSpPr>
      <xdr:spPr>
        <a:xfrm>
          <a:off x="5288119" y="3116485"/>
          <a:ext cx="809625" cy="35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64CE62-9132-44E0-AE85-2D4514F5A25D}" type="TxLink">
            <a:rPr lang="en-US" sz="1800" b="0" i="0" u="none" strike="noStrike">
              <a:solidFill>
                <a:srgbClr val="000000"/>
              </a:solidFill>
              <a:latin typeface="Impact" panose="020B0806030902050204" pitchFamily="34" charset="0"/>
            </a:rPr>
            <a:pPr algn="ctr"/>
            <a:t>71.3%</a:t>
          </a:fld>
          <a:endParaRPr lang="en-US" sz="2800" i="0">
            <a:latin typeface="Impact" panose="020B0806030902050204" pitchFamily="34" charset="0"/>
          </a:endParaRPr>
        </a:p>
      </xdr:txBody>
    </xdr:sp>
    <xdr:clientData/>
  </xdr:twoCellAnchor>
  <xdr:twoCellAnchor>
    <xdr:from>
      <xdr:col>6</xdr:col>
      <xdr:colOff>114300</xdr:colOff>
      <xdr:row>5</xdr:row>
      <xdr:rowOff>90487</xdr:rowOff>
    </xdr:from>
    <xdr:to>
      <xdr:col>6</xdr:col>
      <xdr:colOff>923925</xdr:colOff>
      <xdr:row>6</xdr:row>
      <xdr:rowOff>157162</xdr:rowOff>
    </xdr:to>
    <xdr:sp macro="" textlink="$F$17">
      <xdr:nvSpPr>
        <xdr:cNvPr id="24" name="TextBox 23">
          <a:extLst>
            <a:ext uri="{FF2B5EF4-FFF2-40B4-BE49-F238E27FC236}">
              <a16:creationId xmlns:a16="http://schemas.microsoft.com/office/drawing/2014/main" id="{2EA13DEA-F7A4-4301-AEBC-C4825AE46A23}"/>
            </a:ext>
          </a:extLst>
        </xdr:cNvPr>
        <xdr:cNvSpPr txBox="1"/>
      </xdr:nvSpPr>
      <xdr:spPr>
        <a:xfrm>
          <a:off x="5267325" y="1881187"/>
          <a:ext cx="809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81C77-7B4A-41ED-99EF-943BDAB0782D}" type="TxLink">
            <a:rPr lang="en-US" sz="1800" b="0" i="0" u="none" strike="noStrike">
              <a:solidFill>
                <a:srgbClr val="000000"/>
              </a:solidFill>
              <a:latin typeface="Impact" panose="020B0806030902050204" pitchFamily="34" charset="0"/>
            </a:rPr>
            <a:pPr algn="ctr"/>
            <a:t>36.7%</a:t>
          </a:fld>
          <a:endParaRPr lang="en-US" sz="2000" b="0" i="0" u="none" strike="noStrike">
            <a:solidFill>
              <a:srgbClr val="000000"/>
            </a:solidFill>
            <a:latin typeface="Impact" panose="020B0806030902050204" pitchFamily="34" charset="0"/>
          </a:endParaRPr>
        </a:p>
      </xdr:txBody>
    </xdr:sp>
    <xdr:clientData/>
  </xdr:twoCellAnchor>
  <xdr:twoCellAnchor>
    <xdr:from>
      <xdr:col>5</xdr:col>
      <xdr:colOff>847725</xdr:colOff>
      <xdr:row>2</xdr:row>
      <xdr:rowOff>437680</xdr:rowOff>
    </xdr:from>
    <xdr:to>
      <xdr:col>6</xdr:col>
      <xdr:colOff>1104900</xdr:colOff>
      <xdr:row>3</xdr:row>
      <xdr:rowOff>128118</xdr:rowOff>
    </xdr:to>
    <xdr:sp macro="" textlink="$G$31">
      <xdr:nvSpPr>
        <xdr:cNvPr id="25" name="TextBox 24">
          <a:extLst>
            <a:ext uri="{FF2B5EF4-FFF2-40B4-BE49-F238E27FC236}">
              <a16:creationId xmlns:a16="http://schemas.microsoft.com/office/drawing/2014/main" id="{996ED46D-E843-4C6F-82A0-00D2A85ACE15}"/>
            </a:ext>
          </a:extLst>
        </xdr:cNvPr>
        <xdr:cNvSpPr txBox="1"/>
      </xdr:nvSpPr>
      <xdr:spPr>
        <a:xfrm>
          <a:off x="6276975" y="837730"/>
          <a:ext cx="1190625" cy="29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5B8C09A-B55C-4D8B-9D23-94707F3F370C}" type="TxLink">
            <a:rPr lang="en-US" sz="1050" b="0" i="0" u="none" strike="noStrike">
              <a:solidFill>
                <a:srgbClr val="000000"/>
              </a:solidFill>
              <a:latin typeface="Impact" panose="020B0806030902050204" pitchFamily="34" charset="0"/>
            </a:rPr>
            <a:pPr algn="ctr"/>
            <a:t>Unacceptable</a:t>
          </a:fld>
          <a:endParaRPr lang="en-US" sz="1050">
            <a:latin typeface="Impact" panose="020B0806030902050204" pitchFamily="34" charset="0"/>
          </a:endParaRPr>
        </a:p>
      </xdr:txBody>
    </xdr:sp>
    <xdr:clientData/>
  </xdr:twoCellAnchor>
  <xdr:twoCellAnchor>
    <xdr:from>
      <xdr:col>6</xdr:col>
      <xdr:colOff>0</xdr:colOff>
      <xdr:row>6</xdr:row>
      <xdr:rowOff>85389</xdr:rowOff>
    </xdr:from>
    <xdr:to>
      <xdr:col>6</xdr:col>
      <xdr:colOff>942975</xdr:colOff>
      <xdr:row>7</xdr:row>
      <xdr:rowOff>128989</xdr:rowOff>
    </xdr:to>
    <xdr:sp macro="" textlink="$G$17">
      <xdr:nvSpPr>
        <xdr:cNvPr id="26" name="TextBox 25">
          <a:extLst>
            <a:ext uri="{FF2B5EF4-FFF2-40B4-BE49-F238E27FC236}">
              <a16:creationId xmlns:a16="http://schemas.microsoft.com/office/drawing/2014/main" id="{45D2FF25-B4A4-492C-AA6D-360B26D5FEA4}"/>
            </a:ext>
          </a:extLst>
        </xdr:cNvPr>
        <xdr:cNvSpPr txBox="1"/>
      </xdr:nvSpPr>
      <xdr:spPr>
        <a:xfrm>
          <a:off x="5105400" y="2161839"/>
          <a:ext cx="942975" cy="2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BA45B-1B67-414F-915E-03B61B0BA0F9}" type="TxLink">
            <a:rPr lang="en-US" sz="1000" b="0" i="0" u="none" strike="noStrike">
              <a:solidFill>
                <a:srgbClr val="000000"/>
              </a:solidFill>
              <a:latin typeface="Impact" panose="020B0806030902050204" pitchFamily="34" charset="0"/>
            </a:rPr>
            <a:pPr algn="ctr"/>
            <a:t>Unacceptable</a:t>
          </a:fld>
          <a:endParaRPr lang="en-US" sz="1000" b="0">
            <a:latin typeface="Impact" panose="020B0806030902050204" pitchFamily="34" charset="0"/>
          </a:endParaRPr>
        </a:p>
      </xdr:txBody>
    </xdr:sp>
    <xdr:clientData/>
  </xdr:twoCellAnchor>
  <xdr:twoCellAnchor>
    <xdr:from>
      <xdr:col>6</xdr:col>
      <xdr:colOff>61913</xdr:colOff>
      <xdr:row>11</xdr:row>
      <xdr:rowOff>59531</xdr:rowOff>
    </xdr:from>
    <xdr:to>
      <xdr:col>6</xdr:col>
      <xdr:colOff>990600</xdr:colOff>
      <xdr:row>12</xdr:row>
      <xdr:rowOff>95250</xdr:rowOff>
    </xdr:to>
    <xdr:sp macro="" textlink="$G$24">
      <xdr:nvSpPr>
        <xdr:cNvPr id="27" name="TextBox 26">
          <a:extLst>
            <a:ext uri="{FF2B5EF4-FFF2-40B4-BE49-F238E27FC236}">
              <a16:creationId xmlns:a16="http://schemas.microsoft.com/office/drawing/2014/main" id="{1F02072C-9E3A-451D-BF38-969F11A6D5C4}"/>
            </a:ext>
          </a:extLst>
        </xdr:cNvPr>
        <xdr:cNvSpPr txBox="1"/>
      </xdr:nvSpPr>
      <xdr:spPr>
        <a:xfrm>
          <a:off x="6424613" y="3431381"/>
          <a:ext cx="928687" cy="28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004CF-FCBA-4D57-B97E-DD394BBE9DFD}" type="TxLink">
            <a:rPr lang="en-US" sz="1000" b="0" i="0" u="none" strike="noStrike">
              <a:solidFill>
                <a:srgbClr val="000000"/>
              </a:solidFill>
              <a:latin typeface="Impact" panose="020B0806030902050204" pitchFamily="34" charset="0"/>
            </a:rPr>
            <a:pPr algn="ctr"/>
            <a:t>Good</a:t>
          </a:fld>
          <a:endParaRPr lang="en-US" sz="1100">
            <a:latin typeface="Impact" panose="020B0806030902050204" pitchFamily="34" charset="0"/>
          </a:endParaRPr>
        </a:p>
      </xdr:txBody>
    </xdr:sp>
    <xdr:clientData/>
  </xdr:twoCellAnchor>
  <xdr:twoCellAnchor>
    <xdr:from>
      <xdr:col>1</xdr:col>
      <xdr:colOff>47626</xdr:colOff>
      <xdr:row>14</xdr:row>
      <xdr:rowOff>38100</xdr:rowOff>
    </xdr:from>
    <xdr:to>
      <xdr:col>3</xdr:col>
      <xdr:colOff>285750</xdr:colOff>
      <xdr:row>14</xdr:row>
      <xdr:rowOff>1934968</xdr:rowOff>
    </xdr:to>
    <xdr:graphicFrame macro="">
      <xdr:nvGraphicFramePr>
        <xdr:cNvPr id="29" name="Chart 28">
          <a:extLst>
            <a:ext uri="{FF2B5EF4-FFF2-40B4-BE49-F238E27FC236}">
              <a16:creationId xmlns:a16="http://schemas.microsoft.com/office/drawing/2014/main" id="{7D05542E-1752-49D5-A169-DCF991018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323851</xdr:colOff>
      <xdr:row>14</xdr:row>
      <xdr:rowOff>47625</xdr:rowOff>
    </xdr:from>
    <xdr:to>
      <xdr:col>5</xdr:col>
      <xdr:colOff>247650</xdr:colOff>
      <xdr:row>14</xdr:row>
      <xdr:rowOff>1905000</xdr:rowOff>
    </xdr:to>
    <xdr:graphicFrame macro="">
      <xdr:nvGraphicFramePr>
        <xdr:cNvPr id="30" name="Chart 29">
          <a:extLst>
            <a:ext uri="{FF2B5EF4-FFF2-40B4-BE49-F238E27FC236}">
              <a16:creationId xmlns:a16="http://schemas.microsoft.com/office/drawing/2014/main" id="{365EB0B4-A7B4-42D1-89C3-3E29913BE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285750</xdr:colOff>
      <xdr:row>14</xdr:row>
      <xdr:rowOff>47626</xdr:rowOff>
    </xdr:from>
    <xdr:to>
      <xdr:col>6</xdr:col>
      <xdr:colOff>1381125</xdr:colOff>
      <xdr:row>14</xdr:row>
      <xdr:rowOff>1905000</xdr:rowOff>
    </xdr:to>
    <xdr:graphicFrame macro="">
      <xdr:nvGraphicFramePr>
        <xdr:cNvPr id="31" name="Chart 30">
          <a:extLst>
            <a:ext uri="{FF2B5EF4-FFF2-40B4-BE49-F238E27FC236}">
              <a16:creationId xmlns:a16="http://schemas.microsoft.com/office/drawing/2014/main" id="{3AA254FA-991D-424A-B1C6-6AB4F3CC3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3FC9AA83-EC8F-40C3-B842-EB093DB86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CB0E9307-860C-4FB7-844D-C07EC4985633}"/>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30%</a:t>
          </a:fld>
          <a:endParaRPr lang="en-US" sz="3600">
            <a:latin typeface="Impact" panose="020B0806030902050204" pitchFamily="34" charset="0"/>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122AE0A9-DAB9-42D6-9DAD-4DF63016E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CA302DEA-E4F2-4444-B6DC-FC13DA5F1C87}"/>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37%</a:t>
          </a:fld>
          <a:endParaRPr lang="en-US" sz="3600">
            <a:latin typeface="Impact" panose="020B0806030902050204" pitchFamily="34" charset="0"/>
          </a:endParaRP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4.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1AB636B3-DC76-413C-8E4F-FF739FBB2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A3C2945B-543C-46F8-AADC-DED89203817D}"/>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37%</a:t>
          </a:fld>
          <a:endParaRPr lang="en-US" sz="3600">
            <a:latin typeface="Impact" panose="020B0806030902050204" pitchFamily="34" charset="0"/>
          </a:endParaRPr>
        </a:p>
      </xdr:txBody>
    </xdr:sp>
    <xdr:clientData/>
  </xdr:twoCellAnchor>
</xdr:wsDr>
</file>

<file path=xl/drawings/drawing15.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6.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C773D150-F062-4079-9366-1A9CA0BFB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737DDA3D-D2D3-4153-AFA3-CD74AA7EE502}"/>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37%</a:t>
          </a:fld>
          <a:endParaRPr lang="en-US" sz="3600">
            <a:latin typeface="Impact" panose="020B0806030902050204" pitchFamily="34" charset="0"/>
          </a:endParaRPr>
        </a:p>
      </xdr:txBody>
    </xdr:sp>
    <xdr:clientData/>
  </xdr:twoCellAnchor>
</xdr:wsDr>
</file>

<file path=xl/drawings/drawing17.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8.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5494FCC5-03FB-4D46-92BF-55EF0699A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E352074C-C317-4068-8F0A-FA2FFE5BCA6B}"/>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38%</a:t>
          </a:fld>
          <a:endParaRPr lang="en-US" sz="3600">
            <a:latin typeface="Impact" panose="020B0806030902050204" pitchFamily="34" charset="0"/>
          </a:endParaRP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0.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D49E80E4-29BD-44A8-A02D-D07B07382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1E9CDD5E-E73A-4EB4-9E73-C47FECBAD0BC}"/>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37%</a:t>
          </a:fld>
          <a:endParaRPr lang="en-US" sz="3600">
            <a:latin typeface="Impact" panose="020B0806030902050204" pitchFamily="34" charset="0"/>
          </a:endParaRPr>
        </a:p>
      </xdr:txBody>
    </xdr:sp>
    <xdr:clientData/>
  </xdr:twoCellAnchor>
</xdr:wsDr>
</file>

<file path=xl/drawings/drawing21.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2.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61FB91E3-1907-4879-9B89-1B6E0EDB2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C45888D3-477E-43A3-B8CA-565F279D8E11}"/>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40%</a:t>
          </a:fld>
          <a:endParaRPr lang="en-US" sz="3600">
            <a:latin typeface="Impact" panose="020B0806030902050204" pitchFamily="34" charset="0"/>
          </a:endParaRPr>
        </a:p>
      </xdr:txBody>
    </xdr:sp>
    <xdr:clientData/>
  </xdr:twoCellAnchor>
</xdr:wsDr>
</file>

<file path=xl/drawings/drawing23.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4.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852C6CB6-B21A-4EE3-B9B3-3AFBC3CB8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B2497F19-C06D-441A-9385-1DDDCC3D5548}"/>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43%</a:t>
          </a:fld>
          <a:endParaRPr lang="en-US" sz="3600">
            <a:latin typeface="Impact" panose="020B0806030902050204" pitchFamily="34" charset="0"/>
          </a:endParaRPr>
        </a:p>
      </xdr:txBody>
    </xdr:sp>
    <xdr:clientData/>
  </xdr:twoCellAnchor>
</xdr:wsDr>
</file>

<file path=xl/drawings/drawing25.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6.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A3D921D7-6786-4D22-86F0-612F07B27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A6DB9B83-8C7A-472F-9688-E322EE3220CB}"/>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48%</a:t>
          </a:fld>
          <a:endParaRPr lang="en-US" sz="3600">
            <a:latin typeface="Impact" panose="020B0806030902050204" pitchFamily="34" charset="0"/>
          </a:endParaRPr>
        </a:p>
      </xdr:txBody>
    </xdr:sp>
    <xdr:clientData/>
  </xdr:twoCellAnchor>
</xdr:wsDr>
</file>

<file path=xl/drawings/drawing27.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8.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263CB1FC-C56E-4FA2-9BCD-B78991FD1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6C64D5D0-DE9B-42C3-993B-E41937024FDD}"/>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35%</a:t>
          </a:fld>
          <a:endParaRPr lang="en-US" sz="3600">
            <a:latin typeface="Impact" panose="020B0806030902050204" pitchFamily="34" charset="0"/>
          </a:endParaRPr>
        </a:p>
      </xdr:txBody>
    </xdr:sp>
    <xdr:clientData/>
  </xdr:twoCellAnchor>
</xdr:wsDr>
</file>

<file path=xl/drawings/drawing29.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0.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C05BC385-38E3-4FDF-A2EE-6347397A5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7C87C399-21D0-47C1-AED3-7D351A86FB6E}"/>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55%</a:t>
          </a:fld>
          <a:endParaRPr lang="en-US" sz="3600">
            <a:latin typeface="Impact" panose="020B0806030902050204" pitchFamily="34" charset="0"/>
          </a:endParaRPr>
        </a:p>
      </xdr:txBody>
    </xdr:sp>
    <xdr:clientData/>
  </xdr:twoCellAnchor>
</xdr:wsDr>
</file>

<file path=xl/drawings/drawing31.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2.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3B10375D-1962-4334-9BF5-E1ED4F9D8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01FD3A66-B577-4C34-B10A-26C1BF76BB22}"/>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42%</a:t>
          </a:fld>
          <a:endParaRPr lang="en-US" sz="3600">
            <a:latin typeface="Impact" panose="020B0806030902050204" pitchFamily="34" charset="0"/>
          </a:endParaRPr>
        </a:p>
      </xdr:txBody>
    </xdr:sp>
    <xdr:clientData/>
  </xdr:twoCellAnchor>
</xdr:wsDr>
</file>

<file path=xl/drawings/drawing33.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4.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C364DC07-9687-4B50-B3D6-A99219D94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5E2EFD64-9CA5-4255-9D6B-205190A463D3}"/>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43%</a:t>
          </a:fld>
          <a:endParaRPr lang="en-US" sz="3600">
            <a:latin typeface="Impact" panose="020B0806030902050204" pitchFamily="34" charset="0"/>
          </a:endParaRPr>
        </a:p>
      </xdr:txBody>
    </xdr:sp>
    <xdr:clientData/>
  </xdr:twoCellAnchor>
</xdr:wsDr>
</file>

<file path=xl/drawings/drawing35.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6.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95D87680-002F-436D-955D-95BE3EF4F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5C6EE2AD-F405-4685-ADC6-51458D75B795}"/>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42%</a:t>
          </a:fld>
          <a:endParaRPr lang="en-US" sz="3600">
            <a:latin typeface="Impact" panose="020B0806030902050204" pitchFamily="34" charset="0"/>
          </a:endParaRPr>
        </a:p>
      </xdr:txBody>
    </xdr:sp>
    <xdr:clientData/>
  </xdr:twoCellAnchor>
</xdr:wsDr>
</file>

<file path=xl/drawings/drawing37.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38.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AC74BBCA-9CF3-467D-9D31-E51A2FCC4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70D67F7D-40A7-42E4-8B6A-71F632C9A986}"/>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38%</a:t>
          </a:fld>
          <a:endParaRPr lang="en-US" sz="3600">
            <a:latin typeface="Impact" panose="020B0806030902050204" pitchFamily="34" charset="0"/>
          </a:endParaRPr>
        </a:p>
      </xdr:txBody>
    </xdr:sp>
    <xdr:clientData/>
  </xdr:twoCellAnchor>
</xdr:wsDr>
</file>

<file path=xl/drawings/drawing39.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0.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D5F8F40E-EB7B-4CB5-9E86-773A40391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9E2EA55B-06DE-4940-805D-420954880E10}"/>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45%</a:t>
          </a:fld>
          <a:endParaRPr lang="en-US" sz="3600">
            <a:latin typeface="Impact" panose="020B0806030902050204" pitchFamily="34" charset="0"/>
          </a:endParaRPr>
        </a:p>
      </xdr:txBody>
    </xdr:sp>
    <xdr:clientData/>
  </xdr:twoCellAnchor>
</xdr:wsDr>
</file>

<file path=xl/drawings/drawing41.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2.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BEA9F401-EA9D-4409-92ED-FF69A70BE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88ABCB5E-BCF3-4C81-BE5A-646AFD053504}"/>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43%</a:t>
          </a:fld>
          <a:endParaRPr lang="en-US" sz="3600">
            <a:latin typeface="Impact" panose="020B0806030902050204" pitchFamily="34" charset="0"/>
          </a:endParaRPr>
        </a:p>
      </xdr:txBody>
    </xdr:sp>
    <xdr:clientData/>
  </xdr:twoCellAnchor>
</xdr:wsDr>
</file>

<file path=xl/drawings/drawing43.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4.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10FD141B-AC5B-4151-9BF7-FEB01C6F4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87C42A91-BA2C-42BD-B4C1-F1961A1BCBD6}"/>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47%</a:t>
          </a:fld>
          <a:endParaRPr lang="en-US" sz="3600">
            <a:latin typeface="Impact" panose="020B0806030902050204" pitchFamily="34" charset="0"/>
          </a:endParaRPr>
        </a:p>
      </xdr:txBody>
    </xdr:sp>
    <xdr:clientData/>
  </xdr:twoCellAnchor>
</xdr:wsDr>
</file>

<file path=xl/drawings/drawing45.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6.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78D4C589-A15F-4258-88BD-FA20A1084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1C425013-9FE4-4C23-A18F-DB626861DBA0}"/>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45%</a:t>
          </a:fld>
          <a:endParaRPr lang="en-US" sz="3600">
            <a:latin typeface="Impact" panose="020B0806030902050204" pitchFamily="34" charset="0"/>
          </a:endParaRPr>
        </a:p>
      </xdr:txBody>
    </xdr:sp>
    <xdr:clientData/>
  </xdr:twoCellAnchor>
</xdr:wsDr>
</file>

<file path=xl/drawings/drawing47.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8.xml><?xml version="1.0" encoding="utf-8"?>
<xdr:wsDr xmlns:xdr="http://schemas.openxmlformats.org/drawingml/2006/spreadsheetDrawing" xmlns:a="http://schemas.openxmlformats.org/drawingml/2006/main">
  <xdr:twoCellAnchor>
    <xdr:from>
      <xdr:col>2</xdr:col>
      <xdr:colOff>407458</xdr:colOff>
      <xdr:row>2</xdr:row>
      <xdr:rowOff>449792</xdr:rowOff>
    </xdr:from>
    <xdr:to>
      <xdr:col>4</xdr:col>
      <xdr:colOff>619124</xdr:colOff>
      <xdr:row>12</xdr:row>
      <xdr:rowOff>100542</xdr:rowOff>
    </xdr:to>
    <xdr:graphicFrame macro="">
      <xdr:nvGraphicFramePr>
        <xdr:cNvPr id="2" name="Chart 1">
          <a:extLst>
            <a:ext uri="{FF2B5EF4-FFF2-40B4-BE49-F238E27FC236}">
              <a16:creationId xmlns:a16="http://schemas.microsoft.com/office/drawing/2014/main" id="{617C4E4F-F7B6-4CE3-A506-4308F020A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59531</xdr:colOff>
      <xdr:row>4</xdr:row>
      <xdr:rowOff>334699</xdr:rowOff>
    </xdr:from>
    <xdr:to>
      <xdr:col>4</xdr:col>
      <xdr:colOff>154781</xdr:colOff>
      <xdr:row>6</xdr:row>
      <xdr:rowOff>169334</xdr:rowOff>
    </xdr:to>
    <xdr:sp macro="" textlink="$C$142">
      <xdr:nvSpPr>
        <xdr:cNvPr id="3" name="TextBox 2">
          <a:extLst>
            <a:ext uri="{FF2B5EF4-FFF2-40B4-BE49-F238E27FC236}">
              <a16:creationId xmlns:a16="http://schemas.microsoft.com/office/drawing/2014/main" id="{DFF68CC1-2F7E-4F31-803C-2468AE7B5BA2}"/>
            </a:ext>
          </a:extLst>
        </xdr:cNvPr>
        <xdr:cNvSpPr txBox="1"/>
      </xdr:nvSpPr>
      <xdr:spPr>
        <a:xfrm>
          <a:off x="5593556" y="1611049"/>
          <a:ext cx="1123950" cy="606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3AAC4B-C1E6-466A-809D-1B5C41C98835}" type="TxLink">
            <a:rPr lang="en-US" sz="3600" b="0" i="0" u="none" strike="noStrike">
              <a:solidFill>
                <a:srgbClr val="000000"/>
              </a:solidFill>
              <a:latin typeface="Impact" panose="020B0806030902050204" pitchFamily="34" charset="0"/>
            </a:rPr>
            <a:pPr/>
            <a:t>45%</a:t>
          </a:fld>
          <a:endParaRPr lang="en-US" sz="3600">
            <a:latin typeface="Impact" panose="020B0806030902050204" pitchFamily="34" charset="0"/>
          </a:endParaRPr>
        </a:p>
      </xdr:txBody>
    </xdr:sp>
    <xdr:clientData/>
  </xdr:twoCellAnchor>
</xdr:wsDr>
</file>

<file path=xl/drawings/drawing49.xml><?xml version="1.0" encoding="utf-8"?>
<c:userShapes xmlns:c="http://schemas.openxmlformats.org/drawingml/2006/chart">
  <cdr:relSizeAnchor xmlns:cdr="http://schemas.openxmlformats.org/drawingml/2006/chartDrawing">
    <cdr:from>
      <cdr:x>0.33333</cdr:x>
      <cdr:y>0.4096</cdr:y>
    </cdr:from>
    <cdr:to>
      <cdr:x>0.71825</cdr:x>
      <cdr:y>0.66384</cdr:y>
    </cdr:to>
    <cdr:sp macro="" textlink="">
      <cdr:nvSpPr>
        <cdr:cNvPr id="2" name="TextBox 1">
          <a:extLst xmlns:a="http://schemas.openxmlformats.org/drawingml/2006/main">
            <a:ext uri="{FF2B5EF4-FFF2-40B4-BE49-F238E27FC236}">
              <a16:creationId xmlns:a16="http://schemas.microsoft.com/office/drawing/2014/main" id="{0DEA7E8F-DE92-4EFD-B3C6-2612C8CF3BA5}"/>
            </a:ext>
          </a:extLst>
        </cdr:cNvPr>
        <cdr:cNvSpPr txBox="1"/>
      </cdr:nvSpPr>
      <cdr:spPr>
        <a:xfrm xmlns:a="http://schemas.openxmlformats.org/drawingml/2006/main">
          <a:off x="889000" y="920749"/>
          <a:ext cx="1026583"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0.xml><?xml version="1.0" encoding="utf-8"?>
<xdr:wsDr xmlns:xdr="http://schemas.openxmlformats.org/drawingml/2006/spreadsheetDrawing" xmlns:a="http://schemas.openxmlformats.org/drawingml/2006/main">
  <xdr:twoCellAnchor>
    <xdr:from>
      <xdr:col>2</xdr:col>
      <xdr:colOff>786849</xdr:colOff>
      <xdr:row>2</xdr:row>
      <xdr:rowOff>16566</xdr:rowOff>
    </xdr:from>
    <xdr:to>
      <xdr:col>4</xdr:col>
      <xdr:colOff>274152</xdr:colOff>
      <xdr:row>9</xdr:row>
      <xdr:rowOff>171036</xdr:rowOff>
    </xdr:to>
    <xdr:sp macro="" textlink="">
      <xdr:nvSpPr>
        <xdr:cNvPr id="2" name="Oval 1">
          <a:extLst>
            <a:ext uri="{FF2B5EF4-FFF2-40B4-BE49-F238E27FC236}">
              <a16:creationId xmlns:a16="http://schemas.microsoft.com/office/drawing/2014/main" id="{1EDE97A7-87D9-4222-8425-DA2FC69BA766}"/>
            </a:ext>
          </a:extLst>
        </xdr:cNvPr>
        <xdr:cNvSpPr/>
      </xdr:nvSpPr>
      <xdr:spPr>
        <a:xfrm>
          <a:off x="5330274" y="197541"/>
          <a:ext cx="1506603" cy="1430820"/>
        </a:xfrm>
        <a:prstGeom prst="ellipse">
          <a:avLst/>
        </a:prstGeom>
        <a:noFill/>
        <a:ln w="107950" cap="flat" cmpd="thickThin">
          <a:solidFill>
            <a:srgbClr val="00CC66"/>
          </a:solidFill>
          <a:prstDash val="solid"/>
          <a:round/>
        </a:ln>
        <a:effectLst>
          <a:outerShdw blurRad="50800" dist="38100" dir="2700000" sx="96000" sy="96000" algn="tl" rotWithShape="0">
            <a:schemeClr val="tx2">
              <a:lumMod val="60000"/>
              <a:lumOff val="40000"/>
              <a:alpha val="61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2"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Arshiya\Downloads\ICRRS_Meghna%20Cemen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20Top%20Pag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Bullets"/>
      <sheetName val="Instructions"/>
      <sheetName val="Top Page"/>
      <sheetName val="1. Input-BS "/>
      <sheetName val="2. Input-IS"/>
      <sheetName val="3. Input-CF"/>
      <sheetName val="4. Output-BS"/>
      <sheetName val="5. Output IS"/>
      <sheetName val="6. Output CF"/>
      <sheetName val="Inputs-Analysis"/>
      <sheetName val="7. Quantitative Analysis"/>
      <sheetName val="8. Qualitative Analysis"/>
      <sheetName val="9. Score Sheet"/>
      <sheetName val="Additional-Comments-If-any"/>
    </sheetNames>
    <sheetDataSet>
      <sheetData sheetId="0">
        <row r="5">
          <cell r="E5" t="str">
            <v>A. Industry:</v>
          </cell>
        </row>
        <row r="6">
          <cell r="E6" t="str">
            <v>1. RMG</v>
          </cell>
        </row>
        <row r="7">
          <cell r="E7" t="str">
            <v xml:space="preserve">2.  Textile </v>
          </cell>
        </row>
        <row r="8">
          <cell r="E8" t="str">
            <v xml:space="preserve">3. Food and Allied industries </v>
          </cell>
        </row>
        <row r="9">
          <cell r="E9" t="str">
            <v xml:space="preserve">4. Pharmaceutical, Chemical and fertilizer </v>
          </cell>
        </row>
        <row r="10">
          <cell r="E10" t="str">
            <v xml:space="preserve">5.Cement and Ceramic industries </v>
          </cell>
        </row>
        <row r="11">
          <cell r="E11" t="str">
            <v>6. Ship Building industries</v>
          </cell>
        </row>
        <row r="12">
          <cell r="E12" t="str">
            <v>7. Jute Mills</v>
          </cell>
        </row>
        <row r="13">
          <cell r="E13" t="str">
            <v xml:space="preserve">8. Steel Engineering </v>
          </cell>
          <cell r="I13" t="str">
            <v>Audited</v>
          </cell>
        </row>
        <row r="14">
          <cell r="E14" t="str">
            <v>9. Power and gas</v>
          </cell>
          <cell r="I14" t="str">
            <v>Unaudited</v>
          </cell>
        </row>
        <row r="15">
          <cell r="E15" t="str">
            <v>10. Others</v>
          </cell>
        </row>
        <row r="16">
          <cell r="E16" t="str">
            <v>B. Trade and commerce</v>
          </cell>
        </row>
        <row r="17">
          <cell r="E17" t="str">
            <v>C. Agro based and Agro Processing</v>
          </cell>
        </row>
        <row r="18">
          <cell r="E18" t="str">
            <v>D. Service:</v>
          </cell>
        </row>
        <row r="19">
          <cell r="E19" t="str">
            <v>1. Housing and Construction</v>
          </cell>
        </row>
        <row r="20">
          <cell r="E20" t="str">
            <v>2. Hospitals and Clinics</v>
          </cell>
        </row>
        <row r="21">
          <cell r="E21" t="str">
            <v xml:space="preserve">3. Others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5:D22" dataDxfId="72" totalsRowDxfId="70" tableBorderDxfId="71">
  <tableColumns count="3">
    <tableColumn id="1" xr3:uid="{00000000-0010-0000-0000-000001000000}" name="Column1" totalsRowLabel="Total" dataDxfId="69" totalsRowDxfId="68"/>
    <tableColumn id="2" xr3:uid="{00000000-0010-0000-0000-000002000000}" name="Column2" dataDxfId="67" totalsRowDxfId="66"/>
    <tableColumn id="3" xr3:uid="{00000000-0010-0000-0000-000003000000}" name="Column3" totalsRowFunction="count" dataDxfId="65" totalsRowDxfId="64"/>
  </tableColumns>
  <tableStyleInfo name="TableStyleLight5"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6"/>
  <sheetViews>
    <sheetView topLeftCell="A10" zoomScaleSheetLayoutView="100" workbookViewId="0">
      <selection activeCell="B2" sqref="B2:J11"/>
    </sheetView>
  </sheetViews>
  <sheetFormatPr defaultColWidth="9.1796875" defaultRowHeight="14.5" x14ac:dyDescent="0.35"/>
  <cols>
    <col min="1" max="1" width="46.81640625" style="422" customWidth="1"/>
    <col min="2" max="2" width="9.1796875" customWidth="1"/>
    <col min="11" max="21" width="9.1796875" style="22"/>
  </cols>
  <sheetData>
    <row r="1" spans="1:10" x14ac:dyDescent="0.35">
      <c r="B1" s="46"/>
      <c r="C1" s="46"/>
      <c r="D1" s="46"/>
      <c r="E1" s="46"/>
      <c r="F1" s="46"/>
      <c r="G1" s="46"/>
      <c r="H1" s="46"/>
      <c r="I1" s="46"/>
      <c r="J1" s="46"/>
    </row>
    <row r="2" spans="1:10" ht="15" customHeight="1" x14ac:dyDescent="0.35">
      <c r="B2" s="879" t="s">
        <v>1010</v>
      </c>
      <c r="C2" s="879"/>
      <c r="D2" s="879"/>
      <c r="E2" s="879"/>
      <c r="F2" s="879"/>
      <c r="G2" s="879"/>
      <c r="H2" s="879"/>
      <c r="I2" s="879"/>
      <c r="J2" s="879"/>
    </row>
    <row r="3" spans="1:10" ht="15" customHeight="1" x14ac:dyDescent="0.35">
      <c r="B3" s="879"/>
      <c r="C3" s="879"/>
      <c r="D3" s="879"/>
      <c r="E3" s="879"/>
      <c r="F3" s="879"/>
      <c r="G3" s="879"/>
      <c r="H3" s="879"/>
      <c r="I3" s="879"/>
      <c r="J3" s="879"/>
    </row>
    <row r="4" spans="1:10" ht="15" customHeight="1" x14ac:dyDescent="0.35">
      <c r="B4" s="879"/>
      <c r="C4" s="879"/>
      <c r="D4" s="879"/>
      <c r="E4" s="879"/>
      <c r="F4" s="879"/>
      <c r="G4" s="879"/>
      <c r="H4" s="879"/>
      <c r="I4" s="879"/>
      <c r="J4" s="879"/>
    </row>
    <row r="5" spans="1:10" ht="15" customHeight="1" x14ac:dyDescent="0.35">
      <c r="B5" s="879"/>
      <c r="C5" s="879"/>
      <c r="D5" s="879"/>
      <c r="E5" s="879"/>
      <c r="F5" s="879"/>
      <c r="G5" s="879"/>
      <c r="H5" s="879"/>
      <c r="I5" s="879"/>
      <c r="J5" s="879"/>
    </row>
    <row r="6" spans="1:10" ht="15" customHeight="1" x14ac:dyDescent="0.35">
      <c r="B6" s="879"/>
      <c r="C6" s="879"/>
      <c r="D6" s="879"/>
      <c r="E6" s="879"/>
      <c r="F6" s="879"/>
      <c r="G6" s="879"/>
      <c r="H6" s="879"/>
      <c r="I6" s="879"/>
      <c r="J6" s="879"/>
    </row>
    <row r="7" spans="1:10" ht="15" customHeight="1" x14ac:dyDescent="0.35">
      <c r="B7" s="879"/>
      <c r="C7" s="879"/>
      <c r="D7" s="879"/>
      <c r="E7" s="879"/>
      <c r="F7" s="879"/>
      <c r="G7" s="879"/>
      <c r="H7" s="879"/>
      <c r="I7" s="879"/>
      <c r="J7" s="879"/>
    </row>
    <row r="8" spans="1:10" ht="15" customHeight="1" x14ac:dyDescent="0.35">
      <c r="B8" s="879"/>
      <c r="C8" s="879"/>
      <c r="D8" s="879"/>
      <c r="E8" s="879"/>
      <c r="F8" s="879"/>
      <c r="G8" s="879"/>
      <c r="H8" s="879"/>
      <c r="I8" s="879"/>
      <c r="J8" s="879"/>
    </row>
    <row r="9" spans="1:10" ht="15" customHeight="1" x14ac:dyDescent="0.35">
      <c r="B9" s="879"/>
      <c r="C9" s="879"/>
      <c r="D9" s="879"/>
      <c r="E9" s="879"/>
      <c r="F9" s="879"/>
      <c r="G9" s="879"/>
      <c r="H9" s="879"/>
      <c r="I9" s="879"/>
      <c r="J9" s="879"/>
    </row>
    <row r="10" spans="1:10" ht="15" customHeight="1" x14ac:dyDescent="0.35">
      <c r="B10" s="879"/>
      <c r="C10" s="879"/>
      <c r="D10" s="879"/>
      <c r="E10" s="879"/>
      <c r="F10" s="879"/>
      <c r="G10" s="879"/>
      <c r="H10" s="879"/>
      <c r="I10" s="879"/>
      <c r="J10" s="879"/>
    </row>
    <row r="11" spans="1:10" ht="15" customHeight="1" x14ac:dyDescent="0.35">
      <c r="B11" s="879"/>
      <c r="C11" s="879"/>
      <c r="D11" s="879"/>
      <c r="E11" s="879"/>
      <c r="F11" s="879"/>
      <c r="G11" s="879"/>
      <c r="H11" s="879"/>
      <c r="I11" s="879"/>
      <c r="J11" s="879"/>
    </row>
    <row r="12" spans="1:10" x14ac:dyDescent="0.35">
      <c r="B12" s="46"/>
      <c r="C12" s="46"/>
      <c r="D12" s="46"/>
      <c r="E12" s="46"/>
      <c r="F12" s="46"/>
      <c r="G12" s="46"/>
      <c r="H12" s="46"/>
      <c r="I12" s="46"/>
      <c r="J12" s="46"/>
    </row>
    <row r="13" spans="1:10" s="22" customFormat="1" x14ac:dyDescent="0.35">
      <c r="A13" s="422"/>
      <c r="B13" s="46"/>
      <c r="C13" s="46"/>
      <c r="D13" s="46"/>
      <c r="E13" s="46"/>
      <c r="F13" s="46"/>
      <c r="G13" s="46"/>
      <c r="H13" s="46"/>
      <c r="I13" s="46"/>
      <c r="J13" s="46"/>
    </row>
    <row r="14" spans="1:10" s="22" customFormat="1" x14ac:dyDescent="0.35">
      <c r="A14" s="422"/>
      <c r="B14" s="46"/>
      <c r="C14" s="46"/>
      <c r="D14" s="46"/>
      <c r="E14" s="46"/>
      <c r="F14" s="46"/>
      <c r="G14" s="46"/>
      <c r="H14" s="46"/>
      <c r="I14" s="46"/>
      <c r="J14" s="46"/>
    </row>
    <row r="15" spans="1:10" s="22" customFormat="1" x14ac:dyDescent="0.35">
      <c r="A15" s="422"/>
      <c r="B15" s="46"/>
      <c r="C15" s="46"/>
      <c r="D15" s="46"/>
      <c r="E15" s="46"/>
      <c r="F15" s="46"/>
      <c r="G15" s="46"/>
      <c r="H15" s="46"/>
      <c r="I15" s="46"/>
      <c r="J15" s="46"/>
    </row>
    <row r="16" spans="1:10" s="22" customFormat="1" x14ac:dyDescent="0.35">
      <c r="A16" s="422"/>
      <c r="B16" s="46"/>
      <c r="C16" s="46"/>
      <c r="D16" s="46"/>
      <c r="E16" s="46"/>
      <c r="F16" s="46"/>
      <c r="G16" s="46"/>
      <c r="H16" s="46"/>
      <c r="I16" s="46"/>
      <c r="J16" s="46"/>
    </row>
    <row r="17" spans="1:10" s="22" customFormat="1" x14ac:dyDescent="0.35">
      <c r="A17" s="422"/>
      <c r="B17" s="46"/>
      <c r="C17" s="46"/>
      <c r="D17" s="46"/>
      <c r="E17" s="46"/>
      <c r="F17" s="46"/>
      <c r="G17" s="46"/>
      <c r="H17" s="46"/>
      <c r="I17" s="46"/>
      <c r="J17" s="46"/>
    </row>
    <row r="18" spans="1:10" s="22" customFormat="1" x14ac:dyDescent="0.35">
      <c r="A18" s="422"/>
      <c r="B18" s="46"/>
      <c r="C18" s="46"/>
      <c r="D18" s="46"/>
      <c r="E18" s="46"/>
      <c r="F18" s="46"/>
      <c r="G18" s="46"/>
      <c r="H18" s="46"/>
      <c r="I18" s="46"/>
      <c r="J18" s="46"/>
    </row>
    <row r="19" spans="1:10" s="22" customFormat="1" x14ac:dyDescent="0.35">
      <c r="A19" s="422"/>
      <c r="B19" s="46"/>
      <c r="C19" s="46"/>
      <c r="D19" s="46"/>
      <c r="E19" s="46"/>
      <c r="F19" s="46"/>
      <c r="G19" s="46"/>
      <c r="H19" s="46"/>
      <c r="I19" s="46"/>
      <c r="J19" s="46"/>
    </row>
    <row r="20" spans="1:10" s="22" customFormat="1" x14ac:dyDescent="0.35">
      <c r="A20" s="422"/>
      <c r="B20" s="46"/>
      <c r="C20" s="46"/>
      <c r="D20" s="46"/>
      <c r="E20" s="46"/>
      <c r="F20" s="46"/>
      <c r="G20" s="46"/>
      <c r="H20" s="46"/>
      <c r="I20" s="46"/>
      <c r="J20" s="46"/>
    </row>
    <row r="21" spans="1:10" s="22" customFormat="1" x14ac:dyDescent="0.35">
      <c r="A21" s="422"/>
      <c r="B21" s="46"/>
      <c r="C21" s="46"/>
      <c r="D21" s="46"/>
      <c r="E21" s="46"/>
      <c r="F21" s="46"/>
      <c r="G21" s="46"/>
      <c r="H21" s="46"/>
      <c r="I21" s="46"/>
      <c r="J21" s="46"/>
    </row>
    <row r="22" spans="1:10" s="22" customFormat="1" x14ac:dyDescent="0.35">
      <c r="A22" s="422"/>
      <c r="B22" s="46"/>
      <c r="C22" s="46"/>
      <c r="D22" s="46"/>
      <c r="E22" s="46"/>
      <c r="F22" s="46"/>
      <c r="G22" s="46"/>
      <c r="H22" s="46"/>
      <c r="I22" s="46"/>
      <c r="J22" s="46"/>
    </row>
    <row r="23" spans="1:10" s="22" customFormat="1" x14ac:dyDescent="0.35">
      <c r="A23" s="422"/>
      <c r="B23" s="46"/>
      <c r="C23" s="46"/>
      <c r="D23" s="46"/>
      <c r="E23" s="46"/>
      <c r="F23" s="46"/>
      <c r="G23" s="46"/>
      <c r="H23" s="46"/>
      <c r="I23" s="46"/>
      <c r="J23" s="46"/>
    </row>
    <row r="24" spans="1:10" s="22" customFormat="1" x14ac:dyDescent="0.35">
      <c r="A24" s="422"/>
      <c r="B24" s="46"/>
      <c r="C24" s="46"/>
      <c r="D24" s="46"/>
      <c r="E24" s="46"/>
      <c r="F24" s="46"/>
      <c r="G24" s="46"/>
      <c r="H24" s="46"/>
      <c r="I24" s="46"/>
      <c r="J24" s="46"/>
    </row>
    <row r="25" spans="1:10" s="22" customFormat="1" x14ac:dyDescent="0.35">
      <c r="A25" s="422"/>
      <c r="B25" s="46"/>
      <c r="C25" s="46"/>
      <c r="D25" s="46"/>
      <c r="E25" s="46"/>
      <c r="F25" s="46"/>
      <c r="G25" s="46"/>
      <c r="H25" s="46"/>
      <c r="I25" s="46"/>
      <c r="J25" s="46"/>
    </row>
    <row r="26" spans="1:10" s="22" customFormat="1" x14ac:dyDescent="0.35">
      <c r="A26" s="422"/>
      <c r="B26" s="46"/>
      <c r="C26" s="46"/>
      <c r="D26" s="46"/>
      <c r="E26" s="46"/>
      <c r="F26" s="46"/>
      <c r="G26" s="46"/>
      <c r="H26" s="46"/>
      <c r="I26" s="46"/>
      <c r="J26" s="46"/>
    </row>
    <row r="27" spans="1:10" s="22" customFormat="1" x14ac:dyDescent="0.35">
      <c r="A27" s="422"/>
      <c r="B27" s="46"/>
      <c r="C27" s="46"/>
      <c r="D27" s="46"/>
      <c r="E27" s="46"/>
      <c r="F27" s="46"/>
      <c r="G27" s="46"/>
      <c r="H27" s="46"/>
      <c r="I27" s="46"/>
      <c r="J27" s="46"/>
    </row>
    <row r="28" spans="1:10" s="22" customFormat="1" x14ac:dyDescent="0.35">
      <c r="A28" s="422"/>
      <c r="B28" s="46"/>
      <c r="C28" s="46"/>
      <c r="D28" s="46"/>
      <c r="E28" s="46"/>
      <c r="F28" s="46"/>
      <c r="G28" s="46"/>
      <c r="H28" s="46"/>
      <c r="I28" s="46"/>
      <c r="J28" s="46"/>
    </row>
    <row r="29" spans="1:10" s="22" customFormat="1" x14ac:dyDescent="0.35">
      <c r="A29" s="422"/>
      <c r="B29" s="46"/>
      <c r="C29" s="46"/>
      <c r="D29" s="46"/>
      <c r="E29" s="46"/>
      <c r="F29" s="46"/>
      <c r="G29" s="46"/>
      <c r="H29" s="46"/>
      <c r="I29" s="46"/>
      <c r="J29" s="46"/>
    </row>
    <row r="30" spans="1:10" s="22" customFormat="1" x14ac:dyDescent="0.35">
      <c r="A30" s="422"/>
      <c r="B30" s="46"/>
      <c r="C30" s="46"/>
      <c r="D30" s="46"/>
      <c r="E30" s="46"/>
      <c r="F30" s="46"/>
      <c r="G30" s="46"/>
      <c r="H30" s="46"/>
      <c r="I30" s="46"/>
      <c r="J30" s="46"/>
    </row>
    <row r="31" spans="1:10" s="22" customFormat="1" x14ac:dyDescent="0.35">
      <c r="A31" s="422"/>
      <c r="B31" s="46"/>
      <c r="C31" s="46"/>
      <c r="D31" s="46"/>
      <c r="E31" s="46"/>
      <c r="F31" s="46"/>
      <c r="G31" s="46"/>
      <c r="H31" s="46"/>
      <c r="I31" s="46"/>
      <c r="J31" s="46"/>
    </row>
    <row r="32" spans="1:10" s="22" customFormat="1" x14ac:dyDescent="0.35">
      <c r="A32" s="422"/>
      <c r="B32" s="46"/>
      <c r="C32" s="46"/>
      <c r="D32" s="46"/>
      <c r="E32" s="46"/>
      <c r="F32" s="46"/>
      <c r="G32" s="46"/>
      <c r="H32" s="46"/>
      <c r="I32" s="46"/>
      <c r="J32" s="46"/>
    </row>
    <row r="33" spans="1:10" s="22" customFormat="1" x14ac:dyDescent="0.35">
      <c r="A33" s="422"/>
      <c r="B33" s="46"/>
      <c r="C33" s="46"/>
      <c r="D33" s="46"/>
      <c r="E33" s="46"/>
      <c r="F33" s="46"/>
      <c r="G33" s="46"/>
      <c r="H33" s="46"/>
      <c r="I33" s="46"/>
      <c r="J33" s="46"/>
    </row>
    <row r="34" spans="1:10" s="22" customFormat="1" x14ac:dyDescent="0.35">
      <c r="A34" s="422"/>
      <c r="B34" s="46"/>
      <c r="C34" s="46"/>
      <c r="D34" s="46"/>
      <c r="E34" s="46"/>
      <c r="F34" s="46"/>
      <c r="G34" s="46"/>
      <c r="H34" s="46"/>
      <c r="I34" s="46"/>
      <c r="J34" s="46"/>
    </row>
    <row r="35" spans="1:10" s="22" customFormat="1" x14ac:dyDescent="0.35">
      <c r="A35" s="422"/>
      <c r="B35" s="46"/>
      <c r="C35" s="46"/>
      <c r="D35" s="46"/>
      <c r="E35" s="46"/>
      <c r="F35" s="46"/>
      <c r="G35" s="46"/>
      <c r="H35" s="46"/>
      <c r="I35" s="46"/>
      <c r="J35" s="46"/>
    </row>
    <row r="36" spans="1:10" s="22" customFormat="1" ht="46.5" customHeight="1" x14ac:dyDescent="0.35">
      <c r="A36" s="422"/>
      <c r="B36" s="46"/>
      <c r="C36" s="46"/>
      <c r="D36" s="880" t="s">
        <v>1045</v>
      </c>
      <c r="E36" s="880"/>
      <c r="F36" s="880"/>
      <c r="G36" s="880"/>
      <c r="H36" s="880"/>
      <c r="I36" s="880"/>
      <c r="J36" s="46"/>
    </row>
    <row r="37" spans="1:10" s="22" customFormat="1" ht="15" customHeight="1" x14ac:dyDescent="0.35">
      <c r="A37" s="422"/>
      <c r="B37" s="46"/>
      <c r="C37" s="46"/>
      <c r="D37" s="880"/>
      <c r="E37" s="880"/>
      <c r="F37" s="880"/>
      <c r="G37" s="880"/>
      <c r="H37" s="880"/>
      <c r="I37" s="880"/>
      <c r="J37" s="46"/>
    </row>
    <row r="38" spans="1:10" s="22" customFormat="1" x14ac:dyDescent="0.35">
      <c r="A38" s="422"/>
      <c r="B38" s="46"/>
      <c r="C38" s="46"/>
      <c r="D38" s="46"/>
      <c r="E38" s="46"/>
      <c r="F38" s="46"/>
      <c r="G38" s="46"/>
      <c r="H38" s="46"/>
      <c r="I38" s="46"/>
      <c r="J38" s="46"/>
    </row>
    <row r="39" spans="1:10" s="22" customFormat="1" x14ac:dyDescent="0.35">
      <c r="A39" s="422"/>
      <c r="B39" s="46"/>
      <c r="C39" s="46"/>
      <c r="D39" s="46"/>
      <c r="E39" s="46"/>
      <c r="F39" s="46"/>
      <c r="G39" s="46"/>
      <c r="H39" s="46"/>
      <c r="I39" s="46"/>
      <c r="J39" s="46"/>
    </row>
    <row r="40" spans="1:10" s="22" customFormat="1" x14ac:dyDescent="0.35">
      <c r="A40" s="422"/>
      <c r="B40" s="46"/>
      <c r="C40" s="46"/>
      <c r="D40" s="46"/>
      <c r="E40" s="46"/>
      <c r="F40" s="46"/>
      <c r="G40" s="46"/>
      <c r="H40" s="46"/>
      <c r="I40" s="46"/>
      <c r="J40" s="46"/>
    </row>
    <row r="41" spans="1:10" s="22" customFormat="1" x14ac:dyDescent="0.35">
      <c r="A41" s="422"/>
      <c r="B41" s="46"/>
      <c r="C41" s="46"/>
      <c r="D41" s="46"/>
      <c r="E41" s="46"/>
      <c r="F41" s="46"/>
      <c r="G41" s="46"/>
      <c r="H41" s="46"/>
      <c r="I41" s="46"/>
      <c r="J41" s="46"/>
    </row>
    <row r="42" spans="1:10" s="22" customFormat="1" x14ac:dyDescent="0.35">
      <c r="A42" s="422"/>
      <c r="B42" s="46"/>
      <c r="C42" s="46"/>
      <c r="D42" s="46"/>
      <c r="E42" s="46"/>
      <c r="F42" s="46"/>
      <c r="G42" s="46"/>
      <c r="H42" s="46"/>
      <c r="I42" s="46"/>
      <c r="J42" s="46"/>
    </row>
    <row r="43" spans="1:10" s="22" customFormat="1" x14ac:dyDescent="0.35">
      <c r="A43" s="422"/>
      <c r="B43" s="46"/>
      <c r="C43" s="46"/>
      <c r="D43" s="46"/>
      <c r="E43" s="46"/>
      <c r="F43" s="46"/>
      <c r="G43" s="46"/>
      <c r="H43" s="46"/>
      <c r="I43" s="46"/>
      <c r="J43" s="46"/>
    </row>
    <row r="44" spans="1:10" s="22" customFormat="1" x14ac:dyDescent="0.35">
      <c r="A44" s="422"/>
      <c r="B44" s="46"/>
      <c r="C44" s="46"/>
      <c r="D44" s="46"/>
      <c r="E44" s="46"/>
      <c r="F44" s="46"/>
      <c r="G44" s="46"/>
      <c r="H44" s="46"/>
      <c r="I44" s="46"/>
      <c r="J44" s="46"/>
    </row>
    <row r="45" spans="1:10" s="22" customFormat="1" x14ac:dyDescent="0.35">
      <c r="A45" s="422"/>
      <c r="B45" s="46"/>
      <c r="C45" s="46"/>
      <c r="D45" s="46"/>
      <c r="E45" s="46"/>
      <c r="F45" s="46"/>
      <c r="G45" s="46"/>
      <c r="H45" s="46"/>
      <c r="I45" s="46"/>
      <c r="J45" s="46"/>
    </row>
    <row r="46" spans="1:10" s="22" customFormat="1" x14ac:dyDescent="0.35">
      <c r="A46" s="422"/>
      <c r="B46" s="21"/>
      <c r="C46" s="21"/>
      <c r="D46" s="21"/>
      <c r="E46" s="21"/>
      <c r="F46" s="21"/>
      <c r="G46" s="21"/>
      <c r="H46" s="21"/>
      <c r="I46" s="21"/>
      <c r="J46" s="21"/>
    </row>
    <row r="47" spans="1:10" s="22" customFormat="1" x14ac:dyDescent="0.35">
      <c r="A47" s="422"/>
      <c r="B47" s="21"/>
      <c r="C47" s="21"/>
      <c r="D47" s="21"/>
      <c r="E47" s="21"/>
      <c r="F47" s="21"/>
      <c r="G47" s="21"/>
      <c r="H47" s="21"/>
      <c r="I47" s="21"/>
      <c r="J47" s="21"/>
    </row>
    <row r="48" spans="1:10" s="22" customFormat="1" x14ac:dyDescent="0.35"/>
    <row r="49" spans="1:10" s="22" customFormat="1" x14ac:dyDescent="0.35"/>
    <row r="50" spans="1:10" s="22" customFormat="1" x14ac:dyDescent="0.35"/>
    <row r="51" spans="1:10" s="22" customFormat="1" x14ac:dyDescent="0.35"/>
    <row r="52" spans="1:10" s="22" customFormat="1" x14ac:dyDescent="0.35"/>
    <row r="53" spans="1:10" s="22" customFormat="1" x14ac:dyDescent="0.35"/>
    <row r="54" spans="1:10" s="22" customFormat="1" x14ac:dyDescent="0.35"/>
    <row r="55" spans="1:10" s="22" customFormat="1" x14ac:dyDescent="0.35"/>
    <row r="56" spans="1:10" s="22" customFormat="1" x14ac:dyDescent="0.35"/>
    <row r="57" spans="1:10" x14ac:dyDescent="0.35">
      <c r="A57" s="22"/>
      <c r="B57" s="22"/>
      <c r="C57" s="22"/>
      <c r="D57" s="22"/>
      <c r="E57" s="22"/>
      <c r="F57" s="22"/>
      <c r="G57" s="22"/>
      <c r="H57" s="22"/>
      <c r="I57" s="22"/>
      <c r="J57" s="22"/>
    </row>
    <row r="58" spans="1:10" x14ac:dyDescent="0.35">
      <c r="A58" s="22"/>
      <c r="B58" s="22"/>
      <c r="C58" s="22"/>
      <c r="D58" s="22"/>
      <c r="E58" s="22"/>
      <c r="F58" s="22"/>
      <c r="G58" s="22"/>
      <c r="H58" s="22"/>
      <c r="I58" s="22"/>
      <c r="J58" s="22"/>
    </row>
    <row r="59" spans="1:10" x14ac:dyDescent="0.35">
      <c r="A59" s="22"/>
      <c r="B59" s="22"/>
      <c r="C59" s="22"/>
      <c r="D59" s="22"/>
      <c r="E59" s="22"/>
      <c r="F59" s="22"/>
      <c r="G59" s="22"/>
      <c r="H59" s="22"/>
      <c r="I59" s="22"/>
      <c r="J59" s="22"/>
    </row>
    <row r="60" spans="1:10" x14ac:dyDescent="0.35">
      <c r="A60" s="22"/>
      <c r="B60" s="22"/>
      <c r="C60" s="22"/>
      <c r="D60" s="22"/>
      <c r="E60" s="22"/>
      <c r="F60" s="22"/>
      <c r="G60" s="22"/>
      <c r="H60" s="22"/>
      <c r="I60" s="22"/>
      <c r="J60" s="22"/>
    </row>
    <row r="61" spans="1:10" x14ac:dyDescent="0.35">
      <c r="A61" s="22"/>
      <c r="B61" s="22"/>
      <c r="C61" s="22"/>
      <c r="D61" s="22"/>
      <c r="E61" s="22"/>
      <c r="F61" s="22"/>
      <c r="G61" s="22"/>
      <c r="H61" s="22"/>
      <c r="I61" s="22"/>
      <c r="J61" s="22"/>
    </row>
    <row r="62" spans="1:10" x14ac:dyDescent="0.35">
      <c r="A62" s="22"/>
      <c r="B62" s="22"/>
      <c r="C62" s="22"/>
      <c r="D62" s="22"/>
      <c r="E62" s="22"/>
      <c r="F62" s="22"/>
      <c r="G62" s="22"/>
      <c r="H62" s="22"/>
      <c r="I62" s="22"/>
      <c r="J62" s="22"/>
    </row>
    <row r="63" spans="1:10" x14ac:dyDescent="0.35">
      <c r="A63" s="22"/>
      <c r="B63" s="22"/>
      <c r="C63" s="22"/>
      <c r="D63" s="22"/>
      <c r="E63" s="22"/>
      <c r="F63" s="22"/>
      <c r="G63" s="22"/>
      <c r="H63" s="22"/>
      <c r="I63" s="22"/>
      <c r="J63" s="22"/>
    </row>
    <row r="64" spans="1:10" x14ac:dyDescent="0.35">
      <c r="A64" s="22"/>
      <c r="B64" s="22"/>
      <c r="C64" s="22"/>
      <c r="D64" s="22"/>
      <c r="E64" s="22"/>
      <c r="F64" s="22"/>
      <c r="G64" s="22"/>
      <c r="H64" s="22"/>
      <c r="I64" s="22"/>
      <c r="J64" s="22"/>
    </row>
    <row r="65" spans="1:10" x14ac:dyDescent="0.35">
      <c r="A65" s="22"/>
      <c r="B65" s="22"/>
      <c r="C65" s="22"/>
      <c r="D65" s="22"/>
      <c r="E65" s="22"/>
      <c r="F65" s="22"/>
      <c r="G65" s="22"/>
      <c r="H65" s="22"/>
      <c r="I65" s="22"/>
      <c r="J65" s="22"/>
    </row>
    <row r="66" spans="1:10" x14ac:dyDescent="0.35">
      <c r="A66" s="22"/>
      <c r="B66" s="22"/>
      <c r="C66" s="22"/>
      <c r="D66" s="22"/>
      <c r="E66" s="22"/>
      <c r="F66" s="22"/>
      <c r="G66" s="22"/>
      <c r="H66" s="22"/>
      <c r="I66" s="22"/>
      <c r="J66" s="22"/>
    </row>
    <row r="67" spans="1:10" x14ac:dyDescent="0.35">
      <c r="A67" s="22"/>
      <c r="B67" s="22"/>
      <c r="C67" s="22"/>
      <c r="D67" s="22"/>
      <c r="E67" s="22"/>
      <c r="F67" s="22"/>
      <c r="G67" s="22"/>
      <c r="H67" s="22"/>
      <c r="I67" s="22"/>
      <c r="J67" s="22"/>
    </row>
    <row r="68" spans="1:10" x14ac:dyDescent="0.35">
      <c r="A68" s="22"/>
      <c r="B68" s="22"/>
      <c r="C68" s="22"/>
      <c r="D68" s="22"/>
      <c r="E68" s="22"/>
      <c r="F68" s="22"/>
      <c r="G68" s="22"/>
      <c r="H68" s="22"/>
      <c r="I68" s="22"/>
      <c r="J68" s="22"/>
    </row>
    <row r="69" spans="1:10" x14ac:dyDescent="0.35">
      <c r="A69" s="22"/>
      <c r="B69" s="22"/>
      <c r="C69" s="22"/>
      <c r="D69" s="22"/>
      <c r="E69" s="22"/>
      <c r="F69" s="22"/>
      <c r="G69" s="22"/>
      <c r="H69" s="22"/>
      <c r="I69" s="22"/>
      <c r="J69" s="22"/>
    </row>
    <row r="70" spans="1:10" x14ac:dyDescent="0.35">
      <c r="A70" s="22"/>
      <c r="B70" s="22"/>
      <c r="C70" s="22"/>
      <c r="D70" s="22"/>
      <c r="E70" s="22"/>
      <c r="F70" s="22"/>
      <c r="G70" s="22"/>
      <c r="H70" s="22"/>
      <c r="I70" s="22"/>
      <c r="J70" s="22"/>
    </row>
    <row r="71" spans="1:10" x14ac:dyDescent="0.35">
      <c r="A71" s="22"/>
      <c r="B71" s="22"/>
      <c r="C71" s="22"/>
      <c r="D71" s="22"/>
      <c r="E71" s="22"/>
      <c r="F71" s="22"/>
      <c r="G71" s="22"/>
      <c r="H71" s="22"/>
      <c r="I71" s="22"/>
      <c r="J71" s="22"/>
    </row>
    <row r="72" spans="1:10" x14ac:dyDescent="0.35">
      <c r="A72" s="22"/>
      <c r="B72" s="22"/>
      <c r="C72" s="22"/>
      <c r="D72" s="22"/>
      <c r="E72" s="22"/>
      <c r="F72" s="22"/>
      <c r="G72" s="22"/>
      <c r="H72" s="22"/>
      <c r="I72" s="22"/>
      <c r="J72" s="22"/>
    </row>
    <row r="73" spans="1:10" x14ac:dyDescent="0.35">
      <c r="A73" s="22"/>
      <c r="B73" s="22"/>
      <c r="C73" s="22"/>
      <c r="D73" s="22"/>
      <c r="E73" s="22"/>
      <c r="F73" s="22"/>
      <c r="G73" s="22"/>
      <c r="H73" s="22"/>
      <c r="I73" s="22"/>
      <c r="J73" s="22"/>
    </row>
    <row r="74" spans="1:10" x14ac:dyDescent="0.35">
      <c r="A74" s="22"/>
      <c r="B74" s="22"/>
      <c r="C74" s="22"/>
      <c r="D74" s="22"/>
      <c r="E74" s="22"/>
      <c r="F74" s="22"/>
      <c r="G74" s="22"/>
      <c r="H74" s="22"/>
      <c r="I74" s="22"/>
      <c r="J74" s="22"/>
    </row>
    <row r="75" spans="1:10" x14ac:dyDescent="0.35">
      <c r="A75" s="22"/>
      <c r="B75" s="22"/>
      <c r="C75" s="22"/>
      <c r="D75" s="22"/>
      <c r="E75" s="22"/>
      <c r="F75" s="22"/>
      <c r="G75" s="22"/>
      <c r="H75" s="22"/>
      <c r="I75" s="22"/>
      <c r="J75" s="22"/>
    </row>
    <row r="76" spans="1:10" x14ac:dyDescent="0.35">
      <c r="A76" s="22"/>
      <c r="B76" s="22"/>
      <c r="C76" s="22"/>
      <c r="D76" s="22"/>
      <c r="E76" s="22"/>
      <c r="F76" s="22"/>
      <c r="G76" s="22"/>
      <c r="H76" s="22"/>
      <c r="I76" s="22"/>
      <c r="J76" s="22"/>
    </row>
    <row r="77" spans="1:10" x14ac:dyDescent="0.35">
      <c r="A77" s="22"/>
      <c r="B77" s="22"/>
      <c r="C77" s="22"/>
      <c r="D77" s="22"/>
      <c r="E77" s="22"/>
      <c r="F77" s="22"/>
      <c r="G77" s="22"/>
      <c r="H77" s="22"/>
      <c r="I77" s="22"/>
      <c r="J77" s="22"/>
    </row>
    <row r="78" spans="1:10" x14ac:dyDescent="0.35">
      <c r="A78" s="22"/>
      <c r="B78" s="22"/>
      <c r="C78" s="22"/>
      <c r="D78" s="22"/>
      <c r="E78" s="22"/>
      <c r="F78" s="22"/>
      <c r="G78" s="22"/>
      <c r="H78" s="22"/>
      <c r="I78" s="22"/>
      <c r="J78" s="22"/>
    </row>
    <row r="79" spans="1:10" x14ac:dyDescent="0.35">
      <c r="A79" s="22"/>
      <c r="B79" s="22"/>
      <c r="C79" s="22"/>
      <c r="D79" s="22"/>
      <c r="E79" s="22"/>
      <c r="F79" s="22"/>
      <c r="G79" s="22"/>
      <c r="H79" s="22"/>
      <c r="I79" s="22"/>
      <c r="J79" s="22"/>
    </row>
    <row r="80" spans="1:10" x14ac:dyDescent="0.35">
      <c r="A80" s="22"/>
      <c r="B80" s="22"/>
      <c r="C80" s="22"/>
      <c r="D80" s="22"/>
      <c r="E80" s="22"/>
      <c r="F80" s="22"/>
      <c r="G80" s="22"/>
      <c r="H80" s="22"/>
      <c r="I80" s="22"/>
      <c r="J80" s="22"/>
    </row>
    <row r="81" spans="1:10" x14ac:dyDescent="0.35">
      <c r="A81" s="22"/>
      <c r="B81" s="22"/>
      <c r="C81" s="22"/>
      <c r="D81" s="22"/>
      <c r="E81" s="22"/>
      <c r="F81" s="22"/>
      <c r="G81" s="22"/>
      <c r="H81" s="22"/>
      <c r="I81" s="22"/>
      <c r="J81" s="22"/>
    </row>
    <row r="82" spans="1:10" x14ac:dyDescent="0.35">
      <c r="A82" s="22"/>
      <c r="B82" s="22"/>
      <c r="C82" s="22"/>
      <c r="D82" s="22"/>
      <c r="E82" s="22"/>
      <c r="F82" s="22"/>
      <c r="G82" s="22"/>
      <c r="H82" s="22"/>
      <c r="I82" s="22"/>
      <c r="J82" s="22"/>
    </row>
    <row r="83" spans="1:10" x14ac:dyDescent="0.35">
      <c r="A83" s="22"/>
      <c r="B83" s="22"/>
      <c r="C83" s="22"/>
      <c r="D83" s="22"/>
      <c r="E83" s="22"/>
      <c r="F83" s="22"/>
      <c r="G83" s="22"/>
      <c r="H83" s="22"/>
      <c r="I83" s="22"/>
      <c r="J83" s="22"/>
    </row>
    <row r="84" spans="1:10" x14ac:dyDescent="0.35">
      <c r="A84" s="22"/>
      <c r="B84" s="22"/>
      <c r="C84" s="22"/>
      <c r="D84" s="22"/>
      <c r="E84" s="22"/>
      <c r="F84" s="22"/>
      <c r="G84" s="22"/>
      <c r="H84" s="22"/>
      <c r="I84" s="22"/>
      <c r="J84" s="22"/>
    </row>
    <row r="85" spans="1:10" x14ac:dyDescent="0.35">
      <c r="A85" s="22"/>
      <c r="B85" s="22"/>
      <c r="C85" s="22"/>
      <c r="D85" s="22"/>
      <c r="E85" s="22"/>
      <c r="F85" s="22"/>
      <c r="G85" s="22"/>
      <c r="H85" s="22"/>
      <c r="I85" s="22"/>
      <c r="J85" s="22"/>
    </row>
    <row r="86" spans="1:10" x14ac:dyDescent="0.35">
      <c r="A86" s="22"/>
      <c r="B86" s="22"/>
      <c r="C86" s="22"/>
      <c r="D86" s="22"/>
      <c r="E86" s="22"/>
      <c r="F86" s="22"/>
      <c r="G86" s="22"/>
      <c r="H86" s="22"/>
      <c r="I86" s="22"/>
      <c r="J86" s="22"/>
    </row>
  </sheetData>
  <sheetProtection password="F93C" sheet="1" objects="1" scenarios="1" selectLockedCells="1" selectUnlockedCells="1"/>
  <mergeCells count="2">
    <mergeCell ref="B2:J11"/>
    <mergeCell ref="D36:I37"/>
  </mergeCells>
  <pageMargins left="0.7" right="0.7" top="0.75" bottom="0.75" header="0.3" footer="0.3"/>
  <pageSetup paperSize="9" orientation="portrait" r:id="rId1"/>
  <headerFoot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120"/>
  <sheetViews>
    <sheetView zoomScaleSheetLayoutView="77" workbookViewId="0">
      <selection activeCell="O20" sqref="O20"/>
    </sheetView>
  </sheetViews>
  <sheetFormatPr defaultColWidth="9.1796875" defaultRowHeight="14.5" x14ac:dyDescent="0.35"/>
  <cols>
    <col min="1" max="1" width="39.81640625" style="22" customWidth="1"/>
    <col min="11" max="21" width="9.1796875" style="22"/>
  </cols>
  <sheetData>
    <row r="1" spans="2:62" x14ac:dyDescent="0.35">
      <c r="B1" s="46"/>
      <c r="C1" s="46"/>
      <c r="D1" s="46"/>
      <c r="E1" s="46"/>
      <c r="F1" s="46"/>
      <c r="G1" s="46"/>
      <c r="H1" s="46"/>
      <c r="I1" s="46"/>
      <c r="J1" s="46"/>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row>
    <row r="2" spans="2:62" ht="15" customHeight="1" x14ac:dyDescent="0.35">
      <c r="B2" s="881" t="s">
        <v>1046</v>
      </c>
      <c r="C2" s="881"/>
      <c r="D2" s="881"/>
      <c r="E2" s="881"/>
      <c r="F2" s="881"/>
      <c r="G2" s="881"/>
      <c r="H2" s="881"/>
      <c r="I2" s="881"/>
      <c r="J2" s="881"/>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row>
    <row r="3" spans="2:62" ht="15" customHeight="1" x14ac:dyDescent="0.35">
      <c r="B3" s="881"/>
      <c r="C3" s="881"/>
      <c r="D3" s="881"/>
      <c r="E3" s="881"/>
      <c r="F3" s="881"/>
      <c r="G3" s="881"/>
      <c r="H3" s="881"/>
      <c r="I3" s="881"/>
      <c r="J3" s="881"/>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row>
    <row r="4" spans="2:62" ht="15" customHeight="1" x14ac:dyDescent="0.35">
      <c r="B4" s="881"/>
      <c r="C4" s="881"/>
      <c r="D4" s="881"/>
      <c r="E4" s="881"/>
      <c r="F4" s="881"/>
      <c r="G4" s="881"/>
      <c r="H4" s="881"/>
      <c r="I4" s="881"/>
      <c r="J4" s="881"/>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row>
    <row r="5" spans="2:62" ht="15" customHeight="1" x14ac:dyDescent="0.35">
      <c r="B5" s="881"/>
      <c r="C5" s="881"/>
      <c r="D5" s="881"/>
      <c r="E5" s="881"/>
      <c r="F5" s="881"/>
      <c r="G5" s="881"/>
      <c r="H5" s="881"/>
      <c r="I5" s="881"/>
      <c r="J5" s="881"/>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row>
    <row r="6" spans="2:62" ht="15" customHeight="1" x14ac:dyDescent="0.35">
      <c r="B6" s="881"/>
      <c r="C6" s="881"/>
      <c r="D6" s="881"/>
      <c r="E6" s="881"/>
      <c r="F6" s="881"/>
      <c r="G6" s="881"/>
      <c r="H6" s="881"/>
      <c r="I6" s="881"/>
      <c r="J6" s="881"/>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row>
    <row r="7" spans="2:62" ht="15" customHeight="1" x14ac:dyDescent="0.35">
      <c r="B7" s="881"/>
      <c r="C7" s="881"/>
      <c r="D7" s="881"/>
      <c r="E7" s="881"/>
      <c r="F7" s="881"/>
      <c r="G7" s="881"/>
      <c r="H7" s="881"/>
      <c r="I7" s="881"/>
      <c r="J7" s="881"/>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row>
    <row r="8" spans="2:62" ht="15" customHeight="1" x14ac:dyDescent="0.35">
      <c r="B8" s="881"/>
      <c r="C8" s="881"/>
      <c r="D8" s="881"/>
      <c r="E8" s="881"/>
      <c r="F8" s="881"/>
      <c r="G8" s="881"/>
      <c r="H8" s="881"/>
      <c r="I8" s="881"/>
      <c r="J8" s="881"/>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row>
    <row r="9" spans="2:62" ht="15" customHeight="1" x14ac:dyDescent="0.35">
      <c r="B9" s="881"/>
      <c r="C9" s="881"/>
      <c r="D9" s="881"/>
      <c r="E9" s="881"/>
      <c r="F9" s="881"/>
      <c r="G9" s="881"/>
      <c r="H9" s="881"/>
      <c r="I9" s="881"/>
      <c r="J9" s="881"/>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row>
    <row r="10" spans="2:62" ht="15" customHeight="1" x14ac:dyDescent="0.35">
      <c r="B10" s="881"/>
      <c r="C10" s="881"/>
      <c r="D10" s="881"/>
      <c r="E10" s="881"/>
      <c r="F10" s="881"/>
      <c r="G10" s="881"/>
      <c r="H10" s="881"/>
      <c r="I10" s="881"/>
      <c r="J10" s="881"/>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row>
    <row r="11" spans="2:62" ht="15" customHeight="1" x14ac:dyDescent="0.35">
      <c r="B11" s="881"/>
      <c r="C11" s="881"/>
      <c r="D11" s="881"/>
      <c r="E11" s="881"/>
      <c r="F11" s="881"/>
      <c r="G11" s="881"/>
      <c r="H11" s="881"/>
      <c r="I11" s="881"/>
      <c r="J11" s="881"/>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row>
    <row r="12" spans="2:62" x14ac:dyDescent="0.35">
      <c r="B12" s="46"/>
      <c r="C12" s="46"/>
      <c r="D12" s="46"/>
      <c r="E12" s="46"/>
      <c r="F12" s="46"/>
      <c r="G12" s="46"/>
      <c r="H12" s="46"/>
      <c r="I12" s="46"/>
      <c r="J12" s="46"/>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row>
    <row r="13" spans="2:62" s="22" customFormat="1" x14ac:dyDescent="0.35">
      <c r="B13" s="46"/>
      <c r="C13" s="46"/>
      <c r="D13" s="46"/>
      <c r="E13" s="46"/>
      <c r="F13" s="46"/>
      <c r="G13" s="46"/>
      <c r="H13" s="46"/>
      <c r="I13" s="46"/>
      <c r="J13" s="46"/>
    </row>
    <row r="14" spans="2:62" s="22" customFormat="1" x14ac:dyDescent="0.35">
      <c r="B14" s="46"/>
      <c r="C14" s="46"/>
      <c r="D14" s="46"/>
      <c r="E14" s="46"/>
      <c r="F14" s="46"/>
      <c r="G14" s="46"/>
      <c r="H14" s="46"/>
      <c r="I14" s="46"/>
      <c r="J14" s="46"/>
    </row>
    <row r="15" spans="2:62" s="22" customFormat="1" x14ac:dyDescent="0.35">
      <c r="B15" s="46"/>
      <c r="C15" s="46"/>
      <c r="D15" s="46"/>
      <c r="E15" s="46"/>
      <c r="F15" s="46"/>
      <c r="G15" s="46"/>
      <c r="H15" s="46"/>
      <c r="I15" s="46"/>
      <c r="J15" s="46"/>
    </row>
    <row r="16" spans="2:62" s="22" customFormat="1" x14ac:dyDescent="0.35">
      <c r="B16" s="46"/>
      <c r="C16" s="46"/>
      <c r="D16" s="46"/>
      <c r="E16" s="46"/>
      <c r="F16" s="46"/>
      <c r="G16" s="46"/>
      <c r="H16" s="46"/>
      <c r="I16" s="46"/>
      <c r="J16" s="46"/>
    </row>
    <row r="17" spans="2:10" s="22" customFormat="1" x14ac:dyDescent="0.35">
      <c r="B17" s="46"/>
      <c r="C17" s="46"/>
      <c r="D17" s="46"/>
      <c r="E17" s="46"/>
      <c r="F17" s="46"/>
      <c r="G17" s="46"/>
      <c r="H17" s="46"/>
      <c r="I17" s="46"/>
      <c r="J17" s="46"/>
    </row>
    <row r="18" spans="2:10" s="22" customFormat="1" x14ac:dyDescent="0.35">
      <c r="B18" s="46"/>
      <c r="C18" s="46"/>
      <c r="D18" s="46"/>
      <c r="E18" s="46"/>
      <c r="F18" s="46"/>
      <c r="G18" s="46"/>
      <c r="H18" s="46"/>
      <c r="I18" s="46"/>
      <c r="J18" s="46"/>
    </row>
    <row r="19" spans="2:10" s="22" customFormat="1" x14ac:dyDescent="0.35">
      <c r="B19" s="46"/>
      <c r="C19" s="46"/>
      <c r="D19" s="46"/>
      <c r="E19" s="46"/>
      <c r="F19" s="46"/>
      <c r="G19" s="46"/>
      <c r="H19" s="46"/>
      <c r="I19" s="46"/>
      <c r="J19" s="46"/>
    </row>
    <row r="20" spans="2:10" s="22" customFormat="1" x14ac:dyDescent="0.35">
      <c r="B20" s="46"/>
      <c r="C20" s="46"/>
      <c r="D20" s="46"/>
      <c r="E20" s="46"/>
      <c r="F20" s="46"/>
      <c r="G20" s="46"/>
      <c r="H20" s="46"/>
      <c r="I20" s="46"/>
      <c r="J20" s="46"/>
    </row>
    <row r="21" spans="2:10" s="22" customFormat="1" x14ac:dyDescent="0.35">
      <c r="B21" s="46"/>
      <c r="C21" s="46"/>
      <c r="D21" s="46"/>
      <c r="E21" s="46"/>
      <c r="F21" s="46"/>
      <c r="G21" s="46"/>
      <c r="H21" s="46"/>
      <c r="I21" s="46"/>
      <c r="J21" s="46"/>
    </row>
    <row r="22" spans="2:10" s="22" customFormat="1" x14ac:dyDescent="0.35">
      <c r="B22" s="46"/>
      <c r="C22" s="46"/>
      <c r="D22" s="46"/>
      <c r="E22" s="46"/>
      <c r="F22" s="46"/>
      <c r="G22" s="46"/>
      <c r="H22" s="46"/>
      <c r="I22" s="46"/>
      <c r="J22" s="46"/>
    </row>
    <row r="23" spans="2:10" s="22" customFormat="1" ht="91.5" customHeight="1" x14ac:dyDescent="0.35">
      <c r="B23" s="46"/>
      <c r="C23" s="46"/>
      <c r="D23" s="46"/>
      <c r="E23" s="46"/>
      <c r="F23" s="46"/>
      <c r="G23" s="46"/>
      <c r="H23" s="46"/>
      <c r="I23" s="46"/>
      <c r="J23" s="46"/>
    </row>
    <row r="24" spans="2:10" s="22" customFormat="1" x14ac:dyDescent="0.35">
      <c r="B24" s="46"/>
      <c r="C24" s="46"/>
      <c r="D24" s="46"/>
      <c r="E24" s="46"/>
      <c r="F24" s="46"/>
      <c r="G24" s="46"/>
      <c r="H24" s="46"/>
      <c r="I24" s="46"/>
      <c r="J24" s="46"/>
    </row>
    <row r="25" spans="2:10" s="22" customFormat="1" x14ac:dyDescent="0.35">
      <c r="B25" s="46"/>
      <c r="C25" s="46"/>
      <c r="D25" s="46"/>
      <c r="E25" s="46"/>
      <c r="F25" s="46"/>
      <c r="G25" s="46"/>
      <c r="H25" s="46"/>
      <c r="I25" s="46"/>
      <c r="J25" s="46"/>
    </row>
    <row r="26" spans="2:10" s="22" customFormat="1" x14ac:dyDescent="0.35">
      <c r="B26" s="46"/>
      <c r="C26" s="46"/>
      <c r="D26" s="46"/>
      <c r="E26" s="46"/>
      <c r="F26" s="46"/>
      <c r="G26" s="46"/>
      <c r="H26" s="46"/>
      <c r="I26" s="46"/>
      <c r="J26" s="46"/>
    </row>
    <row r="27" spans="2:10" s="22" customFormat="1" x14ac:dyDescent="0.35">
      <c r="B27" s="46"/>
      <c r="C27" s="46"/>
      <c r="D27" s="46"/>
      <c r="E27" s="46"/>
      <c r="F27" s="46"/>
      <c r="G27" s="46"/>
      <c r="H27" s="46"/>
      <c r="I27" s="46"/>
      <c r="J27" s="46"/>
    </row>
    <row r="28" spans="2:10" s="22" customFormat="1" x14ac:dyDescent="0.35">
      <c r="B28" s="46"/>
      <c r="C28" s="46"/>
      <c r="D28" s="46"/>
      <c r="E28" s="46"/>
      <c r="F28" s="46"/>
      <c r="G28" s="46"/>
      <c r="H28" s="46"/>
      <c r="I28" s="46"/>
      <c r="J28" s="46"/>
    </row>
    <row r="29" spans="2:10" s="22" customFormat="1" x14ac:dyDescent="0.35">
      <c r="B29" s="46"/>
      <c r="C29" s="46"/>
      <c r="D29" s="46"/>
      <c r="E29" s="46"/>
      <c r="F29" s="46"/>
      <c r="G29" s="46"/>
      <c r="H29" s="46"/>
      <c r="I29" s="46"/>
      <c r="J29" s="46"/>
    </row>
    <row r="30" spans="2:10" s="22" customFormat="1" x14ac:dyDescent="0.35">
      <c r="B30" s="46"/>
      <c r="C30" s="46"/>
      <c r="D30" s="46"/>
      <c r="E30" s="46"/>
      <c r="F30" s="46"/>
      <c r="G30" s="46"/>
      <c r="H30" s="46"/>
      <c r="I30" s="46"/>
      <c r="J30" s="46"/>
    </row>
    <row r="31" spans="2:10" s="22" customFormat="1" x14ac:dyDescent="0.35">
      <c r="B31" s="46"/>
      <c r="C31" s="46"/>
      <c r="D31" s="46"/>
      <c r="E31" s="46"/>
      <c r="F31" s="46"/>
      <c r="G31" s="46"/>
      <c r="H31" s="46"/>
      <c r="I31" s="46"/>
      <c r="J31" s="46"/>
    </row>
    <row r="32" spans="2:10" s="22" customFormat="1" x14ac:dyDescent="0.35">
      <c r="B32" s="46"/>
      <c r="C32" s="46"/>
      <c r="D32" s="46"/>
      <c r="E32" s="46"/>
      <c r="F32" s="46"/>
      <c r="G32" s="46"/>
      <c r="H32" s="46"/>
      <c r="I32" s="46"/>
      <c r="J32" s="46"/>
    </row>
    <row r="33" spans="2:10" s="22" customFormat="1" x14ac:dyDescent="0.35">
      <c r="B33" s="46"/>
      <c r="C33" s="46"/>
      <c r="D33" s="46"/>
      <c r="E33" s="46"/>
      <c r="F33" s="46"/>
      <c r="G33" s="46"/>
      <c r="H33" s="46"/>
      <c r="I33" s="46"/>
      <c r="J33" s="46"/>
    </row>
    <row r="34" spans="2:10" s="22" customFormat="1" x14ac:dyDescent="0.35">
      <c r="B34" s="46"/>
      <c r="C34" s="46"/>
      <c r="D34" s="46"/>
      <c r="E34" s="46"/>
      <c r="F34" s="46"/>
      <c r="G34" s="46"/>
      <c r="H34" s="46"/>
      <c r="I34" s="46"/>
      <c r="J34" s="46"/>
    </row>
    <row r="35" spans="2:10" s="22" customFormat="1" x14ac:dyDescent="0.35">
      <c r="B35" s="46"/>
      <c r="C35" s="46"/>
      <c r="D35" s="46"/>
      <c r="E35" s="46"/>
      <c r="F35" s="46"/>
      <c r="G35" s="46"/>
      <c r="H35" s="46"/>
      <c r="I35" s="46"/>
      <c r="J35" s="46"/>
    </row>
    <row r="36" spans="2:10" s="22" customFormat="1" ht="46.5" customHeight="1" x14ac:dyDescent="0.35">
      <c r="B36" s="46"/>
      <c r="C36" s="46"/>
      <c r="D36" s="46"/>
      <c r="E36" s="882"/>
      <c r="F36" s="882"/>
      <c r="G36" s="882"/>
      <c r="H36" s="882"/>
      <c r="I36" s="882"/>
      <c r="J36" s="46"/>
    </row>
    <row r="37" spans="2:10" s="22" customFormat="1" ht="15" customHeight="1" x14ac:dyDescent="0.35">
      <c r="B37" s="46"/>
      <c r="C37" s="46"/>
      <c r="D37" s="46"/>
      <c r="E37" s="882"/>
      <c r="F37" s="882"/>
      <c r="G37" s="882"/>
      <c r="H37" s="882"/>
      <c r="I37" s="882"/>
      <c r="J37" s="46"/>
    </row>
    <row r="38" spans="2:10" s="22" customFormat="1" x14ac:dyDescent="0.35">
      <c r="B38" s="46"/>
      <c r="C38" s="46"/>
      <c r="D38" s="46"/>
      <c r="E38" s="46"/>
      <c r="F38" s="46"/>
      <c r="G38" s="46"/>
      <c r="H38" s="46"/>
      <c r="I38" s="46"/>
      <c r="J38" s="46"/>
    </row>
    <row r="39" spans="2:10" s="22" customFormat="1" x14ac:dyDescent="0.35">
      <c r="B39" s="46"/>
      <c r="C39" s="46"/>
      <c r="D39" s="46"/>
      <c r="E39" s="46"/>
      <c r="F39" s="46"/>
      <c r="G39" s="46"/>
      <c r="H39" s="46"/>
      <c r="I39" s="46"/>
      <c r="J39" s="46"/>
    </row>
    <row r="40" spans="2:10" s="22" customFormat="1" x14ac:dyDescent="0.35">
      <c r="B40" s="46"/>
      <c r="C40" s="46"/>
      <c r="D40" s="46"/>
      <c r="E40" s="46"/>
      <c r="F40" s="46"/>
      <c r="G40" s="46"/>
      <c r="H40" s="46"/>
      <c r="I40" s="46"/>
      <c r="J40" s="46"/>
    </row>
    <row r="41" spans="2:10" s="22" customFormat="1" x14ac:dyDescent="0.35">
      <c r="B41" s="46"/>
      <c r="C41" s="46"/>
      <c r="D41" s="46"/>
      <c r="E41" s="46"/>
      <c r="F41" s="46"/>
      <c r="G41" s="46"/>
      <c r="H41" s="46"/>
      <c r="I41" s="46"/>
      <c r="J41" s="46"/>
    </row>
    <row r="42" spans="2:10" s="22" customFormat="1" x14ac:dyDescent="0.35">
      <c r="B42" s="46"/>
      <c r="C42" s="46"/>
      <c r="D42" s="46"/>
      <c r="E42" s="46"/>
      <c r="F42" s="46"/>
      <c r="G42" s="46"/>
      <c r="H42" s="46"/>
      <c r="I42" s="46"/>
      <c r="J42" s="46"/>
    </row>
    <row r="43" spans="2:10" s="22" customFormat="1" x14ac:dyDescent="0.35">
      <c r="B43" s="46"/>
      <c r="C43" s="46"/>
      <c r="D43" s="46"/>
      <c r="E43" s="46"/>
      <c r="F43" s="46"/>
      <c r="G43" s="46"/>
      <c r="H43" s="46"/>
      <c r="I43" s="46"/>
      <c r="J43" s="46"/>
    </row>
    <row r="44" spans="2:10" s="22" customFormat="1" x14ac:dyDescent="0.35">
      <c r="B44" s="46"/>
      <c r="C44" s="46"/>
      <c r="D44" s="46"/>
      <c r="E44" s="46"/>
      <c r="F44" s="46"/>
      <c r="G44" s="46"/>
      <c r="H44" s="46"/>
      <c r="I44" s="46"/>
      <c r="J44" s="46"/>
    </row>
    <row r="45" spans="2:10" s="22" customFormat="1" x14ac:dyDescent="0.35">
      <c r="B45" s="46"/>
      <c r="C45" s="46"/>
      <c r="D45" s="46"/>
      <c r="E45" s="46"/>
      <c r="F45" s="46"/>
      <c r="G45" s="46"/>
      <c r="H45" s="46"/>
      <c r="I45" s="46"/>
      <c r="J45" s="46"/>
    </row>
    <row r="46" spans="2:10" s="22" customFormat="1" x14ac:dyDescent="0.35">
      <c r="B46" s="21"/>
      <c r="C46" s="21"/>
      <c r="D46" s="21"/>
      <c r="E46" s="21"/>
      <c r="F46" s="21"/>
      <c r="G46" s="21"/>
      <c r="H46" s="21"/>
      <c r="I46" s="21"/>
      <c r="J46" s="21"/>
    </row>
    <row r="47" spans="2:10" s="22" customFormat="1" x14ac:dyDescent="0.35">
      <c r="B47" s="21"/>
      <c r="C47" s="21"/>
      <c r="D47" s="21"/>
      <c r="E47" s="21"/>
      <c r="F47" s="21"/>
      <c r="G47" s="21"/>
      <c r="H47" s="21"/>
      <c r="I47" s="21"/>
      <c r="J47" s="21"/>
    </row>
    <row r="48" spans="2:10" s="22" customFormat="1" x14ac:dyDescent="0.35"/>
    <row r="49" spans="2:10" s="22" customFormat="1" x14ac:dyDescent="0.35"/>
    <row r="50" spans="2:10" s="22" customFormat="1" x14ac:dyDescent="0.35"/>
    <row r="51" spans="2:10" s="22" customFormat="1" x14ac:dyDescent="0.35"/>
    <row r="52" spans="2:10" s="22" customFormat="1" x14ac:dyDescent="0.35"/>
    <row r="53" spans="2:10" s="22" customFormat="1" x14ac:dyDescent="0.35"/>
    <row r="54" spans="2:10" s="22" customFormat="1" x14ac:dyDescent="0.35"/>
    <row r="55" spans="2:10" s="22" customFormat="1" x14ac:dyDescent="0.35"/>
    <row r="56" spans="2:10" s="22" customFormat="1" x14ac:dyDescent="0.35"/>
    <row r="57" spans="2:10" x14ac:dyDescent="0.35">
      <c r="B57" s="22"/>
      <c r="C57" s="22"/>
      <c r="D57" s="22"/>
      <c r="E57" s="22"/>
      <c r="F57" s="22"/>
      <c r="G57" s="22"/>
      <c r="H57" s="22"/>
      <c r="I57" s="22"/>
      <c r="J57" s="22"/>
    </row>
    <row r="58" spans="2:10" x14ac:dyDescent="0.35">
      <c r="B58" s="22"/>
      <c r="C58" s="22"/>
      <c r="D58" s="22"/>
      <c r="E58" s="22"/>
      <c r="F58" s="22"/>
      <c r="G58" s="22"/>
      <c r="H58" s="22"/>
      <c r="I58" s="22"/>
      <c r="J58" s="22"/>
    </row>
    <row r="59" spans="2:10" x14ac:dyDescent="0.35">
      <c r="B59" s="22"/>
      <c r="C59" s="22"/>
      <c r="D59" s="22"/>
      <c r="E59" s="22"/>
      <c r="F59" s="22"/>
      <c r="G59" s="22"/>
      <c r="H59" s="22"/>
      <c r="I59" s="22"/>
      <c r="J59" s="22"/>
    </row>
    <row r="60" spans="2:10" x14ac:dyDescent="0.35">
      <c r="B60" s="22"/>
      <c r="C60" s="22"/>
      <c r="D60" s="22"/>
      <c r="E60" s="22"/>
      <c r="F60" s="22"/>
      <c r="G60" s="22"/>
      <c r="H60" s="22"/>
      <c r="I60" s="22"/>
      <c r="J60" s="22"/>
    </row>
    <row r="61" spans="2:10" x14ac:dyDescent="0.35">
      <c r="B61" s="22"/>
      <c r="C61" s="22"/>
      <c r="D61" s="22"/>
      <c r="E61" s="22"/>
      <c r="F61" s="22"/>
      <c r="G61" s="22"/>
      <c r="H61" s="22"/>
      <c r="I61" s="22"/>
      <c r="J61" s="22"/>
    </row>
    <row r="62" spans="2:10" x14ac:dyDescent="0.35">
      <c r="B62" s="22"/>
      <c r="C62" s="22"/>
      <c r="D62" s="22"/>
      <c r="E62" s="22"/>
      <c r="F62" s="22"/>
      <c r="G62" s="22"/>
      <c r="H62" s="22"/>
      <c r="I62" s="22"/>
      <c r="J62" s="22"/>
    </row>
    <row r="63" spans="2:10" x14ac:dyDescent="0.35">
      <c r="B63" s="22"/>
      <c r="C63" s="22"/>
      <c r="D63" s="22"/>
      <c r="E63" s="22"/>
      <c r="F63" s="22"/>
      <c r="G63" s="22"/>
      <c r="H63" s="22"/>
      <c r="I63" s="22"/>
      <c r="J63" s="22"/>
    </row>
    <row r="64" spans="2:10" x14ac:dyDescent="0.35">
      <c r="B64" s="22"/>
      <c r="C64" s="22"/>
      <c r="D64" s="22"/>
      <c r="E64" s="22"/>
      <c r="F64" s="22"/>
      <c r="G64" s="22"/>
      <c r="H64" s="22"/>
      <c r="I64" s="22"/>
      <c r="J64" s="22"/>
    </row>
    <row r="65" spans="2:10" x14ac:dyDescent="0.35">
      <c r="B65" s="22"/>
      <c r="C65" s="22"/>
      <c r="D65" s="22"/>
      <c r="E65" s="22"/>
      <c r="F65" s="22"/>
      <c r="G65" s="22"/>
      <c r="H65" s="22"/>
      <c r="I65" s="22"/>
      <c r="J65" s="22"/>
    </row>
    <row r="66" spans="2:10" x14ac:dyDescent="0.35">
      <c r="B66" s="22"/>
      <c r="C66" s="22"/>
      <c r="D66" s="22"/>
      <c r="E66" s="22"/>
      <c r="F66" s="22"/>
      <c r="G66" s="22"/>
      <c r="H66" s="22"/>
      <c r="I66" s="22"/>
      <c r="J66" s="22"/>
    </row>
    <row r="67" spans="2:10" x14ac:dyDescent="0.35">
      <c r="B67" s="22"/>
      <c r="C67" s="22"/>
      <c r="D67" s="22"/>
      <c r="E67" s="22"/>
      <c r="F67" s="22"/>
      <c r="G67" s="22"/>
      <c r="H67" s="22"/>
      <c r="I67" s="22"/>
      <c r="J67" s="22"/>
    </row>
    <row r="68" spans="2:10" x14ac:dyDescent="0.35">
      <c r="B68" s="22"/>
      <c r="C68" s="22"/>
      <c r="D68" s="22"/>
      <c r="E68" s="22"/>
      <c r="F68" s="22"/>
      <c r="G68" s="22"/>
      <c r="H68" s="22"/>
      <c r="I68" s="22"/>
      <c r="J68" s="22"/>
    </row>
    <row r="69" spans="2:10" x14ac:dyDescent="0.35">
      <c r="B69" s="22"/>
      <c r="C69" s="22"/>
      <c r="D69" s="22"/>
      <c r="E69" s="22"/>
      <c r="F69" s="22"/>
      <c r="G69" s="22"/>
      <c r="H69" s="22"/>
      <c r="I69" s="22"/>
      <c r="J69" s="22"/>
    </row>
    <row r="70" spans="2:10" x14ac:dyDescent="0.35">
      <c r="B70" s="22"/>
      <c r="C70" s="22"/>
      <c r="D70" s="22"/>
      <c r="E70" s="22"/>
      <c r="F70" s="22"/>
      <c r="G70" s="22"/>
      <c r="H70" s="22"/>
      <c r="I70" s="22"/>
      <c r="J70" s="22"/>
    </row>
    <row r="71" spans="2:10" x14ac:dyDescent="0.35">
      <c r="B71" s="22"/>
      <c r="C71" s="22"/>
      <c r="D71" s="22"/>
      <c r="E71" s="22"/>
      <c r="F71" s="22"/>
      <c r="G71" s="22"/>
      <c r="H71" s="22"/>
      <c r="I71" s="22"/>
      <c r="J71" s="22"/>
    </row>
    <row r="72" spans="2:10" x14ac:dyDescent="0.35">
      <c r="B72" s="22"/>
      <c r="C72" s="22"/>
      <c r="D72" s="22"/>
      <c r="E72" s="22"/>
      <c r="F72" s="22"/>
      <c r="G72" s="22"/>
      <c r="H72" s="22"/>
      <c r="I72" s="22"/>
      <c r="J72" s="22"/>
    </row>
    <row r="73" spans="2:10" x14ac:dyDescent="0.35">
      <c r="B73" s="22"/>
      <c r="C73" s="22"/>
      <c r="D73" s="22"/>
      <c r="E73" s="22"/>
      <c r="F73" s="22"/>
      <c r="G73" s="22"/>
      <c r="H73" s="22"/>
      <c r="I73" s="22"/>
      <c r="J73" s="22"/>
    </row>
    <row r="74" spans="2:10" x14ac:dyDescent="0.35">
      <c r="B74" s="22"/>
      <c r="C74" s="22"/>
      <c r="D74" s="22"/>
      <c r="E74" s="22"/>
      <c r="F74" s="22"/>
      <c r="G74" s="22"/>
      <c r="H74" s="22"/>
      <c r="I74" s="22"/>
      <c r="J74" s="22"/>
    </row>
    <row r="75" spans="2:10" x14ac:dyDescent="0.35">
      <c r="B75" s="22"/>
      <c r="C75" s="22"/>
      <c r="D75" s="22"/>
      <c r="E75" s="22"/>
      <c r="F75" s="22"/>
      <c r="G75" s="22"/>
      <c r="H75" s="22"/>
      <c r="I75" s="22"/>
      <c r="J75" s="22"/>
    </row>
    <row r="76" spans="2:10" x14ac:dyDescent="0.35">
      <c r="B76" s="22"/>
      <c r="C76" s="22"/>
      <c r="D76" s="22"/>
      <c r="E76" s="22"/>
      <c r="F76" s="22"/>
      <c r="G76" s="22"/>
      <c r="H76" s="22"/>
      <c r="I76" s="22"/>
      <c r="J76" s="22"/>
    </row>
    <row r="77" spans="2:10" x14ac:dyDescent="0.35">
      <c r="B77" s="22"/>
      <c r="C77" s="22"/>
      <c r="D77" s="22"/>
      <c r="E77" s="22"/>
      <c r="F77" s="22"/>
      <c r="G77" s="22"/>
      <c r="H77" s="22"/>
      <c r="I77" s="22"/>
      <c r="J77" s="22"/>
    </row>
    <row r="78" spans="2:10" x14ac:dyDescent="0.35">
      <c r="B78" s="22"/>
      <c r="C78" s="22"/>
      <c r="D78" s="22"/>
      <c r="E78" s="22"/>
      <c r="F78" s="22"/>
      <c r="G78" s="22"/>
      <c r="H78" s="22"/>
      <c r="I78" s="22"/>
      <c r="J78" s="22"/>
    </row>
    <row r="79" spans="2:10" x14ac:dyDescent="0.35">
      <c r="B79" s="22"/>
      <c r="C79" s="22"/>
      <c r="D79" s="22"/>
      <c r="E79" s="22"/>
      <c r="F79" s="22"/>
      <c r="G79" s="22"/>
      <c r="H79" s="22"/>
      <c r="I79" s="22"/>
      <c r="J79" s="22"/>
    </row>
    <row r="80" spans="2:10" x14ac:dyDescent="0.35">
      <c r="B80" s="22"/>
      <c r="C80" s="22"/>
      <c r="D80" s="22"/>
      <c r="E80" s="22"/>
      <c r="F80" s="22"/>
      <c r="G80" s="22"/>
      <c r="H80" s="22"/>
      <c r="I80" s="22"/>
      <c r="J80" s="22"/>
    </row>
    <row r="81" spans="2:10" x14ac:dyDescent="0.35">
      <c r="B81" s="22"/>
      <c r="C81" s="22"/>
      <c r="D81" s="22"/>
      <c r="E81" s="22"/>
      <c r="F81" s="22"/>
      <c r="G81" s="22"/>
      <c r="H81" s="22"/>
      <c r="I81" s="22"/>
      <c r="J81" s="22"/>
    </row>
    <row r="82" spans="2:10" x14ac:dyDescent="0.35">
      <c r="B82" s="22"/>
      <c r="C82" s="22"/>
      <c r="D82" s="22"/>
      <c r="E82" s="22"/>
      <c r="F82" s="22"/>
      <c r="G82" s="22"/>
      <c r="H82" s="22"/>
      <c r="I82" s="22"/>
      <c r="J82" s="22"/>
    </row>
    <row r="83" spans="2:10" x14ac:dyDescent="0.35">
      <c r="B83" s="22"/>
      <c r="C83" s="22"/>
      <c r="D83" s="22"/>
      <c r="E83" s="22"/>
      <c r="F83" s="22"/>
      <c r="G83" s="22"/>
      <c r="H83" s="22"/>
      <c r="I83" s="22"/>
      <c r="J83" s="22"/>
    </row>
    <row r="84" spans="2:10" x14ac:dyDescent="0.35">
      <c r="B84" s="22"/>
      <c r="C84" s="22"/>
      <c r="D84" s="22"/>
      <c r="E84" s="22"/>
      <c r="F84" s="22"/>
      <c r="G84" s="22"/>
      <c r="H84" s="22"/>
      <c r="I84" s="22"/>
      <c r="J84" s="22"/>
    </row>
    <row r="85" spans="2:10" x14ac:dyDescent="0.35">
      <c r="B85" s="22"/>
      <c r="C85" s="22"/>
      <c r="D85" s="22"/>
      <c r="E85" s="22"/>
      <c r="F85" s="22"/>
      <c r="G85" s="22"/>
      <c r="H85" s="22"/>
      <c r="I85" s="22"/>
      <c r="J85" s="22"/>
    </row>
    <row r="86" spans="2:10" x14ac:dyDescent="0.35">
      <c r="B86" s="22"/>
      <c r="C86" s="22"/>
      <c r="D86" s="22"/>
      <c r="E86" s="22"/>
      <c r="F86" s="22"/>
      <c r="G86" s="22"/>
      <c r="H86" s="22"/>
      <c r="I86" s="22"/>
      <c r="J86" s="22"/>
    </row>
    <row r="87" spans="2:10" x14ac:dyDescent="0.35">
      <c r="B87" s="22"/>
      <c r="C87" s="22"/>
      <c r="D87" s="22"/>
      <c r="E87" s="22"/>
      <c r="F87" s="22"/>
      <c r="G87" s="22"/>
      <c r="H87" s="22"/>
      <c r="I87" s="22"/>
      <c r="J87" s="22"/>
    </row>
    <row r="88" spans="2:10" x14ac:dyDescent="0.35">
      <c r="B88" s="22"/>
      <c r="C88" s="22"/>
      <c r="D88" s="22"/>
      <c r="E88" s="22"/>
      <c r="F88" s="22"/>
      <c r="G88" s="22"/>
      <c r="H88" s="22"/>
      <c r="I88" s="22"/>
      <c r="J88" s="22"/>
    </row>
    <row r="89" spans="2:10" x14ac:dyDescent="0.35">
      <c r="B89" s="22"/>
      <c r="C89" s="22"/>
      <c r="D89" s="22"/>
      <c r="E89" s="22"/>
      <c r="F89" s="22"/>
      <c r="G89" s="22"/>
      <c r="H89" s="22"/>
      <c r="I89" s="22"/>
      <c r="J89" s="22"/>
    </row>
    <row r="90" spans="2:10" x14ac:dyDescent="0.35">
      <c r="B90" s="22"/>
      <c r="C90" s="22"/>
      <c r="D90" s="22"/>
      <c r="E90" s="22"/>
      <c r="F90" s="22"/>
      <c r="G90" s="22"/>
      <c r="H90" s="22"/>
      <c r="I90" s="22"/>
      <c r="J90" s="22"/>
    </row>
    <row r="91" spans="2:10" x14ac:dyDescent="0.35">
      <c r="B91" s="22"/>
      <c r="C91" s="22"/>
      <c r="D91" s="22"/>
      <c r="E91" s="22"/>
      <c r="F91" s="22"/>
      <c r="G91" s="22"/>
      <c r="H91" s="22"/>
      <c r="I91" s="22"/>
      <c r="J91" s="22"/>
    </row>
    <row r="92" spans="2:10" x14ac:dyDescent="0.35">
      <c r="B92" s="22"/>
      <c r="C92" s="22"/>
      <c r="D92" s="22"/>
      <c r="E92" s="22"/>
      <c r="F92" s="22"/>
      <c r="G92" s="22"/>
      <c r="H92" s="22"/>
      <c r="I92" s="22"/>
      <c r="J92" s="22"/>
    </row>
    <row r="93" spans="2:10" x14ac:dyDescent="0.35">
      <c r="B93" s="22"/>
      <c r="C93" s="22"/>
      <c r="D93" s="22"/>
      <c r="E93" s="22"/>
      <c r="F93" s="22"/>
      <c r="G93" s="22"/>
      <c r="H93" s="22"/>
      <c r="I93" s="22"/>
      <c r="J93" s="22"/>
    </row>
    <row r="94" spans="2:10" x14ac:dyDescent="0.35">
      <c r="B94" s="22"/>
      <c r="C94" s="22"/>
      <c r="D94" s="22"/>
      <c r="E94" s="22"/>
      <c r="F94" s="22"/>
      <c r="G94" s="22"/>
      <c r="H94" s="22"/>
      <c r="I94" s="22"/>
      <c r="J94" s="22"/>
    </row>
    <row r="95" spans="2:10" x14ac:dyDescent="0.35">
      <c r="B95" s="22"/>
      <c r="C95" s="22"/>
      <c r="D95" s="22"/>
      <c r="E95" s="22"/>
      <c r="F95" s="22"/>
      <c r="G95" s="22"/>
      <c r="H95" s="22"/>
      <c r="I95" s="22"/>
      <c r="J95" s="22"/>
    </row>
    <row r="96" spans="2:10" x14ac:dyDescent="0.35">
      <c r="B96" s="22"/>
      <c r="C96" s="22"/>
      <c r="D96" s="22"/>
      <c r="E96" s="22"/>
      <c r="F96" s="22"/>
      <c r="G96" s="22"/>
      <c r="H96" s="22"/>
      <c r="I96" s="22"/>
      <c r="J96" s="22"/>
    </row>
    <row r="97" spans="2:10" x14ac:dyDescent="0.35">
      <c r="B97" s="22"/>
      <c r="C97" s="22"/>
      <c r="D97" s="22"/>
      <c r="E97" s="22"/>
      <c r="F97" s="22"/>
      <c r="G97" s="22"/>
      <c r="H97" s="22"/>
      <c r="I97" s="22"/>
      <c r="J97" s="22"/>
    </row>
    <row r="98" spans="2:10" x14ac:dyDescent="0.35">
      <c r="B98" s="22"/>
      <c r="C98" s="22"/>
      <c r="D98" s="22"/>
      <c r="E98" s="22"/>
      <c r="F98" s="22"/>
      <c r="G98" s="22"/>
      <c r="H98" s="22"/>
      <c r="I98" s="22"/>
      <c r="J98" s="22"/>
    </row>
    <row r="99" spans="2:10" x14ac:dyDescent="0.35">
      <c r="B99" s="22"/>
      <c r="C99" s="22"/>
      <c r="D99" s="22"/>
      <c r="E99" s="22"/>
      <c r="F99" s="22"/>
      <c r="G99" s="22"/>
      <c r="H99" s="22"/>
      <c r="I99" s="22"/>
      <c r="J99" s="22"/>
    </row>
    <row r="100" spans="2:10" x14ac:dyDescent="0.35">
      <c r="B100" s="22"/>
      <c r="C100" s="22"/>
      <c r="D100" s="22"/>
      <c r="E100" s="22"/>
      <c r="F100" s="22"/>
      <c r="G100" s="22"/>
      <c r="H100" s="22"/>
      <c r="I100" s="22"/>
      <c r="J100" s="22"/>
    </row>
    <row r="101" spans="2:10" x14ac:dyDescent="0.35">
      <c r="B101" s="22"/>
      <c r="C101" s="22"/>
      <c r="D101" s="22"/>
      <c r="E101" s="22"/>
      <c r="F101" s="22"/>
      <c r="G101" s="22"/>
      <c r="H101" s="22"/>
      <c r="I101" s="22"/>
      <c r="J101" s="22"/>
    </row>
    <row r="102" spans="2:10" x14ac:dyDescent="0.35">
      <c r="B102" s="22"/>
      <c r="C102" s="22"/>
      <c r="D102" s="22"/>
      <c r="E102" s="22"/>
      <c r="F102" s="22"/>
      <c r="G102" s="22"/>
      <c r="H102" s="22"/>
      <c r="I102" s="22"/>
      <c r="J102" s="22"/>
    </row>
    <row r="103" spans="2:10" x14ac:dyDescent="0.35">
      <c r="B103" s="22"/>
      <c r="C103" s="22"/>
      <c r="D103" s="22"/>
      <c r="E103" s="22"/>
      <c r="F103" s="22"/>
      <c r="G103" s="22"/>
      <c r="H103" s="22"/>
      <c r="I103" s="22"/>
      <c r="J103" s="22"/>
    </row>
    <row r="104" spans="2:10" x14ac:dyDescent="0.35">
      <c r="B104" s="22"/>
      <c r="C104" s="22"/>
      <c r="D104" s="22"/>
      <c r="E104" s="22"/>
      <c r="F104" s="22"/>
      <c r="G104" s="22"/>
      <c r="H104" s="22"/>
      <c r="I104" s="22"/>
      <c r="J104" s="22"/>
    </row>
    <row r="105" spans="2:10" x14ac:dyDescent="0.35">
      <c r="B105" s="22"/>
      <c r="C105" s="22"/>
      <c r="D105" s="22"/>
      <c r="E105" s="22"/>
      <c r="F105" s="22"/>
      <c r="G105" s="22"/>
      <c r="H105" s="22"/>
      <c r="I105" s="22"/>
      <c r="J105" s="22"/>
    </row>
    <row r="106" spans="2:10" x14ac:dyDescent="0.35">
      <c r="B106" s="22"/>
      <c r="C106" s="22"/>
      <c r="D106" s="22"/>
      <c r="E106" s="22"/>
      <c r="F106" s="22"/>
      <c r="G106" s="22"/>
      <c r="H106" s="22"/>
      <c r="I106" s="22"/>
      <c r="J106" s="22"/>
    </row>
    <row r="107" spans="2:10" x14ac:dyDescent="0.35">
      <c r="B107" s="22"/>
      <c r="C107" s="22"/>
      <c r="D107" s="22"/>
      <c r="E107" s="22"/>
      <c r="F107" s="22"/>
      <c r="G107" s="22"/>
      <c r="H107" s="22"/>
      <c r="I107" s="22"/>
      <c r="J107" s="22"/>
    </row>
    <row r="108" spans="2:10" x14ac:dyDescent="0.35">
      <c r="B108" s="22"/>
      <c r="C108" s="22"/>
      <c r="D108" s="22"/>
      <c r="E108" s="22"/>
      <c r="F108" s="22"/>
      <c r="G108" s="22"/>
      <c r="H108" s="22"/>
      <c r="I108" s="22"/>
      <c r="J108" s="22"/>
    </row>
    <row r="109" spans="2:10" x14ac:dyDescent="0.35">
      <c r="B109" s="22"/>
      <c r="C109" s="22"/>
      <c r="D109" s="22"/>
      <c r="E109" s="22"/>
      <c r="F109" s="22"/>
      <c r="G109" s="22"/>
      <c r="H109" s="22"/>
      <c r="I109" s="22"/>
      <c r="J109" s="22"/>
    </row>
    <row r="110" spans="2:10" x14ac:dyDescent="0.35">
      <c r="B110" s="22"/>
      <c r="C110" s="22"/>
      <c r="D110" s="22"/>
      <c r="E110" s="22"/>
      <c r="F110" s="22"/>
      <c r="G110" s="22"/>
      <c r="H110" s="22"/>
      <c r="I110" s="22"/>
      <c r="J110" s="22"/>
    </row>
    <row r="111" spans="2:10" x14ac:dyDescent="0.35">
      <c r="B111" s="22"/>
      <c r="C111" s="22"/>
      <c r="D111" s="22"/>
      <c r="E111" s="22"/>
      <c r="F111" s="22"/>
      <c r="G111" s="22"/>
      <c r="H111" s="22"/>
      <c r="I111" s="22"/>
      <c r="J111" s="22"/>
    </row>
    <row r="112" spans="2:10" x14ac:dyDescent="0.35">
      <c r="B112" s="22"/>
      <c r="C112" s="22"/>
      <c r="D112" s="22"/>
      <c r="E112" s="22"/>
      <c r="F112" s="22"/>
      <c r="G112" s="22"/>
      <c r="H112" s="22"/>
      <c r="I112" s="22"/>
      <c r="J112" s="22"/>
    </row>
    <row r="113" spans="2:10" x14ac:dyDescent="0.35">
      <c r="B113" s="22"/>
      <c r="C113" s="22"/>
      <c r="D113" s="22"/>
      <c r="E113" s="22"/>
      <c r="F113" s="22"/>
      <c r="G113" s="22"/>
      <c r="H113" s="22"/>
      <c r="I113" s="22"/>
      <c r="J113" s="22"/>
    </row>
    <row r="114" spans="2:10" x14ac:dyDescent="0.35">
      <c r="B114" s="22"/>
      <c r="C114" s="22"/>
      <c r="D114" s="22"/>
      <c r="E114" s="22"/>
      <c r="F114" s="22"/>
      <c r="G114" s="22"/>
      <c r="H114" s="22"/>
      <c r="I114" s="22"/>
      <c r="J114" s="22"/>
    </row>
    <row r="115" spans="2:10" x14ac:dyDescent="0.35">
      <c r="B115" s="22"/>
      <c r="C115" s="22"/>
      <c r="D115" s="22"/>
      <c r="E115" s="22"/>
      <c r="F115" s="22"/>
      <c r="G115" s="22"/>
      <c r="H115" s="22"/>
      <c r="I115" s="22"/>
      <c r="J115" s="22"/>
    </row>
    <row r="116" spans="2:10" x14ac:dyDescent="0.35">
      <c r="B116" s="22"/>
      <c r="C116" s="22"/>
      <c r="D116" s="22"/>
      <c r="E116" s="22"/>
      <c r="F116" s="22"/>
      <c r="G116" s="22"/>
      <c r="H116" s="22"/>
      <c r="I116" s="22"/>
      <c r="J116" s="22"/>
    </row>
    <row r="117" spans="2:10" x14ac:dyDescent="0.35">
      <c r="B117" s="22"/>
      <c r="C117" s="22"/>
      <c r="D117" s="22"/>
      <c r="E117" s="22"/>
      <c r="F117" s="22"/>
      <c r="G117" s="22"/>
      <c r="H117" s="22"/>
      <c r="I117" s="22"/>
      <c r="J117" s="22"/>
    </row>
    <row r="118" spans="2:10" x14ac:dyDescent="0.35">
      <c r="B118" s="22"/>
      <c r="C118" s="22"/>
      <c r="D118" s="22"/>
      <c r="E118" s="22"/>
      <c r="F118" s="22"/>
      <c r="G118" s="22"/>
      <c r="H118" s="22"/>
      <c r="I118" s="22"/>
      <c r="J118" s="22"/>
    </row>
    <row r="119" spans="2:10" x14ac:dyDescent="0.35">
      <c r="B119" s="22"/>
      <c r="C119" s="22"/>
      <c r="D119" s="22"/>
      <c r="E119" s="22"/>
      <c r="F119" s="22"/>
      <c r="G119" s="22"/>
      <c r="H119" s="22"/>
      <c r="I119" s="22"/>
      <c r="J119" s="22"/>
    </row>
    <row r="120" spans="2:10" x14ac:dyDescent="0.35">
      <c r="B120" s="22"/>
      <c r="C120" s="22"/>
      <c r="D120" s="22"/>
      <c r="E120" s="22"/>
      <c r="F120" s="22"/>
      <c r="G120" s="22"/>
      <c r="H120" s="22"/>
      <c r="I120" s="22"/>
      <c r="J120" s="22"/>
    </row>
  </sheetData>
  <sheetProtection password="F93C" sheet="1" objects="1" scenarios="1" selectLockedCells="1" selectUnlockedCells="1"/>
  <mergeCells count="2">
    <mergeCell ref="B2:J11"/>
    <mergeCell ref="E36:I37"/>
  </mergeCells>
  <pageMargins left="0.7" right="0.7" top="0.75" bottom="0.75" header="0.3" footer="0.3"/>
  <pageSetup paperSize="9" orientation="portrait" r:id="rId1"/>
  <headerFooter>
    <oddFooter>&amp;CPage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7"/>
  <dimension ref="A1:AE105"/>
  <sheetViews>
    <sheetView zoomScaleSheetLayoutView="100" workbookViewId="0">
      <selection activeCell="C33" sqref="C33"/>
    </sheetView>
  </sheetViews>
  <sheetFormatPr defaultRowHeight="14.5" x14ac:dyDescent="0.35"/>
  <cols>
    <col min="1" max="1" width="49.1796875" style="422" customWidth="1"/>
    <col min="3" max="3" width="9.1796875" style="1"/>
    <col min="4" max="4" width="9.1796875" style="427"/>
    <col min="11" max="31" width="9.1796875" style="422"/>
  </cols>
  <sheetData>
    <row r="1" spans="2:10" x14ac:dyDescent="0.35">
      <c r="B1" s="37"/>
      <c r="C1" s="197"/>
      <c r="D1" s="423"/>
      <c r="E1" s="46"/>
      <c r="F1" s="46"/>
      <c r="G1" s="46"/>
      <c r="H1" s="46"/>
      <c r="I1" s="46"/>
      <c r="J1" s="46"/>
    </row>
    <row r="2" spans="2:10" ht="20" x14ac:dyDescent="0.4">
      <c r="B2" s="886" t="s">
        <v>982</v>
      </c>
      <c r="C2" s="886"/>
      <c r="D2" s="886"/>
      <c r="E2" s="886"/>
      <c r="F2" s="886"/>
      <c r="G2" s="886"/>
      <c r="H2" s="886"/>
      <c r="I2" s="886"/>
      <c r="J2" s="886"/>
    </row>
    <row r="3" spans="2:10" ht="20" x14ac:dyDescent="0.4">
      <c r="B3" s="46"/>
      <c r="C3" s="47"/>
      <c r="D3" s="424"/>
      <c r="E3" s="47"/>
      <c r="F3" s="47"/>
      <c r="G3" s="47"/>
      <c r="H3" s="47"/>
      <c r="I3" s="47"/>
      <c r="J3" s="47"/>
    </row>
    <row r="4" spans="2:10" ht="21" x14ac:dyDescent="0.5">
      <c r="B4" s="46"/>
      <c r="C4" s="890" t="s">
        <v>372</v>
      </c>
      <c r="D4" s="890"/>
      <c r="E4" s="890"/>
      <c r="F4" s="890"/>
      <c r="G4" s="890"/>
      <c r="H4" s="890"/>
      <c r="I4" s="890"/>
      <c r="J4" s="46"/>
    </row>
    <row r="5" spans="2:10" x14ac:dyDescent="0.35">
      <c r="B5" s="46"/>
      <c r="C5" s="197"/>
      <c r="D5" s="423"/>
      <c r="E5" s="46"/>
      <c r="F5" s="46"/>
      <c r="G5" s="46"/>
      <c r="H5" s="46"/>
      <c r="I5" s="46"/>
      <c r="J5" s="46"/>
    </row>
    <row r="6" spans="2:10" ht="17.5" x14ac:dyDescent="0.35">
      <c r="B6" s="46"/>
      <c r="C6" s="428" t="s">
        <v>602</v>
      </c>
      <c r="D6" s="887" t="s">
        <v>603</v>
      </c>
      <c r="E6" s="888"/>
      <c r="F6" s="888"/>
      <c r="G6" s="888"/>
      <c r="H6" s="888"/>
      <c r="I6" s="889"/>
      <c r="J6" s="46"/>
    </row>
    <row r="7" spans="2:10" ht="17.5" x14ac:dyDescent="0.35">
      <c r="B7" s="46"/>
      <c r="C7" s="428">
        <v>1</v>
      </c>
      <c r="D7" s="883" t="s">
        <v>372</v>
      </c>
      <c r="E7" s="884"/>
      <c r="F7" s="884"/>
      <c r="G7" s="884"/>
      <c r="H7" s="884"/>
      <c r="I7" s="885"/>
      <c r="J7" s="46"/>
    </row>
    <row r="8" spans="2:10" ht="17.5" x14ac:dyDescent="0.35">
      <c r="B8" s="46"/>
      <c r="C8" s="428">
        <v>2</v>
      </c>
      <c r="D8" s="883" t="s">
        <v>621</v>
      </c>
      <c r="E8" s="884"/>
      <c r="F8" s="884"/>
      <c r="G8" s="884"/>
      <c r="H8" s="884"/>
      <c r="I8" s="885"/>
      <c r="J8" s="46"/>
    </row>
    <row r="9" spans="2:10" ht="17.5" x14ac:dyDescent="0.35">
      <c r="B9" s="46"/>
      <c r="C9" s="428">
        <v>3</v>
      </c>
      <c r="D9" s="883" t="s">
        <v>616</v>
      </c>
      <c r="E9" s="884"/>
      <c r="F9" s="884"/>
      <c r="G9" s="884"/>
      <c r="H9" s="884"/>
      <c r="I9" s="885"/>
      <c r="J9" s="46"/>
    </row>
    <row r="10" spans="2:10" ht="17.5" x14ac:dyDescent="0.35">
      <c r="B10" s="46"/>
      <c r="C10" s="428">
        <v>4</v>
      </c>
      <c r="D10" s="883" t="s">
        <v>1008</v>
      </c>
      <c r="E10" s="884"/>
      <c r="F10" s="884"/>
      <c r="G10" s="884"/>
      <c r="H10" s="884"/>
      <c r="I10" s="885"/>
      <c r="J10" s="46"/>
    </row>
    <row r="11" spans="2:10" ht="17.5" x14ac:dyDescent="0.35">
      <c r="B11" s="46"/>
      <c r="C11" s="428">
        <v>5</v>
      </c>
      <c r="D11" s="883" t="s">
        <v>617</v>
      </c>
      <c r="E11" s="884"/>
      <c r="F11" s="884"/>
      <c r="G11" s="884"/>
      <c r="H11" s="884"/>
      <c r="I11" s="885"/>
      <c r="J11" s="46"/>
    </row>
    <row r="12" spans="2:10" ht="17.5" x14ac:dyDescent="0.35">
      <c r="B12" s="46"/>
      <c r="C12" s="428">
        <v>6</v>
      </c>
      <c r="D12" s="883" t="s">
        <v>618</v>
      </c>
      <c r="E12" s="884"/>
      <c r="F12" s="884"/>
      <c r="G12" s="884"/>
      <c r="H12" s="884"/>
      <c r="I12" s="885"/>
      <c r="J12" s="46"/>
    </row>
    <row r="13" spans="2:10" ht="17.5" x14ac:dyDescent="0.35">
      <c r="B13" s="46"/>
      <c r="C13" s="428">
        <v>7</v>
      </c>
      <c r="D13" s="883" t="s">
        <v>620</v>
      </c>
      <c r="E13" s="884"/>
      <c r="F13" s="884"/>
      <c r="G13" s="884"/>
      <c r="H13" s="884"/>
      <c r="I13" s="885"/>
      <c r="J13" s="46"/>
    </row>
    <row r="14" spans="2:10" ht="17.5" x14ac:dyDescent="0.35">
      <c r="B14" s="46"/>
      <c r="C14" s="428">
        <v>8</v>
      </c>
      <c r="D14" s="883" t="s">
        <v>619</v>
      </c>
      <c r="E14" s="884"/>
      <c r="F14" s="884"/>
      <c r="G14" s="884"/>
      <c r="H14" s="884"/>
      <c r="I14" s="885"/>
      <c r="J14" s="46"/>
    </row>
    <row r="15" spans="2:10" ht="17.5" x14ac:dyDescent="0.35">
      <c r="B15" s="46"/>
      <c r="C15" s="428">
        <v>9</v>
      </c>
      <c r="D15" s="883" t="s">
        <v>1009</v>
      </c>
      <c r="E15" s="884"/>
      <c r="F15" s="884"/>
      <c r="G15" s="884"/>
      <c r="H15" s="884"/>
      <c r="I15" s="885"/>
      <c r="J15" s="46"/>
    </row>
    <row r="16" spans="2:10" ht="17.5" x14ac:dyDescent="0.35">
      <c r="B16" s="46"/>
      <c r="C16" s="428">
        <v>10</v>
      </c>
      <c r="D16" s="883" t="s">
        <v>622</v>
      </c>
      <c r="E16" s="884"/>
      <c r="F16" s="884"/>
      <c r="G16" s="884"/>
      <c r="H16" s="884"/>
      <c r="I16" s="885"/>
      <c r="J16" s="46"/>
    </row>
    <row r="17" spans="1:31" ht="17.5" x14ac:dyDescent="0.35">
      <c r="B17" s="46"/>
      <c r="C17" s="428">
        <v>11</v>
      </c>
      <c r="D17" s="883" t="s">
        <v>625</v>
      </c>
      <c r="E17" s="884"/>
      <c r="F17" s="884"/>
      <c r="G17" s="884"/>
      <c r="H17" s="884"/>
      <c r="I17" s="885"/>
      <c r="J17" s="46"/>
    </row>
    <row r="18" spans="1:31" ht="17.5" x14ac:dyDescent="0.35">
      <c r="B18" s="46"/>
      <c r="C18" s="428">
        <v>12</v>
      </c>
      <c r="D18" s="883" t="s">
        <v>626</v>
      </c>
      <c r="E18" s="884"/>
      <c r="F18" s="884"/>
      <c r="G18" s="884"/>
      <c r="H18" s="884"/>
      <c r="I18" s="885"/>
      <c r="J18" s="46"/>
    </row>
    <row r="19" spans="1:31" x14ac:dyDescent="0.35">
      <c r="B19" s="46"/>
      <c r="C19" s="197"/>
      <c r="D19" s="423"/>
      <c r="E19" s="46"/>
      <c r="F19" s="46"/>
      <c r="G19" s="46"/>
      <c r="H19" s="46"/>
      <c r="I19" s="46"/>
      <c r="J19" s="46"/>
    </row>
    <row r="20" spans="1:31" x14ac:dyDescent="0.35">
      <c r="B20" s="46"/>
      <c r="C20" s="197"/>
      <c r="D20" s="423"/>
      <c r="E20" s="46"/>
      <c r="F20" s="46"/>
      <c r="G20" s="46"/>
      <c r="H20" s="46"/>
      <c r="I20" s="46"/>
      <c r="J20" s="46"/>
    </row>
    <row r="21" spans="1:31" x14ac:dyDescent="0.35">
      <c r="B21" s="21"/>
      <c r="C21" s="429"/>
      <c r="D21" s="425"/>
      <c r="E21" s="21"/>
      <c r="F21" s="21"/>
      <c r="G21" s="21"/>
      <c r="H21" s="21"/>
      <c r="I21" s="21"/>
      <c r="J21" s="21"/>
    </row>
    <row r="22" spans="1:31" x14ac:dyDescent="0.35">
      <c r="B22" s="21"/>
      <c r="C22" s="429"/>
      <c r="D22" s="425"/>
      <c r="E22" s="21"/>
      <c r="F22" s="21"/>
      <c r="G22" s="21"/>
      <c r="H22" s="21"/>
      <c r="I22" s="21"/>
      <c r="J22" s="21"/>
    </row>
    <row r="23" spans="1:31" s="22" customFormat="1" x14ac:dyDescent="0.35">
      <c r="A23" s="422"/>
      <c r="C23" s="430"/>
      <c r="D23" s="426"/>
      <c r="K23" s="422"/>
      <c r="L23" s="422"/>
      <c r="M23" s="422"/>
      <c r="N23" s="422"/>
      <c r="O23" s="422"/>
      <c r="P23" s="422"/>
      <c r="Q23" s="422"/>
      <c r="R23" s="422"/>
      <c r="S23" s="422"/>
      <c r="T23" s="422"/>
      <c r="U23" s="422"/>
      <c r="V23" s="422"/>
      <c r="W23" s="422"/>
      <c r="X23" s="422"/>
      <c r="Y23" s="422"/>
      <c r="Z23" s="422"/>
      <c r="AA23" s="422"/>
      <c r="AB23" s="422"/>
      <c r="AC23" s="422"/>
      <c r="AD23" s="422"/>
      <c r="AE23" s="422"/>
    </row>
    <row r="24" spans="1:31" s="22" customFormat="1" x14ac:dyDescent="0.35">
      <c r="A24" s="422"/>
      <c r="C24" s="430"/>
      <c r="D24" s="426"/>
      <c r="K24" s="422"/>
      <c r="L24" s="422"/>
      <c r="M24" s="422"/>
      <c r="N24" s="422"/>
      <c r="O24" s="422"/>
      <c r="P24" s="422"/>
      <c r="Q24" s="422"/>
      <c r="R24" s="422"/>
      <c r="S24" s="422"/>
      <c r="T24" s="422"/>
      <c r="U24" s="422"/>
      <c r="V24" s="422"/>
      <c r="W24" s="422"/>
      <c r="X24" s="422"/>
      <c r="Y24" s="422"/>
      <c r="Z24" s="422"/>
      <c r="AA24" s="422"/>
      <c r="AB24" s="422"/>
      <c r="AC24" s="422"/>
      <c r="AD24" s="422"/>
      <c r="AE24" s="422"/>
    </row>
    <row r="25" spans="1:31" s="22" customFormat="1" x14ac:dyDescent="0.35">
      <c r="A25" s="422"/>
      <c r="C25" s="430"/>
      <c r="D25" s="426"/>
      <c r="K25" s="422"/>
      <c r="L25" s="422"/>
      <c r="M25" s="422"/>
      <c r="N25" s="422"/>
      <c r="O25" s="422"/>
      <c r="P25" s="422"/>
      <c r="Q25" s="422"/>
      <c r="R25" s="422"/>
      <c r="S25" s="422"/>
      <c r="T25" s="422"/>
      <c r="U25" s="422"/>
      <c r="V25" s="422"/>
      <c r="W25" s="422"/>
      <c r="X25" s="422"/>
      <c r="Y25" s="422"/>
      <c r="Z25" s="422"/>
      <c r="AA25" s="422"/>
      <c r="AB25" s="422"/>
      <c r="AC25" s="422"/>
      <c r="AD25" s="422"/>
      <c r="AE25" s="422"/>
    </row>
    <row r="26" spans="1:31" s="22" customFormat="1" x14ac:dyDescent="0.35">
      <c r="A26" s="422"/>
      <c r="C26" s="430"/>
      <c r="D26" s="426"/>
      <c r="K26" s="422"/>
      <c r="L26" s="422"/>
      <c r="M26" s="422"/>
      <c r="N26" s="422"/>
      <c r="O26" s="422"/>
      <c r="P26" s="422"/>
      <c r="Q26" s="422"/>
      <c r="R26" s="422"/>
      <c r="S26" s="422"/>
      <c r="T26" s="422"/>
      <c r="U26" s="422"/>
      <c r="V26" s="422"/>
      <c r="W26" s="422"/>
      <c r="X26" s="422"/>
      <c r="Y26" s="422"/>
      <c r="Z26" s="422"/>
      <c r="AA26" s="422"/>
      <c r="AB26" s="422"/>
      <c r="AC26" s="422"/>
      <c r="AD26" s="422"/>
      <c r="AE26" s="422"/>
    </row>
    <row r="27" spans="1:31" s="22" customFormat="1" x14ac:dyDescent="0.35">
      <c r="A27" s="422"/>
      <c r="C27" s="430"/>
      <c r="D27" s="426"/>
      <c r="K27" s="422"/>
      <c r="L27" s="422"/>
      <c r="M27" s="422"/>
      <c r="N27" s="422"/>
      <c r="O27" s="422"/>
      <c r="P27" s="422"/>
      <c r="Q27" s="422"/>
      <c r="R27" s="422"/>
      <c r="S27" s="422"/>
      <c r="T27" s="422"/>
      <c r="U27" s="422"/>
      <c r="V27" s="422"/>
      <c r="W27" s="422"/>
      <c r="X27" s="422"/>
      <c r="Y27" s="422"/>
      <c r="Z27" s="422"/>
      <c r="AA27" s="422"/>
      <c r="AB27" s="422"/>
      <c r="AC27" s="422"/>
      <c r="AD27" s="422"/>
      <c r="AE27" s="422"/>
    </row>
    <row r="28" spans="1:31" s="22" customFormat="1" x14ac:dyDescent="0.35">
      <c r="A28" s="422"/>
      <c r="C28" s="430"/>
      <c r="D28" s="426"/>
      <c r="K28" s="422"/>
      <c r="L28" s="422"/>
      <c r="M28" s="422"/>
      <c r="N28" s="422"/>
      <c r="O28" s="422"/>
      <c r="P28" s="422"/>
      <c r="Q28" s="422"/>
      <c r="R28" s="422"/>
      <c r="S28" s="422"/>
      <c r="T28" s="422"/>
      <c r="U28" s="422"/>
      <c r="V28" s="422"/>
      <c r="W28" s="422"/>
      <c r="X28" s="422"/>
      <c r="Y28" s="422"/>
      <c r="Z28" s="422"/>
      <c r="AA28" s="422"/>
      <c r="AB28" s="422"/>
      <c r="AC28" s="422"/>
      <c r="AD28" s="422"/>
      <c r="AE28" s="422"/>
    </row>
    <row r="29" spans="1:31" s="22" customFormat="1" x14ac:dyDescent="0.35">
      <c r="A29" s="422"/>
      <c r="C29" s="430"/>
      <c r="D29" s="426"/>
      <c r="K29" s="422"/>
      <c r="L29" s="422"/>
      <c r="M29" s="422"/>
      <c r="N29" s="422"/>
      <c r="O29" s="422"/>
      <c r="P29" s="422"/>
      <c r="Q29" s="422"/>
      <c r="R29" s="422"/>
      <c r="S29" s="422"/>
      <c r="T29" s="422"/>
      <c r="U29" s="422"/>
      <c r="V29" s="422"/>
      <c r="W29" s="422"/>
      <c r="X29" s="422"/>
      <c r="Y29" s="422"/>
      <c r="Z29" s="422"/>
      <c r="AA29" s="422"/>
      <c r="AB29" s="422"/>
      <c r="AC29" s="422"/>
      <c r="AD29" s="422"/>
      <c r="AE29" s="422"/>
    </row>
    <row r="30" spans="1:31" s="22" customFormat="1" x14ac:dyDescent="0.35">
      <c r="C30" s="430"/>
      <c r="D30" s="426"/>
      <c r="N30" s="422"/>
      <c r="O30" s="422"/>
      <c r="P30" s="422"/>
      <c r="Q30" s="422"/>
      <c r="R30" s="422"/>
      <c r="S30" s="422"/>
      <c r="T30" s="422"/>
      <c r="U30" s="422"/>
      <c r="V30" s="422"/>
      <c r="W30" s="422"/>
      <c r="X30" s="422"/>
      <c r="Y30" s="422"/>
      <c r="Z30" s="422"/>
      <c r="AA30" s="422"/>
      <c r="AB30" s="422"/>
      <c r="AC30" s="422"/>
      <c r="AD30" s="422"/>
      <c r="AE30" s="422"/>
    </row>
    <row r="31" spans="1:31" s="22" customFormat="1" x14ac:dyDescent="0.35">
      <c r="C31" s="430"/>
      <c r="D31" s="426"/>
      <c r="N31" s="422"/>
      <c r="O31" s="422"/>
      <c r="P31" s="422"/>
      <c r="Q31" s="422"/>
      <c r="R31" s="422"/>
      <c r="S31" s="422"/>
      <c r="T31" s="422"/>
      <c r="U31" s="422"/>
      <c r="V31" s="422"/>
      <c r="W31" s="422"/>
      <c r="X31" s="422"/>
      <c r="Y31" s="422"/>
      <c r="Z31" s="422"/>
      <c r="AA31" s="422"/>
      <c r="AB31" s="422"/>
      <c r="AC31" s="422"/>
      <c r="AD31" s="422"/>
      <c r="AE31" s="422"/>
    </row>
    <row r="32" spans="1:31" x14ac:dyDescent="0.35">
      <c r="A32" s="22"/>
      <c r="B32" s="22"/>
      <c r="C32" s="430"/>
      <c r="D32" s="426"/>
      <c r="E32" s="22"/>
      <c r="F32" s="22"/>
      <c r="G32" s="22"/>
      <c r="H32" s="22"/>
      <c r="I32" s="22"/>
      <c r="J32" s="22"/>
      <c r="K32" s="22"/>
      <c r="L32" s="22"/>
      <c r="M32" s="22"/>
    </row>
    <row r="33" spans="1:13" customFormat="1" x14ac:dyDescent="0.35">
      <c r="A33" s="22"/>
      <c r="B33" s="22"/>
      <c r="C33" s="430"/>
      <c r="D33" s="426"/>
      <c r="E33" s="22"/>
      <c r="F33" s="22"/>
      <c r="G33" s="22"/>
      <c r="H33" s="22"/>
      <c r="I33" s="22"/>
      <c r="J33" s="22"/>
      <c r="K33" s="22"/>
      <c r="L33" s="22"/>
      <c r="M33" s="22"/>
    </row>
    <row r="34" spans="1:13" customFormat="1" x14ac:dyDescent="0.35">
      <c r="A34" s="22"/>
      <c r="B34" s="22"/>
      <c r="C34" s="430"/>
      <c r="D34" s="426"/>
      <c r="E34" s="22"/>
      <c r="F34" s="22"/>
      <c r="G34" s="22"/>
      <c r="H34" s="22"/>
      <c r="I34" s="22"/>
      <c r="J34" s="22"/>
      <c r="K34" s="22"/>
      <c r="L34" s="22"/>
      <c r="M34" s="22"/>
    </row>
    <row r="35" spans="1:13" customFormat="1" x14ac:dyDescent="0.35">
      <c r="A35" s="22"/>
      <c r="B35" s="22"/>
      <c r="C35" s="430"/>
      <c r="D35" s="426"/>
      <c r="E35" s="22"/>
      <c r="F35" s="22"/>
      <c r="G35" s="22"/>
      <c r="H35" s="22"/>
      <c r="I35" s="22"/>
      <c r="J35" s="22"/>
      <c r="K35" s="22"/>
      <c r="L35" s="22"/>
      <c r="M35" s="22"/>
    </row>
    <row r="36" spans="1:13" customFormat="1" x14ac:dyDescent="0.35">
      <c r="A36" s="22"/>
      <c r="B36" s="22"/>
      <c r="C36" s="430"/>
      <c r="D36" s="426"/>
      <c r="E36" s="22"/>
      <c r="F36" s="22"/>
      <c r="G36" s="22"/>
      <c r="H36" s="22"/>
      <c r="I36" s="22"/>
      <c r="J36" s="22"/>
      <c r="K36" s="22"/>
      <c r="L36" s="22"/>
      <c r="M36" s="22"/>
    </row>
    <row r="37" spans="1:13" customFormat="1" x14ac:dyDescent="0.35">
      <c r="A37" s="22"/>
      <c r="B37" s="22"/>
      <c r="C37" s="430"/>
      <c r="D37" s="426"/>
      <c r="E37" s="22"/>
      <c r="F37" s="22"/>
      <c r="G37" s="22"/>
      <c r="H37" s="22"/>
      <c r="I37" s="22"/>
      <c r="J37" s="22"/>
      <c r="K37" s="22"/>
      <c r="L37" s="22"/>
      <c r="M37" s="22"/>
    </row>
    <row r="38" spans="1:13" customFormat="1" x14ac:dyDescent="0.35">
      <c r="A38" s="22"/>
      <c r="B38" s="22"/>
      <c r="C38" s="430"/>
      <c r="D38" s="426"/>
      <c r="E38" s="22"/>
      <c r="F38" s="22"/>
      <c r="G38" s="22"/>
      <c r="H38" s="22"/>
      <c r="I38" s="22"/>
      <c r="J38" s="22"/>
      <c r="K38" s="22"/>
      <c r="L38" s="22"/>
      <c r="M38" s="22"/>
    </row>
    <row r="39" spans="1:13" customFormat="1" x14ac:dyDescent="0.35">
      <c r="A39" s="22"/>
      <c r="B39" s="22"/>
      <c r="C39" s="430"/>
      <c r="D39" s="426"/>
      <c r="E39" s="22"/>
      <c r="F39" s="22"/>
      <c r="G39" s="22"/>
      <c r="H39" s="22"/>
      <c r="I39" s="22"/>
      <c r="J39" s="22"/>
      <c r="K39" s="22"/>
      <c r="L39" s="22"/>
      <c r="M39" s="22"/>
    </row>
    <row r="40" spans="1:13" customFormat="1" x14ac:dyDescent="0.35">
      <c r="A40" s="22"/>
      <c r="B40" s="22"/>
      <c r="C40" s="430"/>
      <c r="D40" s="426"/>
      <c r="E40" s="22"/>
      <c r="F40" s="22"/>
      <c r="G40" s="22"/>
      <c r="H40" s="22"/>
      <c r="I40" s="22"/>
      <c r="J40" s="22"/>
      <c r="K40" s="22"/>
      <c r="L40" s="22"/>
      <c r="M40" s="22"/>
    </row>
    <row r="41" spans="1:13" customFormat="1" x14ac:dyDescent="0.35">
      <c r="A41" s="22"/>
      <c r="B41" s="22"/>
      <c r="C41" s="430"/>
      <c r="D41" s="426"/>
      <c r="E41" s="22"/>
      <c r="F41" s="22"/>
      <c r="G41" s="22"/>
      <c r="H41" s="22"/>
      <c r="I41" s="22"/>
      <c r="J41" s="22"/>
      <c r="K41" s="22"/>
      <c r="L41" s="22"/>
      <c r="M41" s="22"/>
    </row>
    <row r="42" spans="1:13" customFormat="1" x14ac:dyDescent="0.35">
      <c r="A42" s="22"/>
      <c r="B42" s="22"/>
      <c r="C42" s="430"/>
      <c r="D42" s="426"/>
      <c r="E42" s="22"/>
      <c r="F42" s="22"/>
      <c r="G42" s="22"/>
      <c r="H42" s="22"/>
      <c r="I42" s="22"/>
      <c r="J42" s="22"/>
      <c r="K42" s="22"/>
      <c r="L42" s="22"/>
      <c r="M42" s="22"/>
    </row>
    <row r="43" spans="1:13" customFormat="1" x14ac:dyDescent="0.35">
      <c r="A43" s="22"/>
      <c r="B43" s="22"/>
      <c r="C43" s="430"/>
      <c r="D43" s="426"/>
      <c r="E43" s="22"/>
      <c r="F43" s="22"/>
      <c r="G43" s="22"/>
      <c r="H43" s="22"/>
      <c r="I43" s="22"/>
      <c r="J43" s="22"/>
      <c r="K43" s="22"/>
      <c r="L43" s="22"/>
      <c r="M43" s="22"/>
    </row>
    <row r="44" spans="1:13" customFormat="1" x14ac:dyDescent="0.35">
      <c r="A44" s="22"/>
      <c r="B44" s="22"/>
      <c r="C44" s="430"/>
      <c r="D44" s="426"/>
      <c r="E44" s="22"/>
      <c r="F44" s="22"/>
      <c r="G44" s="22"/>
      <c r="H44" s="22"/>
      <c r="I44" s="22"/>
      <c r="J44" s="22"/>
      <c r="K44" s="22"/>
      <c r="L44" s="22"/>
      <c r="M44" s="22"/>
    </row>
    <row r="45" spans="1:13" customFormat="1" x14ac:dyDescent="0.35">
      <c r="A45" s="22"/>
      <c r="B45" s="22"/>
      <c r="C45" s="430"/>
      <c r="D45" s="426"/>
      <c r="E45" s="22"/>
      <c r="F45" s="22"/>
      <c r="G45" s="22"/>
      <c r="H45" s="22"/>
      <c r="I45" s="22"/>
      <c r="J45" s="22"/>
      <c r="K45" s="22"/>
      <c r="L45" s="22"/>
      <c r="M45" s="22"/>
    </row>
    <row r="46" spans="1:13" customFormat="1" x14ac:dyDescent="0.35">
      <c r="A46" s="22"/>
      <c r="B46" s="22"/>
      <c r="C46" s="430"/>
      <c r="D46" s="426"/>
      <c r="E46" s="22"/>
      <c r="F46" s="22"/>
      <c r="G46" s="22"/>
      <c r="H46" s="22"/>
      <c r="I46" s="22"/>
      <c r="J46" s="22"/>
      <c r="K46" s="22"/>
      <c r="L46" s="22"/>
      <c r="M46" s="22"/>
    </row>
    <row r="47" spans="1:13" customFormat="1" x14ac:dyDescent="0.35">
      <c r="A47" s="22"/>
      <c r="B47" s="22"/>
      <c r="C47" s="430"/>
      <c r="D47" s="426"/>
      <c r="E47" s="22"/>
      <c r="F47" s="22"/>
      <c r="G47" s="22"/>
      <c r="H47" s="22"/>
      <c r="I47" s="22"/>
      <c r="J47" s="22"/>
      <c r="K47" s="22"/>
      <c r="L47" s="22"/>
      <c r="M47" s="22"/>
    </row>
    <row r="48" spans="1:13" customFormat="1" x14ac:dyDescent="0.35">
      <c r="A48" s="22"/>
      <c r="B48" s="22"/>
      <c r="C48" s="430"/>
      <c r="D48" s="426"/>
      <c r="E48" s="22"/>
      <c r="F48" s="22"/>
      <c r="G48" s="22"/>
      <c r="H48" s="22"/>
      <c r="I48" s="22"/>
      <c r="J48" s="22"/>
      <c r="K48" s="22"/>
      <c r="L48" s="22"/>
      <c r="M48" s="22"/>
    </row>
    <row r="49" spans="1:13" customFormat="1" x14ac:dyDescent="0.35">
      <c r="A49" s="22"/>
      <c r="B49" s="22"/>
      <c r="C49" s="430"/>
      <c r="D49" s="426"/>
      <c r="E49" s="22"/>
      <c r="F49" s="22"/>
      <c r="G49" s="22"/>
      <c r="H49" s="22"/>
      <c r="I49" s="22"/>
      <c r="J49" s="22"/>
      <c r="K49" s="22"/>
      <c r="L49" s="22"/>
      <c r="M49" s="22"/>
    </row>
    <row r="50" spans="1:13" customFormat="1" x14ac:dyDescent="0.35">
      <c r="A50" s="22"/>
      <c r="B50" s="22"/>
      <c r="C50" s="430"/>
      <c r="D50" s="426"/>
      <c r="E50" s="22"/>
      <c r="F50" s="22"/>
      <c r="G50" s="22"/>
      <c r="H50" s="22"/>
      <c r="I50" s="22"/>
      <c r="J50" s="22"/>
      <c r="K50" s="22"/>
      <c r="L50" s="22"/>
      <c r="M50" s="22"/>
    </row>
    <row r="51" spans="1:13" customFormat="1" x14ac:dyDescent="0.35">
      <c r="A51" s="22"/>
      <c r="B51" s="22"/>
      <c r="C51" s="430"/>
      <c r="D51" s="426"/>
      <c r="E51" s="22"/>
      <c r="F51" s="22"/>
      <c r="G51" s="22"/>
      <c r="H51" s="22"/>
      <c r="I51" s="22"/>
      <c r="J51" s="22"/>
      <c r="K51" s="22"/>
      <c r="L51" s="22"/>
      <c r="M51" s="22"/>
    </row>
    <row r="52" spans="1:13" customFormat="1" x14ac:dyDescent="0.35">
      <c r="A52" s="22"/>
      <c r="B52" s="22"/>
      <c r="C52" s="430"/>
      <c r="D52" s="426"/>
      <c r="E52" s="22"/>
      <c r="F52" s="22"/>
      <c r="G52" s="22"/>
      <c r="H52" s="22"/>
      <c r="I52" s="22"/>
      <c r="J52" s="22"/>
      <c r="K52" s="22"/>
      <c r="L52" s="22"/>
      <c r="M52" s="22"/>
    </row>
    <row r="53" spans="1:13" customFormat="1" x14ac:dyDescent="0.35">
      <c r="A53" s="22"/>
      <c r="B53" s="22"/>
      <c r="C53" s="430"/>
      <c r="D53" s="426"/>
      <c r="E53" s="22"/>
      <c r="F53" s="22"/>
      <c r="G53" s="22"/>
      <c r="H53" s="22"/>
      <c r="I53" s="22"/>
      <c r="J53" s="22"/>
      <c r="K53" s="22"/>
      <c r="L53" s="22"/>
      <c r="M53" s="22"/>
    </row>
    <row r="54" spans="1:13" customFormat="1" x14ac:dyDescent="0.35">
      <c r="A54" s="22"/>
      <c r="B54" s="22"/>
      <c r="C54" s="430"/>
      <c r="D54" s="426"/>
      <c r="E54" s="22"/>
      <c r="F54" s="22"/>
      <c r="G54" s="22"/>
      <c r="H54" s="22"/>
      <c r="I54" s="22"/>
      <c r="J54" s="22"/>
      <c r="K54" s="22"/>
      <c r="L54" s="22"/>
      <c r="M54" s="22"/>
    </row>
    <row r="55" spans="1:13" customFormat="1" x14ac:dyDescent="0.35">
      <c r="A55" s="22"/>
      <c r="B55" s="22"/>
      <c r="C55" s="430"/>
      <c r="D55" s="426"/>
      <c r="E55" s="22"/>
      <c r="F55" s="22"/>
      <c r="G55" s="22"/>
      <c r="H55" s="22"/>
      <c r="I55" s="22"/>
      <c r="J55" s="22"/>
      <c r="K55" s="22"/>
      <c r="L55" s="22"/>
      <c r="M55" s="22"/>
    </row>
    <row r="56" spans="1:13" customFormat="1" x14ac:dyDescent="0.35">
      <c r="A56" s="22"/>
      <c r="B56" s="22"/>
      <c r="C56" s="430"/>
      <c r="D56" s="426"/>
      <c r="E56" s="22"/>
      <c r="F56" s="22"/>
      <c r="G56" s="22"/>
      <c r="H56" s="22"/>
      <c r="I56" s="22"/>
      <c r="J56" s="22"/>
      <c r="K56" s="22"/>
      <c r="L56" s="22"/>
      <c r="M56" s="22"/>
    </row>
    <row r="57" spans="1:13" customFormat="1" x14ac:dyDescent="0.35">
      <c r="A57" s="22"/>
      <c r="B57" s="22"/>
      <c r="C57" s="430"/>
      <c r="D57" s="426"/>
      <c r="E57" s="22"/>
      <c r="F57" s="22"/>
      <c r="G57" s="22"/>
      <c r="H57" s="22"/>
      <c r="I57" s="22"/>
      <c r="J57" s="22"/>
      <c r="K57" s="22"/>
      <c r="L57" s="22"/>
      <c r="M57" s="22"/>
    </row>
    <row r="58" spans="1:13" customFormat="1" x14ac:dyDescent="0.35">
      <c r="A58" s="22"/>
      <c r="B58" s="22"/>
      <c r="C58" s="430"/>
      <c r="D58" s="426"/>
      <c r="E58" s="22"/>
      <c r="F58" s="22"/>
      <c r="G58" s="22"/>
      <c r="H58" s="22"/>
      <c r="I58" s="22"/>
      <c r="J58" s="22"/>
      <c r="K58" s="22"/>
      <c r="L58" s="22"/>
      <c r="M58" s="22"/>
    </row>
    <row r="59" spans="1:13" customFormat="1" x14ac:dyDescent="0.35">
      <c r="A59" s="22"/>
      <c r="B59" s="22"/>
      <c r="C59" s="430"/>
      <c r="D59" s="426"/>
      <c r="E59" s="22"/>
      <c r="F59" s="22"/>
      <c r="G59" s="22"/>
      <c r="H59" s="22"/>
      <c r="I59" s="22"/>
      <c r="J59" s="22"/>
      <c r="K59" s="22"/>
      <c r="L59" s="22"/>
      <c r="M59" s="22"/>
    </row>
    <row r="60" spans="1:13" customFormat="1" x14ac:dyDescent="0.35">
      <c r="A60" s="22"/>
      <c r="B60" s="22"/>
      <c r="C60" s="430"/>
      <c r="D60" s="426"/>
      <c r="E60" s="22"/>
      <c r="F60" s="22"/>
      <c r="G60" s="22"/>
      <c r="H60" s="22"/>
      <c r="I60" s="22"/>
      <c r="J60" s="22"/>
      <c r="K60" s="22"/>
      <c r="L60" s="22"/>
      <c r="M60" s="22"/>
    </row>
    <row r="61" spans="1:13" customFormat="1" x14ac:dyDescent="0.35">
      <c r="A61" s="22"/>
      <c r="B61" s="22"/>
      <c r="C61" s="430"/>
      <c r="D61" s="426"/>
      <c r="E61" s="22"/>
      <c r="F61" s="22"/>
      <c r="G61" s="22"/>
      <c r="H61" s="22"/>
      <c r="I61" s="22"/>
      <c r="J61" s="22"/>
      <c r="K61" s="22"/>
      <c r="L61" s="22"/>
      <c r="M61" s="22"/>
    </row>
    <row r="62" spans="1:13" customFormat="1" x14ac:dyDescent="0.35">
      <c r="A62" s="22"/>
      <c r="B62" s="22"/>
      <c r="C62" s="430"/>
      <c r="D62" s="426"/>
      <c r="E62" s="22"/>
      <c r="F62" s="22"/>
      <c r="G62" s="22"/>
      <c r="H62" s="22"/>
      <c r="I62" s="22"/>
      <c r="J62" s="22"/>
      <c r="K62" s="22"/>
      <c r="L62" s="22"/>
      <c r="M62" s="22"/>
    </row>
    <row r="63" spans="1:13" customFormat="1" x14ac:dyDescent="0.35">
      <c r="A63" s="22"/>
      <c r="B63" s="22"/>
      <c r="C63" s="430"/>
      <c r="D63" s="426"/>
      <c r="E63" s="22"/>
      <c r="F63" s="22"/>
      <c r="G63" s="22"/>
      <c r="H63" s="22"/>
      <c r="I63" s="22"/>
      <c r="J63" s="22"/>
      <c r="K63" s="22"/>
      <c r="L63" s="22"/>
      <c r="M63" s="22"/>
    </row>
    <row r="64" spans="1:13" customFormat="1" x14ac:dyDescent="0.35">
      <c r="A64" s="22"/>
      <c r="B64" s="22"/>
      <c r="C64" s="430"/>
      <c r="D64" s="426"/>
      <c r="E64" s="22"/>
      <c r="F64" s="22"/>
      <c r="G64" s="22"/>
      <c r="H64" s="22"/>
      <c r="I64" s="22"/>
      <c r="J64" s="22"/>
      <c r="K64" s="22"/>
      <c r="L64" s="22"/>
      <c r="M64" s="22"/>
    </row>
    <row r="65" spans="1:13" customFormat="1" x14ac:dyDescent="0.35">
      <c r="A65" s="22"/>
      <c r="B65" s="22"/>
      <c r="C65" s="430"/>
      <c r="D65" s="426"/>
      <c r="E65" s="22"/>
      <c r="F65" s="22"/>
      <c r="G65" s="22"/>
      <c r="H65" s="22"/>
      <c r="I65" s="22"/>
      <c r="J65" s="22"/>
      <c r="K65" s="22"/>
      <c r="L65" s="22"/>
      <c r="M65" s="22"/>
    </row>
    <row r="66" spans="1:13" customFormat="1" x14ac:dyDescent="0.35">
      <c r="A66" s="22"/>
      <c r="B66" s="22"/>
      <c r="C66" s="430"/>
      <c r="D66" s="426"/>
      <c r="E66" s="22"/>
      <c r="F66" s="22"/>
      <c r="G66" s="22"/>
      <c r="H66" s="22"/>
      <c r="I66" s="22"/>
      <c r="J66" s="22"/>
      <c r="K66" s="22"/>
      <c r="L66" s="22"/>
      <c r="M66" s="22"/>
    </row>
    <row r="67" spans="1:13" customFormat="1" x14ac:dyDescent="0.35">
      <c r="A67" s="22"/>
      <c r="B67" s="22"/>
      <c r="C67" s="430"/>
      <c r="D67" s="426"/>
      <c r="E67" s="22"/>
      <c r="F67" s="22"/>
      <c r="G67" s="22"/>
      <c r="H67" s="22"/>
      <c r="I67" s="22"/>
      <c r="J67" s="22"/>
      <c r="K67" s="22"/>
      <c r="L67" s="22"/>
      <c r="M67" s="22"/>
    </row>
    <row r="68" spans="1:13" customFormat="1" x14ac:dyDescent="0.35">
      <c r="A68" s="22"/>
      <c r="B68" s="22"/>
      <c r="C68" s="430"/>
      <c r="D68" s="426"/>
      <c r="E68" s="22"/>
      <c r="F68" s="22"/>
      <c r="G68" s="22"/>
      <c r="H68" s="22"/>
      <c r="I68" s="22"/>
      <c r="J68" s="22"/>
      <c r="K68" s="22"/>
      <c r="L68" s="22"/>
      <c r="M68" s="22"/>
    </row>
    <row r="69" spans="1:13" customFormat="1" x14ac:dyDescent="0.35">
      <c r="A69" s="22"/>
      <c r="B69" s="22"/>
      <c r="C69" s="430"/>
      <c r="D69" s="426"/>
      <c r="E69" s="22"/>
      <c r="F69" s="22"/>
      <c r="G69" s="22"/>
      <c r="H69" s="22"/>
      <c r="I69" s="22"/>
      <c r="J69" s="22"/>
      <c r="K69" s="22"/>
      <c r="L69" s="22"/>
      <c r="M69" s="22"/>
    </row>
    <row r="70" spans="1:13" customFormat="1" x14ac:dyDescent="0.35">
      <c r="A70" s="22"/>
      <c r="B70" s="22"/>
      <c r="C70" s="430"/>
      <c r="D70" s="426"/>
      <c r="E70" s="22"/>
      <c r="F70" s="22"/>
      <c r="G70" s="22"/>
      <c r="H70" s="22"/>
      <c r="I70" s="22"/>
      <c r="J70" s="22"/>
      <c r="K70" s="22"/>
      <c r="L70" s="22"/>
      <c r="M70" s="22"/>
    </row>
    <row r="71" spans="1:13" customFormat="1" x14ac:dyDescent="0.35">
      <c r="A71" s="22"/>
      <c r="B71" s="22"/>
      <c r="C71" s="430"/>
      <c r="D71" s="426"/>
      <c r="E71" s="22"/>
      <c r="F71" s="22"/>
      <c r="G71" s="22"/>
      <c r="H71" s="22"/>
      <c r="I71" s="22"/>
      <c r="J71" s="22"/>
      <c r="K71" s="22"/>
      <c r="L71" s="22"/>
      <c r="M71" s="22"/>
    </row>
    <row r="72" spans="1:13" customFormat="1" x14ac:dyDescent="0.35">
      <c r="A72" s="22"/>
      <c r="B72" s="22"/>
      <c r="C72" s="430"/>
      <c r="D72" s="426"/>
      <c r="E72" s="22"/>
      <c r="F72" s="22"/>
      <c r="G72" s="22"/>
      <c r="H72" s="22"/>
      <c r="I72" s="22"/>
      <c r="J72" s="22"/>
      <c r="K72" s="22"/>
      <c r="L72" s="22"/>
      <c r="M72" s="22"/>
    </row>
    <row r="73" spans="1:13" customFormat="1" x14ac:dyDescent="0.35">
      <c r="A73" s="22"/>
      <c r="B73" s="22"/>
      <c r="C73" s="430"/>
      <c r="D73" s="426"/>
      <c r="E73" s="22"/>
      <c r="F73" s="22"/>
      <c r="G73" s="22"/>
      <c r="H73" s="22"/>
      <c r="I73" s="22"/>
      <c r="J73" s="22"/>
      <c r="K73" s="22"/>
      <c r="L73" s="22"/>
      <c r="M73" s="22"/>
    </row>
    <row r="74" spans="1:13" customFormat="1" x14ac:dyDescent="0.35">
      <c r="A74" s="22"/>
      <c r="B74" s="22"/>
      <c r="C74" s="430"/>
      <c r="D74" s="426"/>
      <c r="E74" s="22"/>
      <c r="F74" s="22"/>
      <c r="G74" s="22"/>
      <c r="H74" s="22"/>
      <c r="I74" s="22"/>
      <c r="J74" s="22"/>
      <c r="K74" s="22"/>
      <c r="L74" s="22"/>
      <c r="M74" s="22"/>
    </row>
    <row r="75" spans="1:13" customFormat="1" x14ac:dyDescent="0.35">
      <c r="A75" s="22"/>
      <c r="B75" s="22"/>
      <c r="C75" s="430"/>
      <c r="D75" s="426"/>
      <c r="E75" s="22"/>
      <c r="F75" s="22"/>
      <c r="G75" s="22"/>
      <c r="H75" s="22"/>
      <c r="I75" s="22"/>
      <c r="J75" s="22"/>
      <c r="K75" s="22"/>
      <c r="L75" s="22"/>
      <c r="M75" s="22"/>
    </row>
    <row r="76" spans="1:13" customFormat="1" x14ac:dyDescent="0.35">
      <c r="A76" s="22"/>
      <c r="B76" s="22"/>
      <c r="C76" s="430"/>
      <c r="D76" s="426"/>
      <c r="E76" s="22"/>
      <c r="F76" s="22"/>
      <c r="G76" s="22"/>
      <c r="H76" s="22"/>
      <c r="I76" s="22"/>
      <c r="J76" s="22"/>
      <c r="K76" s="22"/>
      <c r="L76" s="22"/>
      <c r="M76" s="22"/>
    </row>
    <row r="77" spans="1:13" customFormat="1" x14ac:dyDescent="0.35">
      <c r="A77" s="22"/>
      <c r="B77" s="22"/>
      <c r="C77" s="430"/>
      <c r="D77" s="426"/>
      <c r="E77" s="22"/>
      <c r="F77" s="22"/>
      <c r="G77" s="22"/>
      <c r="H77" s="22"/>
      <c r="I77" s="22"/>
      <c r="J77" s="22"/>
      <c r="K77" s="22"/>
      <c r="L77" s="22"/>
      <c r="M77" s="22"/>
    </row>
    <row r="78" spans="1:13" customFormat="1" x14ac:dyDescent="0.35">
      <c r="A78" s="22"/>
      <c r="B78" s="22"/>
      <c r="C78" s="430"/>
      <c r="D78" s="426"/>
      <c r="E78" s="22"/>
      <c r="F78" s="22"/>
      <c r="G78" s="22"/>
      <c r="H78" s="22"/>
      <c r="I78" s="22"/>
      <c r="J78" s="22"/>
      <c r="K78" s="22"/>
      <c r="L78" s="22"/>
      <c r="M78" s="22"/>
    </row>
    <row r="79" spans="1:13" customFormat="1" x14ac:dyDescent="0.35">
      <c r="A79" s="22"/>
      <c r="B79" s="22"/>
      <c r="C79" s="430"/>
      <c r="D79" s="426"/>
      <c r="E79" s="22"/>
      <c r="F79" s="22"/>
      <c r="G79" s="22"/>
      <c r="H79" s="22"/>
      <c r="I79" s="22"/>
      <c r="J79" s="22"/>
      <c r="K79" s="22"/>
      <c r="L79" s="22"/>
      <c r="M79" s="22"/>
    </row>
    <row r="80" spans="1:13" customFormat="1" x14ac:dyDescent="0.35">
      <c r="A80" s="22"/>
      <c r="B80" s="22"/>
      <c r="C80" s="430"/>
      <c r="D80" s="426"/>
      <c r="E80" s="22"/>
      <c r="F80" s="22"/>
      <c r="G80" s="22"/>
      <c r="H80" s="22"/>
      <c r="I80" s="22"/>
      <c r="J80" s="22"/>
      <c r="K80" s="22"/>
      <c r="L80" s="22"/>
      <c r="M80" s="22"/>
    </row>
    <row r="81" spans="1:13" customFormat="1" x14ac:dyDescent="0.35">
      <c r="A81" s="22"/>
      <c r="B81" s="22"/>
      <c r="C81" s="430"/>
      <c r="D81" s="426"/>
      <c r="E81" s="22"/>
      <c r="F81" s="22"/>
      <c r="G81" s="22"/>
      <c r="H81" s="22"/>
      <c r="I81" s="22"/>
      <c r="J81" s="22"/>
      <c r="K81" s="22"/>
      <c r="L81" s="22"/>
      <c r="M81" s="22"/>
    </row>
    <row r="82" spans="1:13" customFormat="1" x14ac:dyDescent="0.35">
      <c r="A82" s="22"/>
      <c r="B82" s="22"/>
      <c r="C82" s="430"/>
      <c r="D82" s="426"/>
      <c r="E82" s="22"/>
      <c r="F82" s="22"/>
      <c r="G82" s="22"/>
      <c r="H82" s="22"/>
      <c r="I82" s="22"/>
      <c r="J82" s="22"/>
      <c r="K82" s="22"/>
      <c r="L82" s="22"/>
      <c r="M82" s="22"/>
    </row>
    <row r="83" spans="1:13" customFormat="1" x14ac:dyDescent="0.35">
      <c r="A83" s="22"/>
      <c r="B83" s="22"/>
      <c r="C83" s="430"/>
      <c r="D83" s="426"/>
      <c r="E83" s="22"/>
      <c r="F83" s="22"/>
      <c r="G83" s="22"/>
      <c r="H83" s="22"/>
      <c r="I83" s="22"/>
      <c r="J83" s="22"/>
      <c r="K83" s="22"/>
      <c r="L83" s="22"/>
      <c r="M83" s="22"/>
    </row>
    <row r="84" spans="1:13" customFormat="1" x14ac:dyDescent="0.35">
      <c r="A84" s="22"/>
      <c r="B84" s="22"/>
      <c r="C84" s="430"/>
      <c r="D84" s="426"/>
      <c r="E84" s="22"/>
      <c r="F84" s="22"/>
      <c r="G84" s="22"/>
      <c r="H84" s="22"/>
      <c r="I84" s="22"/>
      <c r="J84" s="22"/>
      <c r="K84" s="22"/>
      <c r="L84" s="22"/>
      <c r="M84" s="22"/>
    </row>
    <row r="85" spans="1:13" customFormat="1" x14ac:dyDescent="0.35">
      <c r="A85" s="22"/>
      <c r="B85" s="22"/>
      <c r="C85" s="430"/>
      <c r="D85" s="426"/>
      <c r="E85" s="22"/>
      <c r="F85" s="22"/>
      <c r="G85" s="22"/>
      <c r="H85" s="22"/>
      <c r="I85" s="22"/>
      <c r="J85" s="22"/>
      <c r="K85" s="22"/>
      <c r="L85" s="22"/>
      <c r="M85" s="22"/>
    </row>
    <row r="86" spans="1:13" customFormat="1" x14ac:dyDescent="0.35">
      <c r="A86" s="22"/>
      <c r="B86" s="22"/>
      <c r="C86" s="430"/>
      <c r="D86" s="426"/>
      <c r="E86" s="22"/>
      <c r="F86" s="22"/>
      <c r="G86" s="22"/>
      <c r="H86" s="22"/>
      <c r="I86" s="22"/>
      <c r="J86" s="22"/>
      <c r="K86" s="22"/>
      <c r="L86" s="22"/>
      <c r="M86" s="22"/>
    </row>
    <row r="87" spans="1:13" customFormat="1" x14ac:dyDescent="0.35">
      <c r="A87" s="22"/>
      <c r="B87" s="22"/>
      <c r="C87" s="430"/>
      <c r="D87" s="426"/>
      <c r="E87" s="22"/>
      <c r="F87" s="22"/>
      <c r="G87" s="22"/>
      <c r="H87" s="22"/>
      <c r="I87" s="22"/>
      <c r="J87" s="22"/>
      <c r="K87" s="22"/>
      <c r="L87" s="22"/>
      <c r="M87" s="22"/>
    </row>
    <row r="88" spans="1:13" customFormat="1" x14ac:dyDescent="0.35">
      <c r="A88" s="22"/>
      <c r="B88" s="22"/>
      <c r="C88" s="430"/>
      <c r="D88" s="426"/>
      <c r="E88" s="22"/>
      <c r="F88" s="22"/>
      <c r="G88" s="22"/>
      <c r="H88" s="22"/>
      <c r="I88" s="22"/>
      <c r="J88" s="22"/>
      <c r="K88" s="22"/>
      <c r="L88" s="22"/>
      <c r="M88" s="22"/>
    </row>
    <row r="89" spans="1:13" customFormat="1" x14ac:dyDescent="0.35">
      <c r="A89" s="22"/>
      <c r="B89" s="22"/>
      <c r="C89" s="430"/>
      <c r="D89" s="426"/>
      <c r="E89" s="22"/>
      <c r="F89" s="22"/>
      <c r="G89" s="22"/>
      <c r="H89" s="22"/>
      <c r="I89" s="22"/>
      <c r="J89" s="22"/>
      <c r="K89" s="22"/>
      <c r="L89" s="22"/>
      <c r="M89" s="22"/>
    </row>
    <row r="90" spans="1:13" customFormat="1" x14ac:dyDescent="0.35">
      <c r="A90" s="22"/>
      <c r="B90" s="22"/>
      <c r="C90" s="430"/>
      <c r="D90" s="426"/>
      <c r="E90" s="22"/>
      <c r="F90" s="22"/>
      <c r="G90" s="22"/>
      <c r="H90" s="22"/>
      <c r="I90" s="22"/>
      <c r="J90" s="22"/>
      <c r="K90" s="22"/>
      <c r="L90" s="22"/>
      <c r="M90" s="22"/>
    </row>
    <row r="91" spans="1:13" customFormat="1" x14ac:dyDescent="0.35">
      <c r="A91" s="22"/>
      <c r="B91" s="22"/>
      <c r="C91" s="430"/>
      <c r="D91" s="426"/>
      <c r="E91" s="22"/>
      <c r="F91" s="22"/>
      <c r="G91" s="22"/>
      <c r="H91" s="22"/>
      <c r="I91" s="22"/>
      <c r="J91" s="22"/>
      <c r="K91" s="22"/>
      <c r="L91" s="22"/>
      <c r="M91" s="22"/>
    </row>
    <row r="92" spans="1:13" customFormat="1" x14ac:dyDescent="0.35">
      <c r="A92" s="22"/>
      <c r="B92" s="22"/>
      <c r="C92" s="430"/>
      <c r="D92" s="426"/>
      <c r="E92" s="22"/>
      <c r="F92" s="22"/>
      <c r="G92" s="22"/>
      <c r="H92" s="22"/>
      <c r="I92" s="22"/>
      <c r="J92" s="22"/>
      <c r="K92" s="22"/>
      <c r="L92" s="22"/>
      <c r="M92" s="22"/>
    </row>
    <row r="93" spans="1:13" customFormat="1" x14ac:dyDescent="0.35">
      <c r="A93" s="22"/>
      <c r="B93" s="22"/>
      <c r="C93" s="430"/>
      <c r="D93" s="426"/>
      <c r="E93" s="22"/>
      <c r="F93" s="22"/>
      <c r="G93" s="22"/>
      <c r="H93" s="22"/>
      <c r="I93" s="22"/>
      <c r="J93" s="22"/>
      <c r="K93" s="22"/>
      <c r="L93" s="22"/>
      <c r="M93" s="22"/>
    </row>
    <row r="94" spans="1:13" customFormat="1" x14ac:dyDescent="0.35">
      <c r="A94" s="22"/>
      <c r="B94" s="22"/>
      <c r="C94" s="430"/>
      <c r="D94" s="426"/>
      <c r="E94" s="22"/>
      <c r="F94" s="22"/>
      <c r="G94" s="22"/>
      <c r="H94" s="22"/>
      <c r="I94" s="22"/>
      <c r="J94" s="22"/>
      <c r="K94" s="22"/>
      <c r="L94" s="22"/>
      <c r="M94" s="22"/>
    </row>
    <row r="95" spans="1:13" customFormat="1" x14ac:dyDescent="0.35">
      <c r="A95" s="22"/>
      <c r="B95" s="22"/>
      <c r="C95" s="430"/>
      <c r="D95" s="426"/>
      <c r="E95" s="22"/>
      <c r="F95" s="22"/>
      <c r="G95" s="22"/>
      <c r="H95" s="22"/>
      <c r="I95" s="22"/>
      <c r="J95" s="22"/>
      <c r="K95" s="22"/>
      <c r="L95" s="22"/>
      <c r="M95" s="22"/>
    </row>
    <row r="96" spans="1:13" customFormat="1" x14ac:dyDescent="0.35">
      <c r="A96" s="22"/>
      <c r="B96" s="22"/>
      <c r="C96" s="430"/>
      <c r="D96" s="426"/>
      <c r="E96" s="22"/>
      <c r="F96" s="22"/>
      <c r="G96" s="22"/>
      <c r="H96" s="22"/>
      <c r="I96" s="22"/>
      <c r="J96" s="22"/>
      <c r="K96" s="22"/>
      <c r="L96" s="22"/>
      <c r="M96" s="22"/>
    </row>
    <row r="97" spans="1:13" customFormat="1" x14ac:dyDescent="0.35">
      <c r="A97" s="22"/>
      <c r="B97" s="22"/>
      <c r="C97" s="430"/>
      <c r="D97" s="426"/>
      <c r="E97" s="22"/>
      <c r="F97" s="22"/>
      <c r="G97" s="22"/>
      <c r="H97" s="22"/>
      <c r="I97" s="22"/>
      <c r="J97" s="22"/>
      <c r="K97" s="22"/>
      <c r="L97" s="22"/>
      <c r="M97" s="22"/>
    </row>
    <row r="98" spans="1:13" customFormat="1" x14ac:dyDescent="0.35">
      <c r="A98" s="22"/>
      <c r="B98" s="22"/>
      <c r="C98" s="430"/>
      <c r="D98" s="426"/>
      <c r="E98" s="22"/>
      <c r="F98" s="22"/>
      <c r="G98" s="22"/>
      <c r="H98" s="22"/>
      <c r="I98" s="22"/>
      <c r="J98" s="22"/>
      <c r="K98" s="22"/>
      <c r="L98" s="22"/>
      <c r="M98" s="22"/>
    </row>
    <row r="99" spans="1:13" customFormat="1" x14ac:dyDescent="0.35">
      <c r="A99" s="22"/>
      <c r="B99" s="22"/>
      <c r="C99" s="430"/>
      <c r="D99" s="426"/>
      <c r="E99" s="22"/>
      <c r="F99" s="22"/>
      <c r="G99" s="22"/>
      <c r="H99" s="22"/>
      <c r="I99" s="22"/>
      <c r="J99" s="22"/>
      <c r="K99" s="22"/>
      <c r="L99" s="22"/>
      <c r="M99" s="22"/>
    </row>
    <row r="100" spans="1:13" customFormat="1" x14ac:dyDescent="0.35">
      <c r="A100" s="22"/>
      <c r="B100" s="22"/>
      <c r="C100" s="430"/>
      <c r="D100" s="426"/>
      <c r="E100" s="22"/>
      <c r="F100" s="22"/>
      <c r="G100" s="22"/>
      <c r="H100" s="22"/>
      <c r="I100" s="22"/>
      <c r="J100" s="22"/>
      <c r="K100" s="22"/>
      <c r="L100" s="22"/>
      <c r="M100" s="22"/>
    </row>
    <row r="101" spans="1:13" customFormat="1" x14ac:dyDescent="0.35">
      <c r="A101" s="22"/>
      <c r="B101" s="22"/>
      <c r="C101" s="430"/>
      <c r="D101" s="426"/>
      <c r="E101" s="22"/>
      <c r="F101" s="22"/>
      <c r="G101" s="22"/>
      <c r="H101" s="22"/>
      <c r="I101" s="22"/>
      <c r="J101" s="22"/>
      <c r="K101" s="22"/>
      <c r="L101" s="22"/>
      <c r="M101" s="22"/>
    </row>
    <row r="102" spans="1:13" customFormat="1" x14ac:dyDescent="0.35">
      <c r="A102" s="22"/>
      <c r="B102" s="22"/>
      <c r="C102" s="430"/>
      <c r="D102" s="426"/>
      <c r="E102" s="22"/>
      <c r="F102" s="22"/>
      <c r="G102" s="22"/>
      <c r="H102" s="22"/>
      <c r="I102" s="22"/>
      <c r="J102" s="22"/>
      <c r="K102" s="22"/>
      <c r="L102" s="22"/>
      <c r="M102" s="22"/>
    </row>
    <row r="103" spans="1:13" customFormat="1" x14ac:dyDescent="0.35">
      <c r="A103" s="22"/>
      <c r="B103" s="22"/>
      <c r="C103" s="430"/>
      <c r="D103" s="426"/>
      <c r="E103" s="22"/>
      <c r="F103" s="22"/>
      <c r="G103" s="22"/>
      <c r="H103" s="22"/>
      <c r="I103" s="22"/>
      <c r="J103" s="22"/>
      <c r="K103" s="22"/>
      <c r="L103" s="22"/>
      <c r="M103" s="22"/>
    </row>
    <row r="104" spans="1:13" customFormat="1" x14ac:dyDescent="0.35">
      <c r="A104" s="22"/>
      <c r="B104" s="22"/>
      <c r="C104" s="430"/>
      <c r="D104" s="426"/>
      <c r="E104" s="22"/>
      <c r="F104" s="22"/>
      <c r="G104" s="22"/>
      <c r="H104" s="22"/>
      <c r="I104" s="22"/>
      <c r="J104" s="22"/>
      <c r="K104" s="22"/>
      <c r="L104" s="22"/>
      <c r="M104" s="22"/>
    </row>
    <row r="105" spans="1:13" customFormat="1" x14ac:dyDescent="0.35">
      <c r="A105" s="22"/>
      <c r="B105" s="22"/>
      <c r="C105" s="430"/>
      <c r="D105" s="426"/>
      <c r="E105" s="22"/>
      <c r="F105" s="22"/>
      <c r="G105" s="22"/>
      <c r="H105" s="22"/>
      <c r="I105" s="22"/>
      <c r="J105" s="22"/>
      <c r="K105" s="22"/>
      <c r="L105" s="22"/>
      <c r="M105" s="22"/>
    </row>
  </sheetData>
  <sheetProtection password="C527" sheet="1" objects="1" scenarios="1"/>
  <mergeCells count="15">
    <mergeCell ref="D13:I13"/>
    <mergeCell ref="D14:I14"/>
    <mergeCell ref="D16:I16"/>
    <mergeCell ref="D17:I17"/>
    <mergeCell ref="D18:I18"/>
    <mergeCell ref="D15:I15"/>
    <mergeCell ref="D12:I12"/>
    <mergeCell ref="B2:J2"/>
    <mergeCell ref="D6:I6"/>
    <mergeCell ref="D8:I8"/>
    <mergeCell ref="D7:I7"/>
    <mergeCell ref="C4:I4"/>
    <mergeCell ref="D9:I9"/>
    <mergeCell ref="D10:I10"/>
    <mergeCell ref="D11:I11"/>
  </mergeCells>
  <hyperlinks>
    <hyperlink ref="D7:I7" location="'1. Index'!A1" display="Index" xr:uid="{00000000-0004-0000-0200-000000000000}"/>
    <hyperlink ref="D8:I8" location="'2. Top Page'!A1" display="Top Page" xr:uid="{00000000-0004-0000-0200-000001000000}"/>
    <hyperlink ref="D9:I9" location="'3. Input-BS '!A1" display="Input Balance Sheet" xr:uid="{00000000-0004-0000-0200-000002000000}"/>
    <hyperlink ref="D10:I10" location="'4. Input P&amp;L'!A1" display="Input Profit &amp; Loss Statement" xr:uid="{00000000-0004-0000-0200-000003000000}"/>
    <hyperlink ref="D11:I11" location="'5. Input-CF'!A1" display="Input Cashflow Statement" xr:uid="{00000000-0004-0000-0200-000004000000}"/>
    <hyperlink ref="D12:I12" location="'6. Output-BS'!A1" display="Output Balance Sheet" xr:uid="{00000000-0004-0000-0200-000005000000}"/>
    <hyperlink ref="D13:I13" location="'4. Input P&amp;L'!A1" display="Output Profit and Loss Statement" xr:uid="{00000000-0004-0000-0200-000006000000}"/>
    <hyperlink ref="D14:I14" location="'8. Output CF'!A1" display="Output Cashflow Statement" xr:uid="{00000000-0004-0000-0200-000007000000}"/>
    <hyperlink ref="D15:I15" location="'9. Quantitative Analysis'!A1" display="Quantitative Analysis" xr:uid="{00000000-0004-0000-0200-000008000000}"/>
    <hyperlink ref="D16:I16" location="'10. Qualitative Analysis'!A1" display="Qualitative Analysis" xr:uid="{00000000-0004-0000-0200-000009000000}"/>
    <hyperlink ref="D17:I17" location="'11. Detail Managment Report'!A1" display="Detail Management Report" xr:uid="{00000000-0004-0000-0200-00000A000000}"/>
    <hyperlink ref="D18:I18" location="'12. Executive Summary'!A1" display="Executive Summary" xr:uid="{00000000-0004-0000-0200-00000B000000}"/>
  </hyperlinks>
  <pageMargins left="0.7" right="0.7" top="0.75" bottom="0.75" header="0.3" footer="0.3"/>
  <pageSetup paperSize="9" orientation="portrait" r:id="rId1"/>
  <headerFoot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8">
    <tabColor rgb="FFC00000"/>
  </sheetPr>
  <dimension ref="B1:D17"/>
  <sheetViews>
    <sheetView showGridLines="0" view="pageLayout" topLeftCell="A4" zoomScale="70" zoomScaleSheetLayoutView="100" zoomScalePageLayoutView="70" workbookViewId="0">
      <selection activeCell="C9" sqref="C9:D9"/>
    </sheetView>
  </sheetViews>
  <sheetFormatPr defaultColWidth="9.1796875" defaultRowHeight="15.5" x14ac:dyDescent="0.35"/>
  <cols>
    <col min="1" max="1" width="3.7265625" style="15" customWidth="1"/>
    <col min="2" max="2" width="5.26953125" style="14" customWidth="1"/>
    <col min="3" max="3" width="59.81640625" style="19" customWidth="1"/>
    <col min="4" max="4" width="40.7265625" style="15" customWidth="1"/>
    <col min="5" max="5" width="3.7265625" style="15" customWidth="1"/>
    <col min="6" max="16384" width="9.1796875" style="15"/>
  </cols>
  <sheetData>
    <row r="1" spans="2:4" ht="82.5" customHeight="1" x14ac:dyDescent="0.35">
      <c r="C1" s="15"/>
    </row>
    <row r="2" spans="2:4" ht="24.75" customHeight="1" x14ac:dyDescent="0.35">
      <c r="B2" s="895"/>
      <c r="C2" s="895"/>
      <c r="D2" s="895"/>
    </row>
    <row r="3" spans="2:4" s="17" customFormat="1" x14ac:dyDescent="0.35">
      <c r="B3" s="16" t="s">
        <v>189</v>
      </c>
      <c r="C3" s="894" t="s">
        <v>188</v>
      </c>
      <c r="D3" s="894"/>
    </row>
    <row r="4" spans="2:4" ht="54" customHeight="1" x14ac:dyDescent="0.35">
      <c r="B4" s="18">
        <v>1</v>
      </c>
      <c r="C4" s="892" t="s">
        <v>190</v>
      </c>
      <c r="D4" s="893"/>
    </row>
    <row r="5" spans="2:4" ht="31.5" customHeight="1" x14ac:dyDescent="0.35">
      <c r="B5" s="18">
        <v>2</v>
      </c>
      <c r="C5" s="892" t="s">
        <v>208</v>
      </c>
      <c r="D5" s="893"/>
    </row>
    <row r="6" spans="2:4" ht="31.5" customHeight="1" x14ac:dyDescent="0.35">
      <c r="B6" s="18">
        <v>3</v>
      </c>
      <c r="C6" s="892" t="s">
        <v>209</v>
      </c>
      <c r="D6" s="893"/>
    </row>
    <row r="7" spans="2:4" ht="52.5" customHeight="1" x14ac:dyDescent="0.35">
      <c r="B7" s="18">
        <v>4</v>
      </c>
      <c r="C7" s="892" t="s">
        <v>210</v>
      </c>
      <c r="D7" s="893"/>
    </row>
    <row r="8" spans="2:4" ht="50.25" customHeight="1" x14ac:dyDescent="0.35">
      <c r="B8" s="18">
        <v>5</v>
      </c>
      <c r="C8" s="892" t="s">
        <v>197</v>
      </c>
      <c r="D8" s="893"/>
    </row>
    <row r="9" spans="2:4" ht="32.25" customHeight="1" x14ac:dyDescent="0.35">
      <c r="B9" s="18">
        <v>6</v>
      </c>
      <c r="C9" s="892" t="s">
        <v>206</v>
      </c>
      <c r="D9" s="893"/>
    </row>
    <row r="10" spans="2:4" ht="21" customHeight="1" x14ac:dyDescent="0.35">
      <c r="B10" s="18">
        <v>7</v>
      </c>
      <c r="C10" s="892" t="s">
        <v>198</v>
      </c>
      <c r="D10" s="893"/>
    </row>
    <row r="11" spans="2:4" ht="31.5" customHeight="1" x14ac:dyDescent="0.35">
      <c r="B11" s="18">
        <v>8</v>
      </c>
      <c r="C11" s="892" t="s">
        <v>196</v>
      </c>
      <c r="D11" s="893"/>
    </row>
    <row r="12" spans="2:4" x14ac:dyDescent="0.35">
      <c r="B12" s="18">
        <v>9</v>
      </c>
      <c r="C12" s="892" t="s">
        <v>199</v>
      </c>
      <c r="D12" s="893"/>
    </row>
    <row r="13" spans="2:4" x14ac:dyDescent="0.35">
      <c r="B13" s="18">
        <v>10</v>
      </c>
      <c r="C13" s="892" t="s">
        <v>207</v>
      </c>
      <c r="D13" s="893"/>
    </row>
    <row r="17" spans="3:4" x14ac:dyDescent="0.35">
      <c r="C17" s="891"/>
      <c r="D17" s="891"/>
    </row>
  </sheetData>
  <sheetProtection password="CB24" sheet="1" objects="1" scenarios="1" selectLockedCells="1"/>
  <mergeCells count="13">
    <mergeCell ref="C17:D17"/>
    <mergeCell ref="C10:D10"/>
    <mergeCell ref="C3:D3"/>
    <mergeCell ref="C6:D6"/>
    <mergeCell ref="B2:D2"/>
    <mergeCell ref="C4:D4"/>
    <mergeCell ref="C5:D5"/>
    <mergeCell ref="C7:D7"/>
    <mergeCell ref="C8:D8"/>
    <mergeCell ref="C9:D9"/>
    <mergeCell ref="C11:D11"/>
    <mergeCell ref="C12:D12"/>
    <mergeCell ref="C13:D13"/>
  </mergeCells>
  <pageMargins left="1" right="0.7" top="0.75" bottom="0.75" header="0.3" footer="0.3"/>
  <pageSetup paperSize="9" scale="71" orientation="portrait" r:id="rId1"/>
  <headerFooter>
    <oddHeader>&amp;C&amp;"+,Bold"&amp;16Instructions</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002060"/>
  </sheetPr>
  <dimension ref="A1:K20"/>
  <sheetViews>
    <sheetView showGridLines="0" topLeftCell="D1" zoomScaleSheetLayoutView="90" workbookViewId="0">
      <selection activeCell="K19" sqref="K19"/>
    </sheetView>
  </sheetViews>
  <sheetFormatPr defaultColWidth="9.1796875" defaultRowHeight="14.5" x14ac:dyDescent="0.35"/>
  <cols>
    <col min="1" max="1" width="3.54296875" hidden="1" customWidth="1"/>
    <col min="2" max="2" width="2.81640625" hidden="1" customWidth="1"/>
    <col min="3" max="3" width="4.81640625" hidden="1" customWidth="1"/>
    <col min="4" max="4" width="2.453125" customWidth="1"/>
    <col min="5" max="5" width="38.453125" bestFit="1" customWidth="1"/>
    <col min="6" max="6" width="40.81640625" style="1" bestFit="1" customWidth="1"/>
    <col min="7" max="7" width="2.26953125" customWidth="1"/>
    <col min="8" max="8" width="3.453125" hidden="1" customWidth="1"/>
    <col min="9" max="9" width="26.54296875" bestFit="1" customWidth="1"/>
    <col min="10" max="10" width="2.54296875" customWidth="1"/>
    <col min="11" max="11" width="15.1796875" bestFit="1" customWidth="1"/>
  </cols>
  <sheetData>
    <row r="1" spans="5:11" x14ac:dyDescent="0.35">
      <c r="E1" s="5" t="s">
        <v>142</v>
      </c>
      <c r="F1" s="4">
        <v>101</v>
      </c>
      <c r="I1" s="3" t="s">
        <v>148</v>
      </c>
    </row>
    <row r="2" spans="5:11" x14ac:dyDescent="0.35">
      <c r="E2" s="5" t="s">
        <v>143</v>
      </c>
      <c r="F2" s="4">
        <v>102</v>
      </c>
      <c r="I2" s="3" t="s">
        <v>149</v>
      </c>
    </row>
    <row r="3" spans="5:11" x14ac:dyDescent="0.35">
      <c r="E3" s="5" t="s">
        <v>530</v>
      </c>
      <c r="F3" s="4">
        <v>103</v>
      </c>
      <c r="I3" s="3" t="s">
        <v>150</v>
      </c>
    </row>
    <row r="4" spans="5:11" x14ac:dyDescent="0.35">
      <c r="E4" s="5" t="s">
        <v>604</v>
      </c>
      <c r="F4" s="4">
        <v>104</v>
      </c>
    </row>
    <row r="5" spans="5:11" x14ac:dyDescent="0.35">
      <c r="E5" s="5" t="s">
        <v>523</v>
      </c>
      <c r="F5" s="4">
        <v>105</v>
      </c>
    </row>
    <row r="6" spans="5:11" x14ac:dyDescent="0.35">
      <c r="E6" s="5" t="s">
        <v>524</v>
      </c>
      <c r="F6" s="4">
        <v>106</v>
      </c>
      <c r="K6" t="s">
        <v>153</v>
      </c>
    </row>
    <row r="7" spans="5:11" x14ac:dyDescent="0.35">
      <c r="E7" s="5" t="s">
        <v>605</v>
      </c>
      <c r="F7" s="4">
        <v>107</v>
      </c>
      <c r="K7" t="s">
        <v>154</v>
      </c>
    </row>
    <row r="8" spans="5:11" x14ac:dyDescent="0.35">
      <c r="E8" s="5" t="s">
        <v>527</v>
      </c>
      <c r="F8" s="4">
        <v>108</v>
      </c>
      <c r="K8" t="s">
        <v>155</v>
      </c>
    </row>
    <row r="9" spans="5:11" x14ac:dyDescent="0.35">
      <c r="E9" s="5" t="s">
        <v>529</v>
      </c>
      <c r="F9" s="4">
        <v>109</v>
      </c>
      <c r="K9" t="s">
        <v>156</v>
      </c>
    </row>
    <row r="10" spans="5:11" x14ac:dyDescent="0.35">
      <c r="E10" s="5" t="s">
        <v>594</v>
      </c>
      <c r="F10" s="4">
        <v>110</v>
      </c>
      <c r="K10" t="s">
        <v>609</v>
      </c>
    </row>
    <row r="11" spans="5:11" x14ac:dyDescent="0.35">
      <c r="E11" s="5" t="s">
        <v>531</v>
      </c>
      <c r="F11" s="4">
        <v>111</v>
      </c>
      <c r="I11" s="3" t="s">
        <v>85</v>
      </c>
    </row>
    <row r="12" spans="5:11" x14ac:dyDescent="0.35">
      <c r="E12" s="5" t="s">
        <v>532</v>
      </c>
      <c r="F12" s="4">
        <v>112</v>
      </c>
      <c r="I12" s="3" t="s">
        <v>82</v>
      </c>
    </row>
    <row r="13" spans="5:11" x14ac:dyDescent="0.35">
      <c r="E13" s="5" t="s">
        <v>607</v>
      </c>
      <c r="F13" s="4">
        <v>113</v>
      </c>
      <c r="I13" s="3" t="s">
        <v>158</v>
      </c>
    </row>
    <row r="14" spans="5:11" x14ac:dyDescent="0.35">
      <c r="E14" s="5" t="s">
        <v>606</v>
      </c>
      <c r="F14" s="4">
        <v>114</v>
      </c>
    </row>
    <row r="15" spans="5:11" x14ac:dyDescent="0.35">
      <c r="E15" s="6" t="s">
        <v>138</v>
      </c>
      <c r="F15" s="4">
        <v>200</v>
      </c>
    </row>
    <row r="16" spans="5:11" x14ac:dyDescent="0.35">
      <c r="E16" s="6" t="s">
        <v>139</v>
      </c>
      <c r="F16" s="4">
        <v>300</v>
      </c>
    </row>
    <row r="17" spans="5:6" x14ac:dyDescent="0.35">
      <c r="E17" s="5" t="s">
        <v>141</v>
      </c>
      <c r="F17" s="4">
        <v>401</v>
      </c>
    </row>
    <row r="18" spans="5:6" x14ac:dyDescent="0.35">
      <c r="E18" s="5" t="s">
        <v>526</v>
      </c>
      <c r="F18" s="4">
        <v>402</v>
      </c>
    </row>
    <row r="19" spans="5:6" x14ac:dyDescent="0.35">
      <c r="E19" s="5" t="s">
        <v>592</v>
      </c>
      <c r="F19" s="4">
        <v>403</v>
      </c>
    </row>
    <row r="20" spans="5:6" x14ac:dyDescent="0.35">
      <c r="E20" s="5" t="s">
        <v>608</v>
      </c>
      <c r="F20" s="4">
        <v>404</v>
      </c>
    </row>
  </sheetData>
  <sheetProtection password="C527" sheet="1" objects="1" scenarios="1" selectLockedCells="1"/>
  <pageMargins left="0.7" right="0.7" top="0.75" bottom="0.75" header="0.3" footer="0.3"/>
  <pageSetup scale="70" orientation="portrait" horizontalDpi="4294967292"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rgb="FF7030A0"/>
    <pageSetUpPr fitToPage="1"/>
  </sheetPr>
  <dimension ref="A1:Z114"/>
  <sheetViews>
    <sheetView showGridLines="0" topLeftCell="B19" zoomScaleSheetLayoutView="110" zoomScalePageLayoutView="115" workbookViewId="0">
      <selection activeCell="C30" sqref="C30:D30"/>
    </sheetView>
  </sheetViews>
  <sheetFormatPr defaultColWidth="9.1796875" defaultRowHeight="14.5" x14ac:dyDescent="0.35"/>
  <cols>
    <col min="1" max="1" width="42.81640625" style="457" customWidth="1"/>
    <col min="2" max="2" width="34.7265625" customWidth="1"/>
    <col min="3" max="3" width="2.453125" customWidth="1"/>
    <col min="4" max="4" width="49" customWidth="1"/>
    <col min="5" max="5" width="9.1796875" style="457"/>
    <col min="6" max="6" width="9.1796875" style="457" customWidth="1"/>
    <col min="7" max="7" width="31.54296875" style="457" hidden="1" customWidth="1"/>
    <col min="8" max="8" width="28.26953125" style="457" hidden="1" customWidth="1"/>
    <col min="9" max="13" width="9.1796875" style="457"/>
    <col min="14" max="22" width="9.1796875" style="22"/>
    <col min="23" max="26" width="9.1796875" style="466"/>
  </cols>
  <sheetData>
    <row r="1" spans="1:26" x14ac:dyDescent="0.35">
      <c r="B1" s="896" t="s">
        <v>1001</v>
      </c>
      <c r="C1" s="897"/>
      <c r="D1" s="897"/>
    </row>
    <row r="2" spans="1:26" ht="11.25" hidden="1" customHeight="1" x14ac:dyDescent="0.35">
      <c r="B2" s="897"/>
      <c r="C2" s="897"/>
      <c r="D2" s="897"/>
    </row>
    <row r="3" spans="1:26" ht="15" thickBot="1" x14ac:dyDescent="0.4">
      <c r="B3" s="897"/>
      <c r="C3" s="897"/>
      <c r="D3" s="897"/>
    </row>
    <row r="4" spans="1:26" ht="24.75" hidden="1" customHeight="1" thickBot="1" x14ac:dyDescent="0.4">
      <c r="B4" s="905" t="s">
        <v>545</v>
      </c>
      <c r="C4" s="905"/>
      <c r="D4" s="905"/>
    </row>
    <row r="5" spans="1:26" s="213" customFormat="1" ht="15" hidden="1" customHeight="1" x14ac:dyDescent="0.25">
      <c r="A5" s="458"/>
      <c r="B5" s="213" t="s">
        <v>369</v>
      </c>
      <c r="C5" s="213" t="s">
        <v>370</v>
      </c>
      <c r="D5" s="213" t="s">
        <v>371</v>
      </c>
      <c r="E5" s="458"/>
      <c r="F5" s="458"/>
      <c r="G5" s="458"/>
      <c r="H5" s="458"/>
      <c r="I5" s="458"/>
      <c r="J5" s="458"/>
      <c r="K5" s="458"/>
      <c r="L5" s="458"/>
      <c r="M5" s="458"/>
      <c r="N5" s="455"/>
      <c r="O5" s="455"/>
      <c r="P5" s="455"/>
      <c r="Q5" s="455"/>
      <c r="R5" s="455"/>
      <c r="S5" s="455"/>
      <c r="T5" s="455"/>
      <c r="U5" s="455"/>
      <c r="V5" s="455"/>
      <c r="W5" s="467"/>
      <c r="X5" s="467"/>
      <c r="Y5" s="467"/>
      <c r="Z5" s="467"/>
    </row>
    <row r="6" spans="1:26" ht="17.149999999999999" customHeight="1" x14ac:dyDescent="0.35">
      <c r="B6" s="488" t="s">
        <v>179</v>
      </c>
      <c r="C6" s="214" t="s">
        <v>151</v>
      </c>
      <c r="D6" s="410" t="s">
        <v>1143</v>
      </c>
    </row>
    <row r="7" spans="1:26" ht="17.149999999999999" customHeight="1" x14ac:dyDescent="0.35">
      <c r="B7" s="489" t="s">
        <v>180</v>
      </c>
      <c r="C7" s="215" t="s">
        <v>151</v>
      </c>
      <c r="D7" s="407" t="s">
        <v>1144</v>
      </c>
    </row>
    <row r="8" spans="1:26" ht="17.149999999999999" customHeight="1" x14ac:dyDescent="0.35">
      <c r="B8" s="489" t="s">
        <v>416</v>
      </c>
      <c r="C8" s="215" t="s">
        <v>151</v>
      </c>
      <c r="D8" s="407" t="s">
        <v>1130</v>
      </c>
    </row>
    <row r="9" spans="1:26" ht="17.149999999999999" customHeight="1" x14ac:dyDescent="0.35">
      <c r="B9" s="489" t="s">
        <v>994</v>
      </c>
      <c r="C9" s="215" t="s">
        <v>151</v>
      </c>
      <c r="D9" s="407" t="s">
        <v>1130</v>
      </c>
      <c r="G9" s="459" t="s">
        <v>591</v>
      </c>
      <c r="H9" s="460" t="s">
        <v>152</v>
      </c>
    </row>
    <row r="10" spans="1:26" ht="17.149999999999999" customHeight="1" x14ac:dyDescent="0.35">
      <c r="B10" s="489" t="s">
        <v>417</v>
      </c>
      <c r="C10" s="215" t="s">
        <v>151</v>
      </c>
      <c r="D10" s="407" t="s">
        <v>1133</v>
      </c>
      <c r="G10" s="461" t="s">
        <v>142</v>
      </c>
      <c r="H10" s="462">
        <v>101</v>
      </c>
    </row>
    <row r="11" spans="1:26" ht="17.149999999999999" customHeight="1" x14ac:dyDescent="0.35">
      <c r="B11" s="490" t="s">
        <v>213</v>
      </c>
      <c r="C11" s="215" t="s">
        <v>151</v>
      </c>
      <c r="D11" s="202" t="s">
        <v>1131</v>
      </c>
      <c r="G11" s="461" t="s">
        <v>143</v>
      </c>
      <c r="H11" s="462">
        <v>102</v>
      </c>
    </row>
    <row r="12" spans="1:26" ht="17.149999999999999" customHeight="1" x14ac:dyDescent="0.35">
      <c r="B12" s="491" t="s">
        <v>81</v>
      </c>
      <c r="C12" s="215" t="s">
        <v>151</v>
      </c>
      <c r="D12" s="201">
        <f>INDEX('Basic Bullets'!F:F,MATCH('2. Top Page'!D11,'Basic Bullets'!E:E,0))</f>
        <v>102</v>
      </c>
      <c r="G12" s="461" t="s">
        <v>530</v>
      </c>
      <c r="H12" s="462">
        <v>103</v>
      </c>
    </row>
    <row r="13" spans="1:26" ht="17.149999999999999" customHeight="1" x14ac:dyDescent="0.35">
      <c r="B13" s="490" t="s">
        <v>92</v>
      </c>
      <c r="C13" s="215" t="s">
        <v>151</v>
      </c>
      <c r="D13" s="203" t="s">
        <v>985</v>
      </c>
      <c r="G13" s="461" t="s">
        <v>604</v>
      </c>
      <c r="H13" s="462">
        <v>104</v>
      </c>
    </row>
    <row r="14" spans="1:26" s="13" customFormat="1" ht="4.5" customHeight="1" x14ac:dyDescent="0.35">
      <c r="A14" s="463"/>
      <c r="B14" s="489"/>
      <c r="C14" s="215"/>
      <c r="D14" s="411"/>
      <c r="E14" s="463"/>
      <c r="F14" s="463"/>
      <c r="G14" s="461" t="s">
        <v>523</v>
      </c>
      <c r="H14" s="462">
        <v>105</v>
      </c>
      <c r="I14" s="463"/>
      <c r="J14" s="463"/>
      <c r="K14" s="463"/>
      <c r="L14" s="463"/>
      <c r="M14" s="463"/>
      <c r="N14" s="456"/>
      <c r="O14" s="456"/>
      <c r="P14" s="456"/>
      <c r="Q14" s="456"/>
      <c r="R14" s="456"/>
      <c r="S14" s="456"/>
      <c r="T14" s="456"/>
      <c r="U14" s="456"/>
      <c r="V14" s="456"/>
      <c r="W14" s="468"/>
      <c r="X14" s="468"/>
      <c r="Y14" s="468"/>
      <c r="Z14" s="468"/>
    </row>
    <row r="15" spans="1:26" ht="17.149999999999999" customHeight="1" x14ac:dyDescent="0.35">
      <c r="B15" s="490" t="s">
        <v>128</v>
      </c>
      <c r="C15" s="215" t="s">
        <v>151</v>
      </c>
      <c r="D15" s="202" t="s">
        <v>153</v>
      </c>
      <c r="G15" s="461" t="s">
        <v>524</v>
      </c>
      <c r="H15" s="462">
        <v>106</v>
      </c>
    </row>
    <row r="16" spans="1:26" ht="17.149999999999999" customHeight="1" x14ac:dyDescent="0.35">
      <c r="B16" s="490" t="s">
        <v>998</v>
      </c>
      <c r="C16" s="215" t="s">
        <v>151</v>
      </c>
      <c r="D16" s="202" t="s">
        <v>158</v>
      </c>
      <c r="G16" s="461" t="s">
        <v>605</v>
      </c>
      <c r="H16" s="462">
        <v>107</v>
      </c>
    </row>
    <row r="17" spans="2:8" ht="17.149999999999999" customHeight="1" x14ac:dyDescent="0.35">
      <c r="B17" s="489" t="s">
        <v>129</v>
      </c>
      <c r="C17" s="215" t="s">
        <v>151</v>
      </c>
      <c r="D17" s="407" t="s">
        <v>1141</v>
      </c>
      <c r="G17" s="461" t="s">
        <v>527</v>
      </c>
      <c r="H17" s="462">
        <v>108</v>
      </c>
    </row>
    <row r="18" spans="2:8" ht="17.149999999999999" customHeight="1" x14ac:dyDescent="0.35">
      <c r="B18" s="776" t="s">
        <v>1000</v>
      </c>
      <c r="C18" s="215" t="s">
        <v>151</v>
      </c>
      <c r="D18" s="407" t="s">
        <v>1137</v>
      </c>
      <c r="G18" s="461" t="s">
        <v>529</v>
      </c>
      <c r="H18" s="462">
        <v>109</v>
      </c>
    </row>
    <row r="19" spans="2:8" ht="17.149999999999999" customHeight="1" x14ac:dyDescent="0.35">
      <c r="B19" s="489" t="s">
        <v>79</v>
      </c>
      <c r="C19" s="215" t="s">
        <v>151</v>
      </c>
      <c r="D19" s="407" t="s">
        <v>1136</v>
      </c>
      <c r="G19" s="461" t="s">
        <v>594</v>
      </c>
      <c r="H19" s="462">
        <v>110</v>
      </c>
    </row>
    <row r="20" spans="2:8" ht="17.149999999999999" customHeight="1" x14ac:dyDescent="0.35">
      <c r="B20" s="489" t="s">
        <v>215</v>
      </c>
      <c r="C20" s="215"/>
      <c r="D20" s="408">
        <v>45473</v>
      </c>
      <c r="G20" s="461" t="s">
        <v>531</v>
      </c>
      <c r="H20" s="462">
        <v>111</v>
      </c>
    </row>
    <row r="21" spans="2:8" ht="17.149999999999999" customHeight="1" x14ac:dyDescent="0.35">
      <c r="B21" s="489" t="s">
        <v>186</v>
      </c>
      <c r="C21" s="215" t="s">
        <v>151</v>
      </c>
      <c r="D21" s="408">
        <v>45652</v>
      </c>
      <c r="G21" s="461" t="s">
        <v>532</v>
      </c>
      <c r="H21" s="462">
        <v>112</v>
      </c>
    </row>
    <row r="22" spans="2:8" ht="17.149999999999999" customHeight="1" thickBot="1" x14ac:dyDescent="0.4">
      <c r="B22" s="492" t="s">
        <v>187</v>
      </c>
      <c r="C22" s="216" t="s">
        <v>151</v>
      </c>
      <c r="D22" s="409">
        <v>45736</v>
      </c>
      <c r="E22" s="464"/>
      <c r="G22" s="461" t="s">
        <v>607</v>
      </c>
      <c r="H22" s="462">
        <v>113</v>
      </c>
    </row>
    <row r="23" spans="2:8" ht="17.149999999999999" customHeight="1" x14ac:dyDescent="0.35">
      <c r="B23" s="23"/>
      <c r="C23" s="23"/>
      <c r="D23" s="20"/>
      <c r="E23" s="464"/>
      <c r="G23" s="461" t="s">
        <v>606</v>
      </c>
      <c r="H23" s="462">
        <v>114</v>
      </c>
    </row>
    <row r="24" spans="2:8" ht="17.149999999999999" customHeight="1" x14ac:dyDescent="0.35">
      <c r="B24" s="25" t="s">
        <v>431</v>
      </c>
      <c r="C24" s="23"/>
      <c r="D24" s="20"/>
      <c r="E24" s="465"/>
      <c r="G24" s="459" t="s">
        <v>138</v>
      </c>
      <c r="H24" s="462">
        <v>200</v>
      </c>
    </row>
    <row r="25" spans="2:8" ht="17.149999999999999" customHeight="1" x14ac:dyDescent="0.35">
      <c r="B25" s="217" t="s">
        <v>432</v>
      </c>
      <c r="C25" s="23"/>
      <c r="D25" s="198"/>
      <c r="G25" s="459" t="s">
        <v>139</v>
      </c>
      <c r="H25" s="462">
        <v>300</v>
      </c>
    </row>
    <row r="26" spans="2:8" ht="17.149999999999999" customHeight="1" x14ac:dyDescent="0.35">
      <c r="B26" s="217" t="s">
        <v>433</v>
      </c>
      <c r="C26" s="23"/>
      <c r="D26" s="199"/>
      <c r="G26" s="459" t="s">
        <v>590</v>
      </c>
      <c r="H26" s="460" t="s">
        <v>152</v>
      </c>
    </row>
    <row r="27" spans="2:8" ht="17.149999999999999" customHeight="1" x14ac:dyDescent="0.35">
      <c r="B27" s="217" t="s">
        <v>434</v>
      </c>
      <c r="C27" s="23"/>
      <c r="D27" s="200"/>
      <c r="G27" s="461" t="s">
        <v>141</v>
      </c>
      <c r="H27" s="462">
        <v>401</v>
      </c>
    </row>
    <row r="28" spans="2:8" ht="17.149999999999999" customHeight="1" x14ac:dyDescent="0.35">
      <c r="B28" s="20"/>
      <c r="C28" s="20"/>
      <c r="D28" s="20"/>
      <c r="G28" s="461" t="s">
        <v>526</v>
      </c>
      <c r="H28" s="462">
        <v>402</v>
      </c>
    </row>
    <row r="29" spans="2:8" ht="15" customHeight="1" x14ac:dyDescent="0.35">
      <c r="B29" s="906" t="s">
        <v>388</v>
      </c>
      <c r="C29" s="906"/>
      <c r="D29" s="906"/>
      <c r="G29" s="461" t="s">
        <v>592</v>
      </c>
      <c r="H29" s="462">
        <v>403</v>
      </c>
    </row>
    <row r="30" spans="2:8" ht="17.149999999999999" customHeight="1" x14ac:dyDescent="0.35">
      <c r="B30" s="48" t="s">
        <v>191</v>
      </c>
      <c r="C30" s="903" t="s">
        <v>1135</v>
      </c>
      <c r="D30" s="904"/>
      <c r="G30" s="461" t="s">
        <v>608</v>
      </c>
      <c r="H30" s="462">
        <v>404</v>
      </c>
    </row>
    <row r="31" spans="2:8" ht="17.149999999999999" customHeight="1" x14ac:dyDescent="0.35">
      <c r="B31" s="49" t="s">
        <v>192</v>
      </c>
      <c r="C31" s="899" t="s">
        <v>1138</v>
      </c>
      <c r="D31" s="900"/>
    </row>
    <row r="32" spans="2:8" ht="17.149999999999999" customHeight="1" x14ac:dyDescent="0.35">
      <c r="B32" s="49" t="s">
        <v>193</v>
      </c>
      <c r="C32" s="899" t="s">
        <v>1142</v>
      </c>
      <c r="D32" s="900"/>
    </row>
    <row r="33" spans="2:4" ht="17.149999999999999" customHeight="1" x14ac:dyDescent="0.35">
      <c r="B33" s="49" t="s">
        <v>194</v>
      </c>
      <c r="C33" s="899"/>
      <c r="D33" s="900"/>
    </row>
    <row r="34" spans="2:4" ht="17.149999999999999" customHeight="1" x14ac:dyDescent="0.35">
      <c r="B34" s="49" t="s">
        <v>195</v>
      </c>
      <c r="C34" s="899"/>
      <c r="D34" s="900"/>
    </row>
    <row r="35" spans="2:4" ht="17.149999999999999" customHeight="1" x14ac:dyDescent="0.35">
      <c r="B35" s="50" t="s">
        <v>200</v>
      </c>
      <c r="C35" s="901"/>
      <c r="D35" s="902"/>
    </row>
    <row r="36" spans="2:4" ht="28.5" customHeight="1" x14ac:dyDescent="0.35">
      <c r="B36" s="898" t="s">
        <v>389</v>
      </c>
      <c r="C36" s="898"/>
      <c r="D36" s="898"/>
    </row>
    <row r="37" spans="2:4" x14ac:dyDescent="0.35">
      <c r="B37" s="48" t="s">
        <v>191</v>
      </c>
      <c r="C37" s="903" t="s">
        <v>1139</v>
      </c>
      <c r="D37" s="904"/>
    </row>
    <row r="38" spans="2:4" x14ac:dyDescent="0.35">
      <c r="B38" s="49" t="s">
        <v>192</v>
      </c>
      <c r="C38" s="899" t="s">
        <v>1140</v>
      </c>
      <c r="D38" s="900"/>
    </row>
    <row r="39" spans="2:4" x14ac:dyDescent="0.35">
      <c r="B39" s="49" t="s">
        <v>193</v>
      </c>
      <c r="C39" s="899"/>
      <c r="D39" s="900"/>
    </row>
    <row r="40" spans="2:4" x14ac:dyDescent="0.35">
      <c r="B40" s="49" t="s">
        <v>194</v>
      </c>
      <c r="C40" s="899"/>
      <c r="D40" s="900"/>
    </row>
    <row r="41" spans="2:4" x14ac:dyDescent="0.35">
      <c r="B41" s="49" t="s">
        <v>195</v>
      </c>
      <c r="C41" s="899"/>
      <c r="D41" s="900"/>
    </row>
    <row r="42" spans="2:4" x14ac:dyDescent="0.35">
      <c r="B42" s="51" t="s">
        <v>200</v>
      </c>
      <c r="C42" s="901"/>
      <c r="D42" s="902"/>
    </row>
    <row r="44" spans="2:4" s="457" customFormat="1" x14ac:dyDescent="0.35"/>
    <row r="45" spans="2:4" s="457" customFormat="1" x14ac:dyDescent="0.35"/>
    <row r="46" spans="2:4" s="457" customFormat="1" x14ac:dyDescent="0.35"/>
    <row r="47" spans="2:4" s="457" customFormat="1" x14ac:dyDescent="0.35"/>
    <row r="48" spans="2:4" s="457" customFormat="1" x14ac:dyDescent="0.35"/>
    <row r="49" spans="2:4" s="457" customFormat="1" x14ac:dyDescent="0.35"/>
    <row r="50" spans="2:4" s="457" customFormat="1" x14ac:dyDescent="0.35"/>
    <row r="51" spans="2:4" s="457" customFormat="1" x14ac:dyDescent="0.35"/>
    <row r="52" spans="2:4" s="457" customFormat="1" x14ac:dyDescent="0.35"/>
    <row r="53" spans="2:4" s="457" customFormat="1" x14ac:dyDescent="0.35">
      <c r="B53" s="493"/>
      <c r="C53" s="493"/>
      <c r="D53" s="493"/>
    </row>
    <row r="54" spans="2:4" s="457" customFormat="1" x14ac:dyDescent="0.35">
      <c r="B54" s="493" t="s">
        <v>147</v>
      </c>
      <c r="C54" s="493"/>
      <c r="D54" s="493" t="s">
        <v>153</v>
      </c>
    </row>
    <row r="55" spans="2:4" s="457" customFormat="1" x14ac:dyDescent="0.35">
      <c r="B55" s="493" t="s">
        <v>148</v>
      </c>
      <c r="C55" s="493"/>
      <c r="D55" s="493" t="s">
        <v>154</v>
      </c>
    </row>
    <row r="56" spans="2:4" s="457" customFormat="1" x14ac:dyDescent="0.35">
      <c r="B56" s="493" t="s">
        <v>985</v>
      </c>
      <c r="C56" s="493"/>
      <c r="D56" s="493" t="s">
        <v>156</v>
      </c>
    </row>
    <row r="57" spans="2:4" s="457" customFormat="1" x14ac:dyDescent="0.35">
      <c r="B57" s="493" t="s">
        <v>984</v>
      </c>
      <c r="C57" s="493"/>
      <c r="D57" s="493" t="s">
        <v>155</v>
      </c>
    </row>
    <row r="58" spans="2:4" s="457" customFormat="1" x14ac:dyDescent="0.35">
      <c r="B58" s="493" t="s">
        <v>986</v>
      </c>
      <c r="C58" s="493"/>
      <c r="D58" s="493" t="s">
        <v>157</v>
      </c>
    </row>
    <row r="59" spans="2:4" s="457" customFormat="1" x14ac:dyDescent="0.35">
      <c r="B59" s="493"/>
      <c r="C59" s="493"/>
      <c r="D59" s="493"/>
    </row>
    <row r="60" spans="2:4" s="457" customFormat="1" x14ac:dyDescent="0.35">
      <c r="B60" s="493"/>
      <c r="C60" s="493"/>
      <c r="D60" s="493"/>
    </row>
    <row r="61" spans="2:4" s="457" customFormat="1" x14ac:dyDescent="0.35">
      <c r="B61" s="493"/>
      <c r="C61" s="493"/>
      <c r="D61" s="493"/>
    </row>
    <row r="62" spans="2:4" s="457" customFormat="1" x14ac:dyDescent="0.35">
      <c r="B62" s="493"/>
      <c r="C62" s="493"/>
      <c r="D62" s="493"/>
    </row>
    <row r="63" spans="2:4" s="457" customFormat="1" x14ac:dyDescent="0.35">
      <c r="B63" s="493"/>
      <c r="C63" s="493"/>
      <c r="D63" s="493"/>
    </row>
    <row r="64" spans="2:4" s="457" customFormat="1" x14ac:dyDescent="0.35"/>
    <row r="65" spans="2:4" s="457" customFormat="1" x14ac:dyDescent="0.35"/>
    <row r="66" spans="2:4" s="457" customFormat="1" x14ac:dyDescent="0.35"/>
    <row r="67" spans="2:4" s="457" customFormat="1" x14ac:dyDescent="0.35"/>
    <row r="68" spans="2:4" s="457" customFormat="1" x14ac:dyDescent="0.35"/>
    <row r="69" spans="2:4" x14ac:dyDescent="0.35">
      <c r="B69" s="457"/>
      <c r="C69" s="457"/>
      <c r="D69" s="457"/>
    </row>
    <row r="70" spans="2:4" x14ac:dyDescent="0.35">
      <c r="B70" s="457"/>
      <c r="C70" s="457"/>
      <c r="D70" s="457"/>
    </row>
    <row r="71" spans="2:4" x14ac:dyDescent="0.35">
      <c r="B71" s="457"/>
      <c r="C71" s="457"/>
      <c r="D71" s="457"/>
    </row>
    <row r="72" spans="2:4" x14ac:dyDescent="0.35">
      <c r="B72" s="457"/>
      <c r="C72" s="457"/>
      <c r="D72" s="457"/>
    </row>
    <row r="73" spans="2:4" x14ac:dyDescent="0.35">
      <c r="B73" s="457"/>
      <c r="C73" s="457"/>
      <c r="D73" s="457"/>
    </row>
    <row r="74" spans="2:4" x14ac:dyDescent="0.35">
      <c r="B74" s="457"/>
      <c r="C74" s="457"/>
      <c r="D74" s="457"/>
    </row>
    <row r="75" spans="2:4" x14ac:dyDescent="0.35">
      <c r="B75" s="457"/>
      <c r="C75" s="457"/>
      <c r="D75" s="457"/>
    </row>
    <row r="76" spans="2:4" x14ac:dyDescent="0.35">
      <c r="B76" s="457"/>
      <c r="C76" s="457"/>
      <c r="D76" s="457"/>
    </row>
    <row r="77" spans="2:4" x14ac:dyDescent="0.35">
      <c r="B77" s="457"/>
      <c r="C77" s="457"/>
      <c r="D77" s="457"/>
    </row>
    <row r="78" spans="2:4" x14ac:dyDescent="0.35">
      <c r="B78" s="457"/>
      <c r="C78" s="457"/>
      <c r="D78" s="457"/>
    </row>
    <row r="79" spans="2:4" x14ac:dyDescent="0.35">
      <c r="B79" s="457"/>
      <c r="C79" s="457"/>
      <c r="D79" s="457"/>
    </row>
    <row r="80" spans="2:4" x14ac:dyDescent="0.35">
      <c r="B80" s="457"/>
      <c r="C80" s="457"/>
      <c r="D80" s="457"/>
    </row>
    <row r="81" spans="2:4" x14ac:dyDescent="0.35">
      <c r="B81" s="457"/>
      <c r="C81" s="457"/>
      <c r="D81" s="457"/>
    </row>
    <row r="82" spans="2:4" x14ac:dyDescent="0.35">
      <c r="B82" s="457"/>
      <c r="C82" s="457"/>
      <c r="D82" s="457"/>
    </row>
    <row r="83" spans="2:4" x14ac:dyDescent="0.35">
      <c r="B83" s="457"/>
      <c r="C83" s="457"/>
      <c r="D83" s="457"/>
    </row>
    <row r="84" spans="2:4" x14ac:dyDescent="0.35">
      <c r="B84" s="457"/>
      <c r="C84" s="457"/>
      <c r="D84" s="457"/>
    </row>
    <row r="85" spans="2:4" x14ac:dyDescent="0.35">
      <c r="B85" s="457"/>
      <c r="C85" s="457"/>
      <c r="D85" s="457"/>
    </row>
    <row r="86" spans="2:4" x14ac:dyDescent="0.35">
      <c r="B86" s="457"/>
      <c r="C86" s="457"/>
      <c r="D86" s="457"/>
    </row>
    <row r="87" spans="2:4" x14ac:dyDescent="0.35">
      <c r="B87" s="457"/>
      <c r="C87" s="457"/>
      <c r="D87" s="457"/>
    </row>
    <row r="88" spans="2:4" x14ac:dyDescent="0.35">
      <c r="B88" s="457"/>
      <c r="C88" s="457"/>
      <c r="D88" s="457"/>
    </row>
    <row r="89" spans="2:4" x14ac:dyDescent="0.35">
      <c r="B89" s="457"/>
      <c r="C89" s="457"/>
      <c r="D89" s="457"/>
    </row>
    <row r="90" spans="2:4" x14ac:dyDescent="0.35">
      <c r="B90" s="457"/>
      <c r="C90" s="457"/>
      <c r="D90" s="457"/>
    </row>
    <row r="91" spans="2:4" x14ac:dyDescent="0.35">
      <c r="B91" s="457"/>
      <c r="C91" s="457"/>
      <c r="D91" s="457"/>
    </row>
    <row r="92" spans="2:4" x14ac:dyDescent="0.35">
      <c r="B92" s="457"/>
      <c r="C92" s="457"/>
      <c r="D92" s="457"/>
    </row>
    <row r="93" spans="2:4" x14ac:dyDescent="0.35">
      <c r="B93" s="457"/>
      <c r="C93" s="457"/>
      <c r="D93" s="457"/>
    </row>
    <row r="94" spans="2:4" x14ac:dyDescent="0.35">
      <c r="B94" s="457"/>
      <c r="C94" s="457"/>
      <c r="D94" s="457"/>
    </row>
    <row r="95" spans="2:4" x14ac:dyDescent="0.35">
      <c r="B95" s="457"/>
      <c r="C95" s="457"/>
      <c r="D95" s="457"/>
    </row>
    <row r="96" spans="2:4" x14ac:dyDescent="0.35">
      <c r="B96" s="457"/>
      <c r="C96" s="457"/>
      <c r="D96" s="457"/>
    </row>
    <row r="97" spans="2:4" x14ac:dyDescent="0.35">
      <c r="B97" s="457"/>
      <c r="C97" s="457"/>
      <c r="D97" s="457"/>
    </row>
    <row r="98" spans="2:4" x14ac:dyDescent="0.35">
      <c r="B98" s="457"/>
      <c r="C98" s="457"/>
      <c r="D98" s="457"/>
    </row>
    <row r="99" spans="2:4" x14ac:dyDescent="0.35">
      <c r="B99" s="457"/>
      <c r="C99" s="457"/>
      <c r="D99" s="457"/>
    </row>
    <row r="100" spans="2:4" x14ac:dyDescent="0.35">
      <c r="B100" s="457"/>
      <c r="C100" s="457"/>
      <c r="D100" s="457"/>
    </row>
    <row r="101" spans="2:4" x14ac:dyDescent="0.35">
      <c r="B101" s="457"/>
      <c r="C101" s="457"/>
      <c r="D101" s="457"/>
    </row>
    <row r="102" spans="2:4" x14ac:dyDescent="0.35">
      <c r="B102" s="457"/>
      <c r="C102" s="457"/>
      <c r="D102" s="457"/>
    </row>
    <row r="103" spans="2:4" x14ac:dyDescent="0.35">
      <c r="B103" s="457"/>
      <c r="C103" s="457"/>
      <c r="D103" s="457"/>
    </row>
    <row r="104" spans="2:4" x14ac:dyDescent="0.35">
      <c r="B104" s="457"/>
      <c r="C104" s="457"/>
      <c r="D104" s="457"/>
    </row>
    <row r="105" spans="2:4" x14ac:dyDescent="0.35">
      <c r="B105" s="457"/>
      <c r="C105" s="457"/>
      <c r="D105" s="457"/>
    </row>
    <row r="106" spans="2:4" x14ac:dyDescent="0.35">
      <c r="B106" s="457"/>
      <c r="C106" s="457"/>
      <c r="D106" s="457"/>
    </row>
    <row r="107" spans="2:4" x14ac:dyDescent="0.35">
      <c r="B107" s="457"/>
      <c r="C107" s="457"/>
      <c r="D107" s="457"/>
    </row>
    <row r="108" spans="2:4" x14ac:dyDescent="0.35">
      <c r="B108" s="457"/>
      <c r="C108" s="457"/>
      <c r="D108" s="457"/>
    </row>
    <row r="109" spans="2:4" x14ac:dyDescent="0.35">
      <c r="B109" s="457"/>
      <c r="C109" s="457"/>
      <c r="D109" s="457"/>
    </row>
    <row r="110" spans="2:4" x14ac:dyDescent="0.35">
      <c r="B110" s="457"/>
      <c r="C110" s="457"/>
      <c r="D110" s="457"/>
    </row>
    <row r="111" spans="2:4" x14ac:dyDescent="0.35">
      <c r="B111" s="457"/>
      <c r="C111" s="457"/>
      <c r="D111" s="457"/>
    </row>
    <row r="112" spans="2:4" x14ac:dyDescent="0.35">
      <c r="B112" s="457"/>
      <c r="C112" s="457"/>
      <c r="D112" s="457"/>
    </row>
    <row r="113" spans="2:4" x14ac:dyDescent="0.35">
      <c r="B113" s="457"/>
      <c r="C113" s="457"/>
      <c r="D113" s="457"/>
    </row>
    <row r="114" spans="2:4" x14ac:dyDescent="0.35">
      <c r="B114" s="457"/>
      <c r="C114" s="457"/>
      <c r="D114" s="457"/>
    </row>
  </sheetData>
  <sheetProtection password="F93C" sheet="1" objects="1" scenarios="1" selectLockedCells="1"/>
  <dataConsolidate/>
  <mergeCells count="16">
    <mergeCell ref="B1:D3"/>
    <mergeCell ref="B36:D36"/>
    <mergeCell ref="C41:D41"/>
    <mergeCell ref="C42:D42"/>
    <mergeCell ref="C37:D37"/>
    <mergeCell ref="C38:D38"/>
    <mergeCell ref="C39:D39"/>
    <mergeCell ref="C40:D40"/>
    <mergeCell ref="C35:D35"/>
    <mergeCell ref="B4:D4"/>
    <mergeCell ref="C30:D30"/>
    <mergeCell ref="C31:D31"/>
    <mergeCell ref="B29:D29"/>
    <mergeCell ref="C32:D32"/>
    <mergeCell ref="C33:D33"/>
    <mergeCell ref="C34:D34"/>
  </mergeCells>
  <conditionalFormatting sqref="D11">
    <cfRule type="containsText" dxfId="63" priority="1" operator="containsText" text="A. Industry (please select sub category)">
      <formula>NOT(ISERROR(SEARCH("A. Industry (please select sub category)",D11)))</formula>
    </cfRule>
    <cfRule type="containsText" dxfId="62" priority="2" operator="containsText" text="D. Service (Please select sub category)">
      <formula>NOT(ISERROR(SEARCH("D. Service (Please select sub category)",D11)))</formula>
    </cfRule>
  </conditionalFormatting>
  <dataValidations xWindow="1218" yWindow="565" count="7">
    <dataValidation type="list" allowBlank="1" showInputMessage="1" showErrorMessage="1" sqref="D16" xr:uid="{00000000-0002-0000-0500-000000000000}">
      <formula1>auditstatus</formula1>
    </dataValidation>
    <dataValidation type="list" allowBlank="1" showInputMessage="1" showErrorMessage="1" sqref="D11" xr:uid="{00000000-0002-0000-0500-000001000000}">
      <formula1>$G$9:$G$30</formula1>
    </dataValidation>
    <dataValidation type="list" allowBlank="1" showInputMessage="1" showErrorMessage="1" sqref="D13" xr:uid="{00000000-0002-0000-0500-000002000000}">
      <formula1>$B$54:$B$58</formula1>
    </dataValidation>
    <dataValidation allowBlank="1" showInputMessage="1" showErrorMessage="1" prompt="Please choose from drop-down list" sqref="D10" xr:uid="{00000000-0002-0000-0500-000003000000}"/>
    <dataValidation allowBlank="1" showInputMessage="1" showErrorMessage="1" prompt="Please choose from drop-down List" sqref="D12" xr:uid="{00000000-0002-0000-0500-000004000000}"/>
    <dataValidation type="list" allowBlank="1" showInputMessage="1" showErrorMessage="1" sqref="D15" xr:uid="{00000000-0002-0000-0500-000005000000}">
      <formula1>$D$54:$D$58</formula1>
    </dataValidation>
    <dataValidation allowBlank="1" showInputMessage="1" showErrorMessage="1" prompt="Please enter date in DD/MM/YYYY  format" sqref="D20:D22" xr:uid="{00000000-0002-0000-0500-000006000000}"/>
  </dataValidations>
  <printOptions horizontalCentered="1"/>
  <pageMargins left="1" right="1" top="1" bottom="1" header="0.5" footer="0.5"/>
  <pageSetup paperSize="9" scale="92"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83F8D8A3-3FBE-4C48-BD47-E0B68F59C1DC}">
            <xm:f>NOT(ISERROR(SEARCH($G$9,D11)))</xm:f>
            <xm:f>$G$9</xm:f>
            <x14:dxf>
              <font>
                <color rgb="FF9C0006"/>
              </font>
              <fill>
                <patternFill>
                  <bgColor rgb="FFFFC7CE"/>
                </patternFill>
              </fill>
            </x14:dxf>
          </x14:cfRule>
          <x14:cfRule type="cellIs" priority="3" operator="equal" id="{3E31046B-5921-41AE-AF36-67B1C18CCD7C}">
            <xm:f>'Basic Bullets'!$F$13</xm:f>
            <x14:dxf>
              <font>
                <color rgb="FF9C0006"/>
              </font>
              <fill>
                <patternFill>
                  <bgColor rgb="FFFFC7CE"/>
                </patternFill>
              </fill>
            </x14:dxf>
          </x14:cfRule>
          <xm:sqref>D11</xm:sqref>
        </x14:conditionalFormatting>
      </x14:conditionalFormattings>
    </ext>
    <ext xmlns:x14="http://schemas.microsoft.com/office/spreadsheetml/2009/9/main" uri="{CCE6A557-97BC-4b89-ADB6-D9C93CAAB3DF}">
      <x14:dataValidations xmlns:xm="http://schemas.microsoft.com/office/excel/2006/main" xWindow="1218" yWindow="565" count="3">
        <x14:dataValidation type="list" allowBlank="1" showInputMessage="1" showErrorMessage="1" xr:uid="{00000000-0002-0000-0500-000007000000}">
          <x14:formula1>
            <xm:f>'Basic Bullets'!$K$6:$K$10</xm:f>
          </x14:formula1>
          <xm:sqref>D15</xm:sqref>
        </x14:dataValidation>
        <x14:dataValidation type="list" allowBlank="1" showInputMessage="1" showErrorMessage="1" xr:uid="{00000000-0002-0000-0500-000008000000}">
          <x14:formula1>
            <xm:f>'Basic Bullets'!$I$8:$I$9</xm:f>
          </x14:formula1>
          <xm:sqref>D16</xm:sqref>
        </x14:dataValidation>
        <x14:dataValidation type="list" allowBlank="1" showInputMessage="1" showErrorMessage="1" xr:uid="{00000000-0002-0000-0500-000009000000}">
          <x14:formula1>
            <xm:f>'Basic Bullets'!$K$1:$K$4</xm:f>
          </x14:formula1>
          <xm:sqref>D15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theme="7" tint="-0.499984740745262"/>
  </sheetPr>
  <dimension ref="A1:AD175"/>
  <sheetViews>
    <sheetView showGridLines="0" topLeftCell="C1" zoomScaleNormal="100" zoomScaleSheetLayoutView="100" zoomScalePageLayoutView="70" workbookViewId="0">
      <selection activeCell="E39" sqref="E39"/>
    </sheetView>
  </sheetViews>
  <sheetFormatPr defaultColWidth="9.1796875" defaultRowHeight="14" x14ac:dyDescent="0.35"/>
  <cols>
    <col min="1" max="1" width="18.81640625" style="494" customWidth="1"/>
    <col min="2" max="2" width="1.54296875" style="502" hidden="1" customWidth="1"/>
    <col min="3" max="3" width="5.453125" style="512" customWidth="1"/>
    <col min="4" max="4" width="27" style="544" customWidth="1"/>
    <col min="5" max="5" width="23" style="549" customWidth="1"/>
    <col min="6" max="6" width="21.26953125" style="549" customWidth="1"/>
    <col min="7" max="7" width="18.1796875" style="549" customWidth="1"/>
    <col min="8" max="8" width="13.1796875" style="502" customWidth="1"/>
    <col min="9" max="10" width="9.1796875" style="494"/>
    <col min="11" max="11" width="9.1796875" style="494" customWidth="1"/>
    <col min="12" max="24" width="9.1796875" style="494"/>
    <col min="25" max="16384" width="9.1796875" style="502"/>
  </cols>
  <sheetData>
    <row r="1" spans="1:24" s="494" customFormat="1" ht="10.5" customHeight="1" thickBot="1" x14ac:dyDescent="0.4">
      <c r="C1" s="495"/>
      <c r="D1" s="496"/>
      <c r="E1" s="497"/>
      <c r="F1" s="497"/>
      <c r="G1" s="497"/>
    </row>
    <row r="2" spans="1:24" s="498" customFormat="1" ht="14.5" hidden="1" thickBot="1" x14ac:dyDescent="0.4">
      <c r="A2" s="494"/>
      <c r="C2" s="499"/>
      <c r="D2" s="500"/>
      <c r="E2" s="501"/>
      <c r="F2" s="501"/>
      <c r="G2" s="501"/>
      <c r="I2" s="494"/>
      <c r="J2" s="494"/>
      <c r="K2" s="494"/>
      <c r="L2" s="494"/>
      <c r="M2" s="494"/>
      <c r="N2" s="494"/>
      <c r="O2" s="494"/>
      <c r="P2" s="494"/>
      <c r="Q2" s="494"/>
      <c r="R2" s="494"/>
      <c r="S2" s="494"/>
      <c r="T2" s="494"/>
      <c r="U2" s="494"/>
      <c r="V2" s="494"/>
      <c r="W2" s="494"/>
      <c r="X2" s="494"/>
    </row>
    <row r="3" spans="1:24" s="498" customFormat="1" ht="14.5" hidden="1" thickBot="1" x14ac:dyDescent="0.4">
      <c r="A3" s="494"/>
      <c r="C3" s="499"/>
      <c r="D3" s="500"/>
      <c r="E3" s="501"/>
      <c r="F3" s="501"/>
      <c r="G3" s="501"/>
      <c r="I3" s="494"/>
      <c r="J3" s="494"/>
      <c r="K3" s="494"/>
      <c r="L3" s="494"/>
      <c r="M3" s="494"/>
      <c r="N3" s="494"/>
      <c r="O3" s="494"/>
      <c r="P3" s="494"/>
      <c r="Q3" s="494"/>
      <c r="R3" s="494"/>
      <c r="S3" s="494"/>
      <c r="T3" s="494"/>
      <c r="U3" s="494"/>
      <c r="V3" s="494"/>
      <c r="W3" s="494"/>
      <c r="X3" s="494"/>
    </row>
    <row r="4" spans="1:24" ht="27" customHeight="1" thickBot="1" x14ac:dyDescent="0.4">
      <c r="C4" s="909" t="str">
        <f>'2. Top Page'!D9</f>
        <v>Outpace Spinning Mills Ltd</v>
      </c>
      <c r="D4" s="909"/>
      <c r="E4" s="909"/>
      <c r="F4" s="909"/>
      <c r="G4" s="909"/>
    </row>
    <row r="5" spans="1:24" ht="19.5" customHeight="1" thickBot="1" x14ac:dyDescent="0.4">
      <c r="C5" s="918" t="s">
        <v>0</v>
      </c>
      <c r="D5" s="918"/>
      <c r="E5" s="918"/>
      <c r="F5" s="918"/>
      <c r="G5" s="918"/>
    </row>
    <row r="6" spans="1:24" x14ac:dyDescent="0.35">
      <c r="C6" s="910" t="s">
        <v>83</v>
      </c>
      <c r="D6" s="911"/>
      <c r="E6" s="914" t="str">
        <f>'2. Top Page'!D18</f>
        <v>Md. Matiur Rahman, SRM</v>
      </c>
      <c r="F6" s="914"/>
      <c r="G6" s="915"/>
    </row>
    <row r="7" spans="1:24" x14ac:dyDescent="0.35">
      <c r="C7" s="912" t="s">
        <v>84</v>
      </c>
      <c r="D7" s="913"/>
      <c r="E7" s="916" t="str">
        <f>'2. Top Page'!D19</f>
        <v>Farhana Afrin, SM</v>
      </c>
      <c r="F7" s="916"/>
      <c r="G7" s="917"/>
    </row>
    <row r="8" spans="1:24" x14ac:dyDescent="0.35">
      <c r="C8" s="907" t="s">
        <v>129</v>
      </c>
      <c r="D8" s="908"/>
      <c r="E8" s="795" t="s">
        <v>1134</v>
      </c>
      <c r="F8" s="795" t="s">
        <v>1134</v>
      </c>
      <c r="G8" s="795" t="s">
        <v>1132</v>
      </c>
    </row>
    <row r="9" spans="1:24" x14ac:dyDescent="0.35">
      <c r="C9" s="907" t="s">
        <v>86</v>
      </c>
      <c r="D9" s="908"/>
      <c r="E9" s="796">
        <v>12</v>
      </c>
      <c r="F9" s="796">
        <v>12</v>
      </c>
      <c r="G9" s="797">
        <v>12</v>
      </c>
    </row>
    <row r="10" spans="1:24" x14ac:dyDescent="0.35">
      <c r="C10" s="912" t="s">
        <v>87</v>
      </c>
      <c r="D10" s="913"/>
      <c r="E10" s="503" t="s">
        <v>88</v>
      </c>
      <c r="F10" s="503" t="s">
        <v>88</v>
      </c>
      <c r="G10" s="504" t="s">
        <v>88</v>
      </c>
    </row>
    <row r="11" spans="1:24" ht="14.5" thickBot="1" x14ac:dyDescent="0.4">
      <c r="C11" s="922" t="s">
        <v>202</v>
      </c>
      <c r="D11" s="923"/>
      <c r="E11" s="793">
        <v>2025</v>
      </c>
      <c r="F11" s="793">
        <v>2024</v>
      </c>
      <c r="G11" s="794">
        <v>2023</v>
      </c>
    </row>
    <row r="12" spans="1:24" s="505" customFormat="1" ht="8.25" customHeight="1" thickBot="1" x14ac:dyDescent="0.4">
      <c r="A12" s="494"/>
      <c r="C12" s="921"/>
      <c r="D12" s="921"/>
      <c r="E12" s="921"/>
      <c r="F12" s="921"/>
      <c r="G12" s="921"/>
      <c r="I12" s="494"/>
      <c r="J12" s="494"/>
      <c r="K12" s="494"/>
      <c r="L12" s="494"/>
      <c r="M12" s="494"/>
      <c r="N12" s="494"/>
      <c r="O12" s="494"/>
      <c r="P12" s="494"/>
      <c r="Q12" s="494"/>
      <c r="R12" s="494"/>
      <c r="S12" s="494"/>
      <c r="T12" s="494"/>
      <c r="U12" s="494"/>
      <c r="V12" s="494"/>
      <c r="W12" s="494"/>
      <c r="X12" s="494"/>
    </row>
    <row r="13" spans="1:24" x14ac:dyDescent="0.35">
      <c r="C13" s="919" t="s">
        <v>162</v>
      </c>
      <c r="D13" s="920"/>
      <c r="E13" s="506"/>
      <c r="F13" s="506"/>
      <c r="G13" s="507"/>
      <c r="H13" s="508" t="s">
        <v>610</v>
      </c>
    </row>
    <row r="14" spans="1:24" ht="49.5" customHeight="1" x14ac:dyDescent="0.35">
      <c r="C14" s="509">
        <v>1</v>
      </c>
      <c r="D14" s="510" t="s">
        <v>102</v>
      </c>
      <c r="E14" s="550">
        <v>2716117.68</v>
      </c>
      <c r="F14" s="550">
        <v>1547239.4210000001</v>
      </c>
      <c r="G14" s="550">
        <v>1596103.7309999999</v>
      </c>
      <c r="H14" s="792">
        <f>E14/$E$51</f>
        <v>0.68032646751276149</v>
      </c>
    </row>
    <row r="15" spans="1:24" ht="33" customHeight="1" x14ac:dyDescent="0.35">
      <c r="C15" s="509">
        <v>2</v>
      </c>
      <c r="D15" s="510" t="s">
        <v>18</v>
      </c>
      <c r="E15" s="550">
        <v>350127.00699999998</v>
      </c>
      <c r="F15" s="550">
        <v>943794.92500000005</v>
      </c>
      <c r="G15" s="550">
        <v>509309.24300000002</v>
      </c>
      <c r="H15" s="792">
        <f t="shared" ref="H15:H51" si="0">E15/$E$51</f>
        <v>8.769895045678798E-2</v>
      </c>
    </row>
    <row r="16" spans="1:24" ht="28" x14ac:dyDescent="0.35">
      <c r="C16" s="509">
        <v>3</v>
      </c>
      <c r="D16" s="510" t="s">
        <v>19</v>
      </c>
      <c r="E16" s="550">
        <v>70922.706000000006</v>
      </c>
      <c r="F16" s="550">
        <f>104353.967-F19-F23</f>
        <v>71989.994000000006</v>
      </c>
      <c r="G16" s="550">
        <f>146578.191-G19-G23</f>
        <v>112099.51299999999</v>
      </c>
      <c r="H16" s="792">
        <f t="shared" si="0"/>
        <v>1.7764544737776656E-2</v>
      </c>
    </row>
    <row r="17" spans="1:30" x14ac:dyDescent="0.35">
      <c r="C17" s="509">
        <v>4</v>
      </c>
      <c r="D17" s="510" t="s">
        <v>114</v>
      </c>
      <c r="E17" s="550">
        <v>0</v>
      </c>
      <c r="F17" s="550">
        <v>0</v>
      </c>
      <c r="G17" s="550">
        <v>0</v>
      </c>
      <c r="H17" s="792">
        <f t="shared" si="0"/>
        <v>0</v>
      </c>
    </row>
    <row r="18" spans="1:30" x14ac:dyDescent="0.35">
      <c r="C18" s="509">
        <v>5</v>
      </c>
      <c r="D18" s="510" t="s">
        <v>20</v>
      </c>
      <c r="E18" s="550">
        <v>0</v>
      </c>
      <c r="F18" s="550">
        <v>0</v>
      </c>
      <c r="G18" s="550">
        <v>0</v>
      </c>
      <c r="H18" s="792">
        <f t="shared" si="0"/>
        <v>0</v>
      </c>
    </row>
    <row r="19" spans="1:30" x14ac:dyDescent="0.35">
      <c r="C19" s="509">
        <v>6</v>
      </c>
      <c r="D19" s="510" t="s">
        <v>21</v>
      </c>
      <c r="E19" s="550">
        <v>15902.348</v>
      </c>
      <c r="F19" s="550">
        <v>9694.6820000000007</v>
      </c>
      <c r="G19" s="550">
        <v>14013.878000000001</v>
      </c>
      <c r="H19" s="792">
        <f t="shared" si="0"/>
        <v>3.9831809643824517E-3</v>
      </c>
    </row>
    <row r="20" spans="1:30" x14ac:dyDescent="0.35">
      <c r="C20" s="509"/>
      <c r="D20" s="510"/>
      <c r="E20" s="550"/>
      <c r="F20" s="550">
        <v>0</v>
      </c>
      <c r="G20" s="550">
        <v>0</v>
      </c>
      <c r="H20" s="792">
        <f t="shared" si="0"/>
        <v>0</v>
      </c>
    </row>
    <row r="21" spans="1:30" x14ac:dyDescent="0.35">
      <c r="C21" s="509">
        <v>7</v>
      </c>
      <c r="D21" s="510" t="s">
        <v>999</v>
      </c>
      <c r="E21" s="550">
        <v>0</v>
      </c>
      <c r="F21" s="550">
        <v>0</v>
      </c>
      <c r="G21" s="550">
        <v>0</v>
      </c>
      <c r="H21" s="792">
        <f t="shared" si="0"/>
        <v>0</v>
      </c>
    </row>
    <row r="22" spans="1:30" ht="42" x14ac:dyDescent="0.35">
      <c r="C22" s="509">
        <v>8</v>
      </c>
      <c r="D22" s="510" t="s">
        <v>52</v>
      </c>
      <c r="E22" s="550">
        <v>0</v>
      </c>
      <c r="F22" s="550">
        <v>0</v>
      </c>
      <c r="G22" s="550">
        <v>0</v>
      </c>
      <c r="H22" s="792">
        <f t="shared" si="0"/>
        <v>0</v>
      </c>
    </row>
    <row r="23" spans="1:30" x14ac:dyDescent="0.35">
      <c r="C23" s="509">
        <v>9</v>
      </c>
      <c r="D23" s="510" t="s">
        <v>181</v>
      </c>
      <c r="E23" s="550">
        <v>17389.659</v>
      </c>
      <c r="F23" s="550">
        <v>22669.291000000001</v>
      </c>
      <c r="G23" s="550">
        <v>20464.8</v>
      </c>
      <c r="H23" s="792">
        <f t="shared" si="0"/>
        <v>4.3557189608667843E-3</v>
      </c>
    </row>
    <row r="24" spans="1:30" ht="28" x14ac:dyDescent="0.35">
      <c r="C24" s="509">
        <v>10</v>
      </c>
      <c r="D24" s="510" t="s">
        <v>117</v>
      </c>
      <c r="E24" s="550">
        <v>0</v>
      </c>
      <c r="F24" s="550">
        <v>0</v>
      </c>
      <c r="G24" s="550">
        <v>0</v>
      </c>
      <c r="H24" s="792">
        <f t="shared" si="0"/>
        <v>0</v>
      </c>
    </row>
    <row r="25" spans="1:30" ht="28" x14ac:dyDescent="0.35">
      <c r="C25" s="509">
        <v>11</v>
      </c>
      <c r="D25" s="510" t="s">
        <v>121</v>
      </c>
      <c r="E25" s="550">
        <v>0</v>
      </c>
      <c r="F25" s="550">
        <v>0</v>
      </c>
      <c r="G25" s="550">
        <v>0</v>
      </c>
      <c r="H25" s="792">
        <f t="shared" si="0"/>
        <v>0</v>
      </c>
      <c r="Y25" s="505"/>
      <c r="Z25" s="505"/>
      <c r="AA25" s="505"/>
      <c r="AB25" s="505"/>
      <c r="AC25" s="505"/>
      <c r="AD25" s="505"/>
    </row>
    <row r="26" spans="1:30" x14ac:dyDescent="0.35">
      <c r="C26" s="509">
        <v>12</v>
      </c>
      <c r="D26" s="510" t="s">
        <v>23</v>
      </c>
      <c r="E26" s="550">
        <v>0</v>
      </c>
      <c r="F26" s="550">
        <v>0</v>
      </c>
      <c r="G26" s="550">
        <v>0</v>
      </c>
      <c r="H26" s="792">
        <f t="shared" si="0"/>
        <v>0</v>
      </c>
      <c r="Y26" s="505"/>
      <c r="Z26" s="505"/>
      <c r="AA26" s="505"/>
      <c r="AB26" s="505"/>
      <c r="AC26" s="505"/>
      <c r="AD26" s="505"/>
    </row>
    <row r="27" spans="1:30" x14ac:dyDescent="0.35">
      <c r="C27" s="509">
        <v>13</v>
      </c>
      <c r="D27" s="510" t="s">
        <v>101</v>
      </c>
      <c r="E27" s="550">
        <v>18841.322</v>
      </c>
      <c r="F27" s="550">
        <v>36951.324000000001</v>
      </c>
      <c r="G27" s="550">
        <v>17409.703000000001</v>
      </c>
      <c r="H27" s="792">
        <f t="shared" si="0"/>
        <v>4.7193279341013229E-3</v>
      </c>
      <c r="Y27" s="505"/>
      <c r="Z27" s="505"/>
      <c r="AA27" s="505"/>
      <c r="AB27" s="505"/>
      <c r="AC27" s="505"/>
      <c r="AD27" s="505"/>
    </row>
    <row r="28" spans="1:30" x14ac:dyDescent="0.35">
      <c r="C28" s="509">
        <v>14</v>
      </c>
      <c r="D28" s="510" t="s">
        <v>96</v>
      </c>
      <c r="E28" s="550">
        <v>0</v>
      </c>
      <c r="F28" s="550">
        <v>0</v>
      </c>
      <c r="G28" s="550">
        <v>0</v>
      </c>
      <c r="H28" s="792">
        <f t="shared" si="0"/>
        <v>0</v>
      </c>
      <c r="Y28" s="505"/>
      <c r="Z28" s="505"/>
      <c r="AA28" s="505"/>
      <c r="AB28" s="505"/>
      <c r="AC28" s="505"/>
      <c r="AD28" s="505"/>
    </row>
    <row r="29" spans="1:30" s="512" customFormat="1" ht="15" x14ac:dyDescent="0.35">
      <c r="A29" s="495"/>
      <c r="C29" s="509">
        <v>15</v>
      </c>
      <c r="D29" s="431" t="s">
        <v>51</v>
      </c>
      <c r="E29" s="432">
        <f>SUM(E14:E28)</f>
        <v>3189300.7220000005</v>
      </c>
      <c r="F29" s="432">
        <f t="shared" ref="F29:G29" si="1">SUM(F14:F28)</f>
        <v>2632339.6370000001</v>
      </c>
      <c r="G29" s="433">
        <f t="shared" si="1"/>
        <v>2269400.8679999998</v>
      </c>
      <c r="H29" s="792">
        <f t="shared" si="0"/>
        <v>0.79884819056667677</v>
      </c>
      <c r="I29" s="495"/>
      <c r="J29" s="495"/>
      <c r="K29" s="495"/>
      <c r="L29" s="495"/>
      <c r="M29" s="495"/>
      <c r="N29" s="495"/>
      <c r="O29" s="495"/>
      <c r="P29" s="495"/>
      <c r="Q29" s="495"/>
      <c r="R29" s="495"/>
      <c r="S29" s="495"/>
      <c r="T29" s="495"/>
      <c r="U29" s="495"/>
      <c r="V29" s="495"/>
      <c r="W29" s="495"/>
      <c r="X29" s="495"/>
      <c r="Y29" s="513"/>
      <c r="Z29" s="513"/>
      <c r="AA29" s="513"/>
      <c r="AB29" s="513"/>
      <c r="AC29" s="513"/>
      <c r="AD29" s="513"/>
    </row>
    <row r="30" spans="1:30" s="495" customFormat="1" x14ac:dyDescent="0.35">
      <c r="C30" s="509">
        <v>16</v>
      </c>
      <c r="D30" s="515" t="s">
        <v>161</v>
      </c>
      <c r="E30" s="516"/>
      <c r="F30" s="516"/>
      <c r="G30" s="517"/>
      <c r="H30" s="792">
        <f t="shared" si="0"/>
        <v>0</v>
      </c>
      <c r="Y30" s="513"/>
      <c r="Z30" s="513"/>
      <c r="AA30" s="513"/>
      <c r="AB30" s="513"/>
      <c r="AC30" s="513"/>
      <c r="AD30" s="513"/>
    </row>
    <row r="31" spans="1:30" s="512" customFormat="1" ht="28" x14ac:dyDescent="0.35">
      <c r="A31" s="495"/>
      <c r="C31" s="509">
        <v>17</v>
      </c>
      <c r="D31" s="518" t="s">
        <v>159</v>
      </c>
      <c r="E31" s="550">
        <v>447186.02899999998</v>
      </c>
      <c r="F31" s="550">
        <v>416976.52100000001</v>
      </c>
      <c r="G31" s="550">
        <v>293638.33100000001</v>
      </c>
      <c r="H31" s="792">
        <f t="shared" si="0"/>
        <v>0.1120100552604294</v>
      </c>
      <c r="I31" s="495"/>
      <c r="J31" s="495"/>
      <c r="K31" s="495"/>
      <c r="L31" s="495"/>
      <c r="M31" s="495"/>
      <c r="N31" s="495"/>
      <c r="O31" s="495"/>
      <c r="P31" s="495"/>
      <c r="Q31" s="495"/>
      <c r="R31" s="495"/>
      <c r="S31" s="495"/>
      <c r="T31" s="495"/>
      <c r="U31" s="495"/>
      <c r="V31" s="495"/>
      <c r="W31" s="495"/>
      <c r="X31" s="495"/>
      <c r="Y31" s="513"/>
      <c r="Z31" s="513"/>
      <c r="AA31" s="513"/>
      <c r="AB31" s="513"/>
      <c r="AC31" s="513"/>
      <c r="AD31" s="513"/>
    </row>
    <row r="32" spans="1:30" s="512" customFormat="1" x14ac:dyDescent="0.35">
      <c r="A32" s="495"/>
      <c r="C32" s="509">
        <v>18</v>
      </c>
      <c r="D32" s="510" t="s">
        <v>119</v>
      </c>
      <c r="E32" s="550">
        <v>0</v>
      </c>
      <c r="F32" s="550">
        <v>0</v>
      </c>
      <c r="G32" s="550">
        <v>0</v>
      </c>
      <c r="H32" s="792">
        <f t="shared" si="0"/>
        <v>0</v>
      </c>
      <c r="I32" s="495"/>
      <c r="J32" s="495"/>
      <c r="K32" s="495"/>
      <c r="L32" s="495"/>
      <c r="M32" s="495"/>
      <c r="N32" s="495"/>
      <c r="O32" s="495"/>
      <c r="P32" s="495"/>
      <c r="Q32" s="495"/>
      <c r="R32" s="495"/>
      <c r="S32" s="495"/>
      <c r="T32" s="495"/>
      <c r="U32" s="495"/>
      <c r="V32" s="495"/>
      <c r="W32" s="495"/>
      <c r="X32" s="495"/>
      <c r="Y32" s="513"/>
      <c r="Z32" s="513"/>
      <c r="AA32" s="513"/>
      <c r="AB32" s="513"/>
      <c r="AC32" s="513"/>
      <c r="AD32" s="513"/>
    </row>
    <row r="33" spans="1:30" s="512" customFormat="1" x14ac:dyDescent="0.35">
      <c r="A33" s="495"/>
      <c r="C33" s="509">
        <v>19</v>
      </c>
      <c r="D33" s="510" t="s">
        <v>160</v>
      </c>
      <c r="E33" s="550">
        <v>0</v>
      </c>
      <c r="F33" s="550">
        <v>0</v>
      </c>
      <c r="G33" s="550">
        <v>0</v>
      </c>
      <c r="H33" s="792">
        <f t="shared" si="0"/>
        <v>0</v>
      </c>
      <c r="I33" s="495"/>
      <c r="J33" s="495"/>
      <c r="K33" s="495"/>
      <c r="L33" s="495"/>
      <c r="M33" s="495"/>
      <c r="N33" s="495"/>
      <c r="O33" s="495"/>
      <c r="P33" s="495"/>
      <c r="Q33" s="495"/>
      <c r="R33" s="495"/>
      <c r="S33" s="495"/>
      <c r="T33" s="495"/>
      <c r="U33" s="495"/>
      <c r="V33" s="495"/>
      <c r="W33" s="495"/>
      <c r="X33" s="495"/>
      <c r="Y33" s="513"/>
      <c r="Z33" s="513"/>
      <c r="AA33" s="513"/>
      <c r="AB33" s="513"/>
      <c r="AC33" s="513"/>
      <c r="AD33" s="513"/>
    </row>
    <row r="34" spans="1:30" s="512" customFormat="1" x14ac:dyDescent="0.35">
      <c r="A34" s="495"/>
      <c r="C34" s="509">
        <v>20</v>
      </c>
      <c r="D34" s="510" t="s">
        <v>201</v>
      </c>
      <c r="E34" s="550">
        <v>0</v>
      </c>
      <c r="F34" s="550">
        <v>0</v>
      </c>
      <c r="G34" s="550">
        <v>0</v>
      </c>
      <c r="H34" s="792">
        <f t="shared" si="0"/>
        <v>0</v>
      </c>
      <c r="I34" s="495"/>
      <c r="J34" s="495"/>
      <c r="K34" s="495"/>
      <c r="L34" s="495"/>
      <c r="M34" s="495"/>
      <c r="N34" s="495"/>
      <c r="O34" s="495"/>
      <c r="P34" s="495"/>
      <c r="Q34" s="495"/>
      <c r="R34" s="495"/>
      <c r="S34" s="495"/>
      <c r="T34" s="495"/>
      <c r="U34" s="495"/>
      <c r="V34" s="495"/>
      <c r="W34" s="495"/>
      <c r="X34" s="495"/>
      <c r="Y34" s="513"/>
      <c r="Z34" s="513"/>
      <c r="AA34" s="513"/>
      <c r="AB34" s="513"/>
      <c r="AC34" s="513"/>
      <c r="AD34" s="513"/>
    </row>
    <row r="35" spans="1:30" x14ac:dyDescent="0.35">
      <c r="C35" s="509">
        <v>21</v>
      </c>
      <c r="D35" s="510" t="s">
        <v>54</v>
      </c>
      <c r="E35" s="550">
        <v>0</v>
      </c>
      <c r="F35" s="550">
        <v>0</v>
      </c>
      <c r="G35" s="550">
        <v>0</v>
      </c>
      <c r="H35" s="792">
        <f t="shared" si="0"/>
        <v>0</v>
      </c>
      <c r="Y35" s="505"/>
      <c r="Z35" s="505"/>
      <c r="AA35" s="505"/>
      <c r="AB35" s="505"/>
      <c r="AC35" s="505"/>
      <c r="AD35" s="505"/>
    </row>
    <row r="36" spans="1:30" x14ac:dyDescent="0.35">
      <c r="C36" s="509">
        <v>22</v>
      </c>
      <c r="D36" s="510" t="s">
        <v>120</v>
      </c>
      <c r="E36" s="550">
        <v>0</v>
      </c>
      <c r="F36" s="550">
        <v>0</v>
      </c>
      <c r="G36" s="550">
        <v>0</v>
      </c>
      <c r="H36" s="792">
        <f t="shared" si="0"/>
        <v>0</v>
      </c>
    </row>
    <row r="37" spans="1:30" x14ac:dyDescent="0.35">
      <c r="C37" s="509">
        <v>23</v>
      </c>
      <c r="D37" s="510" t="s">
        <v>55</v>
      </c>
      <c r="E37" s="550">
        <v>0</v>
      </c>
      <c r="F37" s="550">
        <v>0</v>
      </c>
      <c r="G37" s="550">
        <v>0</v>
      </c>
      <c r="H37" s="792">
        <f t="shared" si="0"/>
        <v>0</v>
      </c>
    </row>
    <row r="38" spans="1:30" ht="28" x14ac:dyDescent="0.35">
      <c r="C38" s="509">
        <v>24</v>
      </c>
      <c r="D38" s="510" t="s">
        <v>112</v>
      </c>
      <c r="E38" s="550">
        <v>300000</v>
      </c>
      <c r="F38" s="550">
        <v>300000</v>
      </c>
      <c r="G38" s="550">
        <v>300000</v>
      </c>
      <c r="H38" s="792">
        <f t="shared" si="0"/>
        <v>7.5143261191035149E-2</v>
      </c>
    </row>
    <row r="39" spans="1:30" x14ac:dyDescent="0.35">
      <c r="C39" s="509">
        <v>25</v>
      </c>
      <c r="D39" s="510" t="s">
        <v>113</v>
      </c>
      <c r="E39" s="550">
        <v>0</v>
      </c>
      <c r="F39" s="550">
        <v>0</v>
      </c>
      <c r="G39" s="550">
        <v>0</v>
      </c>
      <c r="H39" s="792">
        <f t="shared" si="0"/>
        <v>0</v>
      </c>
    </row>
    <row r="40" spans="1:30" x14ac:dyDescent="0.35">
      <c r="C40" s="509">
        <v>26</v>
      </c>
      <c r="D40" s="510" t="s">
        <v>17</v>
      </c>
      <c r="E40" s="550">
        <v>0</v>
      </c>
      <c r="F40" s="550">
        <v>0</v>
      </c>
      <c r="G40" s="550">
        <v>0</v>
      </c>
      <c r="H40" s="792">
        <f t="shared" si="0"/>
        <v>0</v>
      </c>
    </row>
    <row r="41" spans="1:30" x14ac:dyDescent="0.35">
      <c r="C41" s="509">
        <v>27</v>
      </c>
      <c r="D41" s="510" t="s">
        <v>10</v>
      </c>
      <c r="E41" s="550">
        <v>0</v>
      </c>
      <c r="F41" s="550">
        <v>0</v>
      </c>
      <c r="G41" s="550">
        <v>0</v>
      </c>
      <c r="H41" s="792">
        <f t="shared" si="0"/>
        <v>0</v>
      </c>
    </row>
    <row r="42" spans="1:30" x14ac:dyDescent="0.35">
      <c r="C42" s="509">
        <v>28</v>
      </c>
      <c r="D42" s="510" t="s">
        <v>11</v>
      </c>
      <c r="E42" s="550">
        <v>0</v>
      </c>
      <c r="F42" s="550">
        <v>0</v>
      </c>
      <c r="G42" s="550">
        <v>0</v>
      </c>
      <c r="H42" s="792">
        <f t="shared" si="0"/>
        <v>0</v>
      </c>
    </row>
    <row r="43" spans="1:30" x14ac:dyDescent="0.35">
      <c r="C43" s="509">
        <v>29</v>
      </c>
      <c r="D43" s="510" t="s">
        <v>12</v>
      </c>
      <c r="E43" s="550">
        <v>0</v>
      </c>
      <c r="F43" s="550">
        <v>0</v>
      </c>
      <c r="G43" s="550">
        <v>0</v>
      </c>
      <c r="H43" s="792">
        <f t="shared" si="0"/>
        <v>0</v>
      </c>
    </row>
    <row r="44" spans="1:30" x14ac:dyDescent="0.35">
      <c r="C44" s="509">
        <v>30</v>
      </c>
      <c r="D44" s="510" t="s">
        <v>13</v>
      </c>
      <c r="E44" s="550">
        <v>0</v>
      </c>
      <c r="F44" s="550">
        <v>0</v>
      </c>
      <c r="G44" s="550">
        <v>0</v>
      </c>
      <c r="H44" s="792">
        <f t="shared" si="0"/>
        <v>0</v>
      </c>
    </row>
    <row r="45" spans="1:30" x14ac:dyDescent="0.35">
      <c r="C45" s="509">
        <v>31</v>
      </c>
      <c r="D45" s="510" t="s">
        <v>14</v>
      </c>
      <c r="E45" s="550">
        <v>0</v>
      </c>
      <c r="F45" s="550">
        <v>0</v>
      </c>
      <c r="G45" s="550">
        <v>0</v>
      </c>
      <c r="H45" s="792">
        <f t="shared" si="0"/>
        <v>0</v>
      </c>
    </row>
    <row r="46" spans="1:30" x14ac:dyDescent="0.35">
      <c r="C46" s="509">
        <v>32</v>
      </c>
      <c r="D46" s="510" t="s">
        <v>15</v>
      </c>
      <c r="E46" s="550">
        <v>0</v>
      </c>
      <c r="F46" s="550">
        <v>0</v>
      </c>
      <c r="G46" s="550">
        <v>0</v>
      </c>
      <c r="H46" s="792">
        <f t="shared" si="0"/>
        <v>0</v>
      </c>
    </row>
    <row r="47" spans="1:30" x14ac:dyDescent="0.35">
      <c r="C47" s="509">
        <v>33</v>
      </c>
      <c r="D47" s="510" t="s">
        <v>16</v>
      </c>
      <c r="E47" s="550">
        <v>0</v>
      </c>
      <c r="F47" s="550">
        <v>0</v>
      </c>
      <c r="G47" s="550">
        <v>0</v>
      </c>
      <c r="H47" s="792">
        <f t="shared" si="0"/>
        <v>0</v>
      </c>
    </row>
    <row r="48" spans="1:30" x14ac:dyDescent="0.35">
      <c r="C48" s="509">
        <v>34</v>
      </c>
      <c r="D48" s="510" t="s">
        <v>100</v>
      </c>
      <c r="E48" s="550">
        <v>0</v>
      </c>
      <c r="F48" s="550">
        <v>0</v>
      </c>
      <c r="G48" s="550">
        <v>0</v>
      </c>
      <c r="H48" s="792">
        <f t="shared" si="0"/>
        <v>0</v>
      </c>
    </row>
    <row r="49" spans="1:24" x14ac:dyDescent="0.35">
      <c r="C49" s="509">
        <v>35</v>
      </c>
      <c r="D49" s="510" t="s">
        <v>95</v>
      </c>
      <c r="E49" s="550">
        <v>55887.218999999997</v>
      </c>
      <c r="F49" s="550">
        <v>50013.1</v>
      </c>
      <c r="G49" s="550">
        <f>327375.554-G38</f>
        <v>27375.554000000004</v>
      </c>
      <c r="H49" s="792">
        <f t="shared" si="0"/>
        <v>1.3998492981858608E-2</v>
      </c>
    </row>
    <row r="50" spans="1:24" s="512" customFormat="1" x14ac:dyDescent="0.35">
      <c r="A50" s="495"/>
      <c r="C50" s="509">
        <v>36</v>
      </c>
      <c r="D50" s="520" t="s">
        <v>435</v>
      </c>
      <c r="E50" s="521">
        <f>SUM(E31:E49)</f>
        <v>803073.24800000002</v>
      </c>
      <c r="F50" s="521">
        <f t="shared" ref="F50:G50" si="2">SUM(F31:F49)</f>
        <v>766989.62099999993</v>
      </c>
      <c r="G50" s="521">
        <f t="shared" si="2"/>
        <v>621013.88500000001</v>
      </c>
      <c r="H50" s="792">
        <f t="shared" si="0"/>
        <v>0.20115180943332317</v>
      </c>
      <c r="I50" s="495"/>
      <c r="J50" s="495"/>
      <c r="K50" s="495"/>
      <c r="L50" s="495"/>
      <c r="M50" s="495"/>
      <c r="N50" s="495"/>
      <c r="O50" s="495"/>
      <c r="P50" s="495"/>
      <c r="Q50" s="495"/>
      <c r="R50" s="495"/>
      <c r="S50" s="495"/>
      <c r="T50" s="495"/>
      <c r="U50" s="495"/>
      <c r="V50" s="495"/>
      <c r="W50" s="495"/>
      <c r="X50" s="495"/>
    </row>
    <row r="51" spans="1:24" s="512" customFormat="1" ht="16.5" x14ac:dyDescent="0.35">
      <c r="A51" s="495"/>
      <c r="C51" s="509">
        <v>37</v>
      </c>
      <c r="D51" s="522" t="s">
        <v>24</v>
      </c>
      <c r="E51" s="523">
        <f>E29+E50</f>
        <v>3992373.9700000007</v>
      </c>
      <c r="F51" s="523">
        <f t="shared" ref="F51:G51" si="3">F29+F50</f>
        <v>3399329.2579999999</v>
      </c>
      <c r="G51" s="524">
        <f t="shared" si="3"/>
        <v>2890414.7529999996</v>
      </c>
      <c r="H51" s="792">
        <f t="shared" si="0"/>
        <v>1</v>
      </c>
      <c r="I51" s="495"/>
      <c r="J51" s="495"/>
      <c r="K51" s="495"/>
      <c r="L51" s="495"/>
      <c r="M51" s="495"/>
      <c r="N51" s="495"/>
      <c r="O51" s="495"/>
      <c r="P51" s="495"/>
      <c r="Q51" s="495"/>
      <c r="R51" s="495"/>
      <c r="S51" s="495"/>
      <c r="T51" s="495"/>
      <c r="U51" s="495"/>
      <c r="V51" s="495"/>
      <c r="W51" s="495"/>
      <c r="X51" s="495"/>
    </row>
    <row r="52" spans="1:24" s="495" customFormat="1" ht="15.5" x14ac:dyDescent="0.35">
      <c r="C52" s="525"/>
      <c r="D52" s="515" t="s">
        <v>163</v>
      </c>
      <c r="E52" s="526"/>
      <c r="F52" s="526"/>
      <c r="G52" s="527"/>
      <c r="H52" s="511"/>
    </row>
    <row r="53" spans="1:24" x14ac:dyDescent="0.35">
      <c r="C53" s="509">
        <v>1</v>
      </c>
      <c r="D53" s="510" t="s">
        <v>25</v>
      </c>
      <c r="E53" s="550">
        <v>0</v>
      </c>
      <c r="F53" s="550">
        <v>0</v>
      </c>
      <c r="G53" s="550">
        <v>0</v>
      </c>
      <c r="H53" s="792">
        <f>E53/$E$51</f>
        <v>0</v>
      </c>
    </row>
    <row r="54" spans="1:24" x14ac:dyDescent="0.35">
      <c r="C54" s="509">
        <v>2</v>
      </c>
      <c r="D54" s="510" t="s">
        <v>22</v>
      </c>
      <c r="E54" s="550">
        <f>728407.044+2220960.371</f>
        <v>2949367.415</v>
      </c>
      <c r="F54" s="550">
        <f>573913.866+1768890.235</f>
        <v>2342804.1010000003</v>
      </c>
      <c r="G54" s="550">
        <v>1836267.077</v>
      </c>
      <c r="H54" s="792">
        <f t="shared" ref="H54:H101" si="4">E54/$E$51</f>
        <v>0.73875028671224396</v>
      </c>
    </row>
    <row r="55" spans="1:24" x14ac:dyDescent="0.35">
      <c r="C55" s="509">
        <v>3</v>
      </c>
      <c r="D55" s="510" t="s">
        <v>26</v>
      </c>
      <c r="E55" s="550">
        <v>0</v>
      </c>
      <c r="F55" s="550">
        <v>0</v>
      </c>
      <c r="G55" s="550"/>
      <c r="H55" s="792">
        <f t="shared" si="4"/>
        <v>0</v>
      </c>
    </row>
    <row r="56" spans="1:24" ht="28" x14ac:dyDescent="0.35">
      <c r="C56" s="509">
        <v>4</v>
      </c>
      <c r="D56" s="528" t="s">
        <v>103</v>
      </c>
      <c r="E56" s="550">
        <v>57150.696000000004</v>
      </c>
      <c r="F56" s="550">
        <v>59269.116000000002</v>
      </c>
      <c r="G56" s="550">
        <v>56081.807999999997</v>
      </c>
      <c r="H56" s="792">
        <f t="shared" si="4"/>
        <v>1.431496558925816E-2</v>
      </c>
    </row>
    <row r="57" spans="1:24" ht="28" x14ac:dyDescent="0.35">
      <c r="C57" s="509">
        <v>5</v>
      </c>
      <c r="D57" s="510" t="s">
        <v>27</v>
      </c>
      <c r="E57" s="550">
        <v>0</v>
      </c>
      <c r="F57" s="550">
        <v>0</v>
      </c>
      <c r="G57" s="550">
        <v>0</v>
      </c>
      <c r="H57" s="792">
        <f t="shared" si="4"/>
        <v>0</v>
      </c>
    </row>
    <row r="58" spans="1:24" ht="28" x14ac:dyDescent="0.35">
      <c r="C58" s="509">
        <v>6</v>
      </c>
      <c r="D58" s="510" t="s">
        <v>182</v>
      </c>
      <c r="E58" s="550">
        <v>0</v>
      </c>
      <c r="F58" s="550">
        <v>0</v>
      </c>
      <c r="G58" s="550">
        <v>0</v>
      </c>
      <c r="H58" s="792">
        <f t="shared" si="4"/>
        <v>0</v>
      </c>
    </row>
    <row r="59" spans="1:24" ht="42" x14ac:dyDescent="0.35">
      <c r="C59" s="509">
        <v>7</v>
      </c>
      <c r="D59" s="510" t="s">
        <v>111</v>
      </c>
      <c r="E59" s="550">
        <v>42587.591999999997</v>
      </c>
      <c r="F59" s="550">
        <f>722061.207-573913.866</f>
        <v>148147.34100000001</v>
      </c>
      <c r="G59" s="550">
        <v>179606.09299999999</v>
      </c>
      <c r="H59" s="792">
        <f t="shared" si="4"/>
        <v>1.066723516384413E-2</v>
      </c>
    </row>
    <row r="60" spans="1:24" x14ac:dyDescent="0.35">
      <c r="C60" s="509">
        <v>8</v>
      </c>
      <c r="D60" s="510" t="s">
        <v>115</v>
      </c>
      <c r="E60" s="550">
        <v>0</v>
      </c>
      <c r="F60" s="550">
        <v>0</v>
      </c>
      <c r="G60" s="550">
        <v>0</v>
      </c>
      <c r="H60" s="792">
        <f t="shared" si="4"/>
        <v>0</v>
      </c>
    </row>
    <row r="61" spans="1:24" x14ac:dyDescent="0.35">
      <c r="C61" s="509">
        <v>9</v>
      </c>
      <c r="D61" s="510" t="s">
        <v>28</v>
      </c>
      <c r="E61" s="550">
        <v>0</v>
      </c>
      <c r="F61" s="550">
        <v>0</v>
      </c>
      <c r="G61" s="550">
        <v>0</v>
      </c>
      <c r="H61" s="792">
        <f t="shared" si="4"/>
        <v>0</v>
      </c>
    </row>
    <row r="62" spans="1:24" x14ac:dyDescent="0.35">
      <c r="C62" s="509">
        <v>10</v>
      </c>
      <c r="D62" s="510" t="s">
        <v>29</v>
      </c>
      <c r="E62" s="550">
        <v>0</v>
      </c>
      <c r="F62" s="550">
        <v>0</v>
      </c>
      <c r="G62" s="550">
        <v>0</v>
      </c>
      <c r="H62" s="792">
        <f t="shared" si="4"/>
        <v>0</v>
      </c>
    </row>
    <row r="63" spans="1:24" x14ac:dyDescent="0.35">
      <c r="C63" s="509">
        <v>11</v>
      </c>
      <c r="D63" s="529" t="s">
        <v>30</v>
      </c>
      <c r="E63" s="550">
        <v>15902.348</v>
      </c>
      <c r="F63" s="550">
        <v>11393.965</v>
      </c>
      <c r="G63" s="550">
        <v>19760.428</v>
      </c>
      <c r="H63" s="792">
        <f t="shared" si="4"/>
        <v>3.9831809643824517E-3</v>
      </c>
    </row>
    <row r="64" spans="1:24" ht="28" x14ac:dyDescent="0.35">
      <c r="C64" s="509">
        <v>12</v>
      </c>
      <c r="D64" s="510" t="s">
        <v>36</v>
      </c>
      <c r="E64" s="550">
        <v>0</v>
      </c>
      <c r="F64" s="550">
        <v>0</v>
      </c>
      <c r="G64" s="550">
        <v>0</v>
      </c>
      <c r="H64" s="792">
        <f t="shared" si="4"/>
        <v>0</v>
      </c>
    </row>
    <row r="65" spans="1:24" x14ac:dyDescent="0.35">
      <c r="C65" s="509">
        <v>13</v>
      </c>
      <c r="D65" s="529" t="s">
        <v>116</v>
      </c>
      <c r="E65" s="550">
        <v>0</v>
      </c>
      <c r="F65" s="550">
        <v>0</v>
      </c>
      <c r="G65" s="550">
        <v>0</v>
      </c>
      <c r="H65" s="792">
        <f t="shared" si="4"/>
        <v>0</v>
      </c>
    </row>
    <row r="66" spans="1:24" x14ac:dyDescent="0.35">
      <c r="C66" s="509">
        <v>14</v>
      </c>
      <c r="D66" s="529" t="s">
        <v>31</v>
      </c>
      <c r="E66" s="550">
        <v>0</v>
      </c>
      <c r="F66" s="550">
        <v>0</v>
      </c>
      <c r="G66" s="550">
        <v>0</v>
      </c>
      <c r="H66" s="792">
        <f t="shared" si="4"/>
        <v>0</v>
      </c>
    </row>
    <row r="67" spans="1:24" x14ac:dyDescent="0.35">
      <c r="C67" s="509">
        <v>15</v>
      </c>
      <c r="D67" s="529" t="s">
        <v>32</v>
      </c>
      <c r="E67" s="550">
        <v>0</v>
      </c>
      <c r="F67" s="550">
        <v>0</v>
      </c>
      <c r="G67" s="550">
        <v>0</v>
      </c>
      <c r="H67" s="792">
        <f t="shared" si="4"/>
        <v>0</v>
      </c>
    </row>
    <row r="68" spans="1:24" x14ac:dyDescent="0.35">
      <c r="C68" s="509">
        <v>16</v>
      </c>
      <c r="D68" s="510" t="s">
        <v>33</v>
      </c>
      <c r="E68" s="550">
        <v>0</v>
      </c>
      <c r="F68" s="550">
        <v>0</v>
      </c>
      <c r="G68" s="550">
        <v>0</v>
      </c>
      <c r="H68" s="792">
        <f t="shared" si="4"/>
        <v>0</v>
      </c>
    </row>
    <row r="69" spans="1:24" x14ac:dyDescent="0.35">
      <c r="C69" s="509">
        <v>17</v>
      </c>
      <c r="D69" s="510" t="s">
        <v>34</v>
      </c>
      <c r="E69" s="550">
        <v>0</v>
      </c>
      <c r="F69" s="550">
        <v>0</v>
      </c>
      <c r="G69" s="550">
        <v>0</v>
      </c>
      <c r="H69" s="792">
        <f t="shared" si="4"/>
        <v>0</v>
      </c>
    </row>
    <row r="70" spans="1:24" ht="28" x14ac:dyDescent="0.35">
      <c r="C70" s="509">
        <v>18</v>
      </c>
      <c r="D70" s="510" t="s">
        <v>35</v>
      </c>
      <c r="E70" s="550">
        <v>0</v>
      </c>
      <c r="F70" s="550">
        <v>0</v>
      </c>
      <c r="G70" s="550">
        <v>0</v>
      </c>
      <c r="H70" s="792">
        <f t="shared" si="4"/>
        <v>0</v>
      </c>
    </row>
    <row r="71" spans="1:24" x14ac:dyDescent="0.35">
      <c r="C71" s="509">
        <v>19</v>
      </c>
      <c r="D71" s="510" t="s">
        <v>118</v>
      </c>
      <c r="E71" s="550">
        <v>0</v>
      </c>
      <c r="F71" s="550">
        <v>0</v>
      </c>
      <c r="G71" s="550">
        <v>0</v>
      </c>
      <c r="H71" s="792">
        <f t="shared" si="4"/>
        <v>0</v>
      </c>
    </row>
    <row r="72" spans="1:24" x14ac:dyDescent="0.35">
      <c r="C72" s="509">
        <v>20</v>
      </c>
      <c r="D72" s="510" t="s">
        <v>37</v>
      </c>
      <c r="E72" s="550">
        <v>0</v>
      </c>
      <c r="F72" s="550">
        <v>0</v>
      </c>
      <c r="G72" s="550">
        <v>0</v>
      </c>
      <c r="H72" s="792">
        <f t="shared" si="4"/>
        <v>0</v>
      </c>
    </row>
    <row r="73" spans="1:24" x14ac:dyDescent="0.35">
      <c r="C73" s="509">
        <v>21</v>
      </c>
      <c r="D73" s="528" t="s">
        <v>97</v>
      </c>
      <c r="E73" s="550">
        <v>0</v>
      </c>
      <c r="F73" s="550">
        <v>0</v>
      </c>
      <c r="G73" s="550">
        <v>0</v>
      </c>
      <c r="H73" s="792">
        <f t="shared" si="4"/>
        <v>0</v>
      </c>
    </row>
    <row r="74" spans="1:24" s="512" customFormat="1" ht="42.75" customHeight="1" x14ac:dyDescent="0.35">
      <c r="A74" s="495"/>
      <c r="C74" s="519">
        <v>22</v>
      </c>
      <c r="D74" s="520" t="s">
        <v>130</v>
      </c>
      <c r="E74" s="530">
        <f>IF(E56=0,"please_insert_value_in_row_56_cur portion of long term loan",(SUM(E53:E73)))</f>
        <v>3065008.0510000004</v>
      </c>
      <c r="F74" s="530">
        <f t="shared" ref="F74:G74" si="5">IF(F56=0,"please_insert_value_in_row_56: curr port of loan",(SUM(F53:F73)))</f>
        <v>2561614.523</v>
      </c>
      <c r="G74" s="531">
        <f t="shared" si="5"/>
        <v>2091715.4060000002</v>
      </c>
      <c r="H74" s="792">
        <f t="shared" si="4"/>
        <v>0.76771566842972883</v>
      </c>
      <c r="I74" s="495"/>
      <c r="J74" s="495"/>
      <c r="K74" s="495"/>
      <c r="L74" s="495"/>
      <c r="M74" s="495"/>
      <c r="N74" s="495"/>
      <c r="O74" s="495"/>
      <c r="P74" s="495"/>
      <c r="Q74" s="495"/>
      <c r="R74" s="495"/>
      <c r="S74" s="495"/>
      <c r="T74" s="495"/>
      <c r="U74" s="495"/>
      <c r="V74" s="495"/>
      <c r="W74" s="495"/>
      <c r="X74" s="495"/>
    </row>
    <row r="75" spans="1:24" s="495" customFormat="1" x14ac:dyDescent="0.35">
      <c r="C75" s="514"/>
      <c r="D75" s="515" t="s">
        <v>164</v>
      </c>
      <c r="E75" s="516"/>
      <c r="F75" s="516"/>
      <c r="G75" s="517"/>
      <c r="H75" s="792">
        <f t="shared" si="4"/>
        <v>0</v>
      </c>
    </row>
    <row r="76" spans="1:24" x14ac:dyDescent="0.35">
      <c r="C76" s="509">
        <v>24</v>
      </c>
      <c r="D76" s="528" t="s">
        <v>38</v>
      </c>
      <c r="E76" s="550">
        <v>128649.68</v>
      </c>
      <c r="F76" s="550">
        <v>116554.796</v>
      </c>
      <c r="G76" s="550">
        <v>157875.20499999999</v>
      </c>
      <c r="H76" s="792">
        <f t="shared" si="4"/>
        <v>3.2223855021276969E-2</v>
      </c>
    </row>
    <row r="77" spans="1:24" x14ac:dyDescent="0.35">
      <c r="C77" s="509">
        <v>25</v>
      </c>
      <c r="D77" s="510" t="s">
        <v>39</v>
      </c>
      <c r="E77" s="550">
        <v>0</v>
      </c>
      <c r="F77" s="550">
        <v>0</v>
      </c>
      <c r="G77" s="550">
        <v>0</v>
      </c>
      <c r="H77" s="792">
        <f t="shared" si="4"/>
        <v>0</v>
      </c>
    </row>
    <row r="78" spans="1:24" ht="28" x14ac:dyDescent="0.35">
      <c r="C78" s="509">
        <v>26</v>
      </c>
      <c r="D78" s="510" t="s">
        <v>110</v>
      </c>
      <c r="E78" s="550">
        <v>0</v>
      </c>
      <c r="F78" s="550">
        <v>0</v>
      </c>
      <c r="G78" s="550">
        <v>0</v>
      </c>
      <c r="H78" s="792">
        <f t="shared" si="4"/>
        <v>0</v>
      </c>
    </row>
    <row r="79" spans="1:24" x14ac:dyDescent="0.35">
      <c r="C79" s="509">
        <v>27</v>
      </c>
      <c r="D79" s="510" t="s">
        <v>570</v>
      </c>
      <c r="E79" s="550">
        <v>0</v>
      </c>
      <c r="F79" s="550">
        <v>0</v>
      </c>
      <c r="G79" s="550">
        <v>0</v>
      </c>
      <c r="H79" s="792">
        <f t="shared" si="4"/>
        <v>0</v>
      </c>
    </row>
    <row r="80" spans="1:24" x14ac:dyDescent="0.35">
      <c r="C80" s="509">
        <v>28</v>
      </c>
      <c r="D80" s="510" t="s">
        <v>40</v>
      </c>
      <c r="E80" s="550">
        <v>0</v>
      </c>
      <c r="F80" s="550">
        <v>0</v>
      </c>
      <c r="G80" s="550">
        <v>0</v>
      </c>
      <c r="H80" s="792">
        <f t="shared" si="4"/>
        <v>0</v>
      </c>
    </row>
    <row r="81" spans="1:24" x14ac:dyDescent="0.35">
      <c r="C81" s="509">
        <v>29</v>
      </c>
      <c r="D81" s="510" t="s">
        <v>41</v>
      </c>
      <c r="E81" s="550">
        <v>0</v>
      </c>
      <c r="F81" s="550">
        <v>0</v>
      </c>
      <c r="G81" s="550">
        <v>0</v>
      </c>
      <c r="H81" s="792">
        <f t="shared" si="4"/>
        <v>0</v>
      </c>
    </row>
    <row r="82" spans="1:24" x14ac:dyDescent="0.35">
      <c r="C82" s="509">
        <v>30</v>
      </c>
      <c r="D82" s="510" t="s">
        <v>42</v>
      </c>
      <c r="E82" s="550">
        <v>0</v>
      </c>
      <c r="F82" s="550">
        <v>0</v>
      </c>
      <c r="G82" s="550">
        <v>0</v>
      </c>
      <c r="H82" s="792">
        <f t="shared" si="4"/>
        <v>0</v>
      </c>
    </row>
    <row r="83" spans="1:24" x14ac:dyDescent="0.35">
      <c r="C83" s="509">
        <v>31</v>
      </c>
      <c r="D83" s="510" t="s">
        <v>43</v>
      </c>
      <c r="E83" s="550">
        <v>0</v>
      </c>
      <c r="F83" s="550">
        <v>0</v>
      </c>
      <c r="G83" s="550">
        <v>0</v>
      </c>
      <c r="H83" s="792">
        <f t="shared" si="4"/>
        <v>0</v>
      </c>
    </row>
    <row r="84" spans="1:24" x14ac:dyDescent="0.35">
      <c r="C84" s="509">
        <v>32</v>
      </c>
      <c r="D84" s="528" t="s">
        <v>98</v>
      </c>
      <c r="E84" s="550">
        <v>0</v>
      </c>
      <c r="F84" s="550">
        <v>0</v>
      </c>
      <c r="G84" s="550">
        <v>0</v>
      </c>
      <c r="H84" s="792">
        <f t="shared" si="4"/>
        <v>0</v>
      </c>
    </row>
    <row r="85" spans="1:24" s="512" customFormat="1" ht="49.5" customHeight="1" x14ac:dyDescent="0.35">
      <c r="A85" s="495"/>
      <c r="C85" s="519">
        <v>33</v>
      </c>
      <c r="D85" s="520" t="s">
        <v>44</v>
      </c>
      <c r="E85" s="532">
        <f>IF(E76=0,"please_insert_value_in_row_76:long term loan",(SUM(E76:E84)))</f>
        <v>128649.68</v>
      </c>
      <c r="F85" s="532">
        <f t="shared" ref="F85:G85" si="6">IF(F76=0,"please_insert_value_in_row_76:long term loan",(SUM(F76:F84)))</f>
        <v>116554.796</v>
      </c>
      <c r="G85" s="533">
        <f t="shared" si="6"/>
        <v>157875.20499999999</v>
      </c>
      <c r="H85" s="792">
        <f t="shared" si="4"/>
        <v>3.2223855021276969E-2</v>
      </c>
      <c r="I85" s="495"/>
      <c r="J85" s="495"/>
      <c r="K85" s="495"/>
      <c r="L85" s="495"/>
      <c r="M85" s="495"/>
      <c r="N85" s="495"/>
      <c r="O85" s="495"/>
      <c r="P85" s="495"/>
      <c r="Q85" s="495"/>
      <c r="R85" s="495"/>
      <c r="S85" s="495"/>
      <c r="T85" s="495"/>
      <c r="U85" s="495"/>
      <c r="V85" s="495"/>
      <c r="W85" s="495"/>
      <c r="X85" s="495"/>
    </row>
    <row r="86" spans="1:24" s="512" customFormat="1" x14ac:dyDescent="0.35">
      <c r="A86" s="495"/>
      <c r="C86" s="519">
        <v>34</v>
      </c>
      <c r="D86" s="520" t="s">
        <v>178</v>
      </c>
      <c r="E86" s="521">
        <f>E74+E85</f>
        <v>3193657.7310000006</v>
      </c>
      <c r="F86" s="521">
        <f t="shared" ref="F86:G86" si="7">F74+F85</f>
        <v>2678169.3190000001</v>
      </c>
      <c r="G86" s="534">
        <f t="shared" si="7"/>
        <v>2249590.611</v>
      </c>
      <c r="H86" s="792">
        <f t="shared" si="4"/>
        <v>0.79993952345100583</v>
      </c>
      <c r="I86" s="495"/>
      <c r="J86" s="495"/>
      <c r="K86" s="495"/>
      <c r="L86" s="495"/>
      <c r="M86" s="495"/>
      <c r="N86" s="495"/>
      <c r="O86" s="495"/>
      <c r="P86" s="495"/>
      <c r="Q86" s="495"/>
      <c r="R86" s="495"/>
      <c r="S86" s="495"/>
      <c r="T86" s="495"/>
      <c r="U86" s="495"/>
      <c r="V86" s="495"/>
      <c r="W86" s="495"/>
      <c r="X86" s="495"/>
    </row>
    <row r="87" spans="1:24" s="495" customFormat="1" x14ac:dyDescent="0.35">
      <c r="C87" s="519"/>
      <c r="D87" s="535" t="s">
        <v>436</v>
      </c>
      <c r="E87" s="521"/>
      <c r="F87" s="521"/>
      <c r="G87" s="534"/>
      <c r="H87" s="792">
        <f t="shared" si="4"/>
        <v>0</v>
      </c>
    </row>
    <row r="88" spans="1:24" ht="28" x14ac:dyDescent="0.35">
      <c r="C88" s="509">
        <v>36</v>
      </c>
      <c r="D88" s="510" t="s">
        <v>109</v>
      </c>
      <c r="E88" s="550">
        <v>184000</v>
      </c>
      <c r="F88" s="550">
        <v>184000</v>
      </c>
      <c r="G88" s="550">
        <v>173200</v>
      </c>
      <c r="H88" s="792">
        <f t="shared" si="4"/>
        <v>4.6087866863834898E-2</v>
      </c>
    </row>
    <row r="89" spans="1:24" x14ac:dyDescent="0.35">
      <c r="C89" s="509">
        <v>37</v>
      </c>
      <c r="D89" s="510" t="s">
        <v>104</v>
      </c>
      <c r="E89" s="550">
        <v>0</v>
      </c>
      <c r="F89" s="550">
        <v>0</v>
      </c>
      <c r="G89" s="550">
        <v>0</v>
      </c>
      <c r="H89" s="792">
        <f t="shared" si="4"/>
        <v>0</v>
      </c>
    </row>
    <row r="90" spans="1:24" x14ac:dyDescent="0.35">
      <c r="C90" s="509">
        <v>38</v>
      </c>
      <c r="D90" s="510" t="s">
        <v>45</v>
      </c>
      <c r="E90" s="550">
        <v>614716.23899999994</v>
      </c>
      <c r="F90" s="550">
        <v>537159.93900000001</v>
      </c>
      <c r="G90" s="550">
        <v>467624.14199999999</v>
      </c>
      <c r="H90" s="792">
        <f t="shared" si="4"/>
        <v>0.1539726096851593</v>
      </c>
    </row>
    <row r="91" spans="1:24" ht="56" x14ac:dyDescent="0.35">
      <c r="C91" s="509">
        <v>39</v>
      </c>
      <c r="D91" s="510" t="s">
        <v>131</v>
      </c>
      <c r="E91" s="550">
        <v>0</v>
      </c>
      <c r="F91" s="550">
        <v>0</v>
      </c>
      <c r="G91" s="550">
        <v>0</v>
      </c>
      <c r="H91" s="792">
        <f t="shared" si="4"/>
        <v>0</v>
      </c>
    </row>
    <row r="92" spans="1:24" x14ac:dyDescent="0.35">
      <c r="C92" s="509">
        <v>40</v>
      </c>
      <c r="D92" s="510" t="s">
        <v>46</v>
      </c>
      <c r="E92" s="550">
        <v>0</v>
      </c>
      <c r="F92" s="550">
        <v>0</v>
      </c>
      <c r="G92" s="550">
        <v>0</v>
      </c>
      <c r="H92" s="792">
        <f t="shared" si="4"/>
        <v>0</v>
      </c>
    </row>
    <row r="93" spans="1:24" x14ac:dyDescent="0.35">
      <c r="C93" s="509">
        <v>41</v>
      </c>
      <c r="D93" s="510" t="s">
        <v>47</v>
      </c>
      <c r="E93" s="550">
        <v>0</v>
      </c>
      <c r="F93" s="550">
        <v>0</v>
      </c>
      <c r="G93" s="550">
        <v>0</v>
      </c>
      <c r="H93" s="792">
        <f t="shared" si="4"/>
        <v>0</v>
      </c>
    </row>
    <row r="94" spans="1:24" x14ac:dyDescent="0.35">
      <c r="C94" s="509">
        <v>42</v>
      </c>
      <c r="D94" s="510" t="s">
        <v>48</v>
      </c>
      <c r="E94" s="550">
        <v>0</v>
      </c>
      <c r="F94" s="550">
        <v>0</v>
      </c>
      <c r="G94" s="550">
        <v>0</v>
      </c>
      <c r="H94" s="792">
        <f t="shared" si="4"/>
        <v>0</v>
      </c>
    </row>
    <row r="95" spans="1:24" x14ac:dyDescent="0.35">
      <c r="C95" s="509">
        <v>43</v>
      </c>
      <c r="D95" s="510" t="s">
        <v>105</v>
      </c>
      <c r="E95" s="550">
        <v>0</v>
      </c>
      <c r="F95" s="550">
        <v>0</v>
      </c>
      <c r="G95" s="550">
        <v>0</v>
      </c>
      <c r="H95" s="792">
        <f t="shared" si="4"/>
        <v>0</v>
      </c>
    </row>
    <row r="96" spans="1:24" ht="28" x14ac:dyDescent="0.35">
      <c r="C96" s="509">
        <v>44</v>
      </c>
      <c r="D96" s="510" t="s">
        <v>106</v>
      </c>
      <c r="E96" s="550">
        <v>0</v>
      </c>
      <c r="F96" s="550">
        <v>0</v>
      </c>
      <c r="G96" s="550">
        <v>0</v>
      </c>
      <c r="H96" s="792">
        <f t="shared" si="4"/>
        <v>0</v>
      </c>
    </row>
    <row r="97" spans="1:24" x14ac:dyDescent="0.35">
      <c r="C97" s="509">
        <v>45</v>
      </c>
      <c r="D97" s="510" t="s">
        <v>165</v>
      </c>
      <c r="E97" s="550">
        <v>0</v>
      </c>
      <c r="F97" s="550">
        <v>0</v>
      </c>
      <c r="G97" s="550">
        <v>0</v>
      </c>
      <c r="H97" s="792">
        <f t="shared" si="4"/>
        <v>0</v>
      </c>
    </row>
    <row r="98" spans="1:24" x14ac:dyDescent="0.35">
      <c r="C98" s="509">
        <v>46</v>
      </c>
      <c r="D98" s="510" t="s">
        <v>611</v>
      </c>
      <c r="E98" s="550">
        <v>0</v>
      </c>
      <c r="F98" s="550">
        <v>0</v>
      </c>
      <c r="G98" s="550">
        <v>0</v>
      </c>
      <c r="H98" s="792">
        <f t="shared" si="4"/>
        <v>0</v>
      </c>
    </row>
    <row r="99" spans="1:24" s="512" customFormat="1" x14ac:dyDescent="0.35">
      <c r="A99" s="495"/>
      <c r="C99" s="519">
        <v>47</v>
      </c>
      <c r="D99" s="520" t="s">
        <v>49</v>
      </c>
      <c r="E99" s="521">
        <f>SUM(E88:E98)</f>
        <v>798716.23899999994</v>
      </c>
      <c r="F99" s="521">
        <f>SUM(F88:F98)</f>
        <v>721159.93900000001</v>
      </c>
      <c r="G99" s="534">
        <f>SUM(G88:G98)</f>
        <v>640824.14199999999</v>
      </c>
      <c r="H99" s="792">
        <f t="shared" si="4"/>
        <v>0.20006047654899417</v>
      </c>
      <c r="I99" s="495"/>
      <c r="J99" s="495"/>
      <c r="K99" s="495"/>
      <c r="L99" s="495"/>
      <c r="M99" s="495"/>
      <c r="N99" s="495"/>
      <c r="O99" s="495"/>
      <c r="P99" s="495"/>
      <c r="Q99" s="495"/>
      <c r="R99" s="495"/>
      <c r="S99" s="495"/>
      <c r="T99" s="495"/>
      <c r="U99" s="495"/>
      <c r="V99" s="495"/>
      <c r="W99" s="495"/>
      <c r="X99" s="495"/>
    </row>
    <row r="100" spans="1:24" x14ac:dyDescent="0.35">
      <c r="C100" s="509">
        <v>48</v>
      </c>
      <c r="D100" s="510" t="s">
        <v>8</v>
      </c>
      <c r="E100" s="219">
        <v>0</v>
      </c>
      <c r="F100" s="219">
        <v>0</v>
      </c>
      <c r="G100" s="220">
        <v>0</v>
      </c>
      <c r="H100" s="792">
        <f t="shared" si="4"/>
        <v>0</v>
      </c>
    </row>
    <row r="101" spans="1:24" s="512" customFormat="1" ht="15.5" x14ac:dyDescent="0.35">
      <c r="A101" s="495"/>
      <c r="C101" s="519">
        <v>49</v>
      </c>
      <c r="D101" s="536" t="s">
        <v>50</v>
      </c>
      <c r="E101" s="537">
        <f>E100+E99+E86</f>
        <v>3992373.9700000007</v>
      </c>
      <c r="F101" s="537">
        <f>F100+F99+F86</f>
        <v>3399329.2580000004</v>
      </c>
      <c r="G101" s="538">
        <f>G100+G99+G86</f>
        <v>2890414.753</v>
      </c>
      <c r="H101" s="792">
        <f t="shared" si="4"/>
        <v>1</v>
      </c>
      <c r="I101" s="495"/>
      <c r="J101" s="495"/>
      <c r="K101" s="495"/>
      <c r="L101" s="495"/>
      <c r="M101" s="495"/>
      <c r="N101" s="495"/>
      <c r="O101" s="495"/>
      <c r="P101" s="495"/>
      <c r="Q101" s="495"/>
      <c r="R101" s="495"/>
      <c r="S101" s="495"/>
      <c r="T101" s="495"/>
      <c r="U101" s="495"/>
      <c r="V101" s="495"/>
      <c r="W101" s="495"/>
      <c r="X101" s="495"/>
    </row>
    <row r="102" spans="1:24" ht="14.5" thickBot="1" x14ac:dyDescent="0.4">
      <c r="C102" s="539"/>
      <c r="D102" s="540"/>
      <c r="E102" s="541" t="b">
        <f>IF(E101=E51,TRUE)</f>
        <v>1</v>
      </c>
      <c r="F102" s="541" t="b">
        <f t="shared" ref="F102:G102" si="8">IF(F101=F51,TRUE)</f>
        <v>1</v>
      </c>
      <c r="G102" s="542" t="b">
        <f t="shared" si="8"/>
        <v>1</v>
      </c>
      <c r="H102" s="543"/>
    </row>
    <row r="103" spans="1:24" x14ac:dyDescent="0.35">
      <c r="D103" s="544" t="s">
        <v>612</v>
      </c>
      <c r="E103" s="545">
        <f>E51-E101</f>
        <v>0</v>
      </c>
      <c r="F103" s="545">
        <f t="shared" ref="F103:G103" si="9">F51-F101</f>
        <v>0</v>
      </c>
      <c r="G103" s="545">
        <f t="shared" si="9"/>
        <v>0</v>
      </c>
    </row>
    <row r="104" spans="1:24" s="546" customFormat="1" x14ac:dyDescent="0.35">
      <c r="D104" s="547"/>
      <c r="E104" s="548"/>
      <c r="F104" s="548"/>
      <c r="G104" s="548"/>
    </row>
    <row r="105" spans="1:24" s="546" customFormat="1" x14ac:dyDescent="0.35">
      <c r="D105" s="547"/>
      <c r="E105" s="548"/>
      <c r="F105" s="548"/>
      <c r="G105" s="548"/>
    </row>
    <row r="106" spans="1:24" s="546" customFormat="1" x14ac:dyDescent="0.35">
      <c r="D106" s="547"/>
      <c r="E106" s="548"/>
      <c r="F106" s="548"/>
      <c r="G106" s="548"/>
    </row>
    <row r="107" spans="1:24" s="546" customFormat="1" x14ac:dyDescent="0.35">
      <c r="D107" s="547"/>
      <c r="E107" s="548"/>
      <c r="F107" s="548"/>
      <c r="G107" s="548"/>
    </row>
    <row r="108" spans="1:24" s="546" customFormat="1" x14ac:dyDescent="0.35">
      <c r="D108" s="547"/>
      <c r="E108" s="548"/>
      <c r="F108" s="548"/>
      <c r="G108" s="548"/>
    </row>
    <row r="109" spans="1:24" s="546" customFormat="1" x14ac:dyDescent="0.35">
      <c r="D109" s="547"/>
      <c r="E109" s="548"/>
      <c r="F109" s="548"/>
      <c r="G109" s="548"/>
    </row>
    <row r="110" spans="1:24" s="546" customFormat="1" x14ac:dyDescent="0.35">
      <c r="D110" s="547"/>
      <c r="E110" s="548"/>
      <c r="F110" s="548"/>
      <c r="G110" s="548"/>
    </row>
    <row r="111" spans="1:24" s="546" customFormat="1" x14ac:dyDescent="0.35">
      <c r="D111" s="547"/>
      <c r="E111" s="548"/>
      <c r="F111" s="548"/>
      <c r="G111" s="548"/>
    </row>
    <row r="112" spans="1:24" s="546" customFormat="1" x14ac:dyDescent="0.35">
      <c r="D112" s="547"/>
      <c r="E112" s="548"/>
      <c r="F112" s="548"/>
      <c r="G112" s="548"/>
    </row>
    <row r="113" spans="4:7" s="546" customFormat="1" x14ac:dyDescent="0.35">
      <c r="D113" s="547"/>
      <c r="E113" s="548"/>
      <c r="F113" s="548"/>
      <c r="G113" s="548"/>
    </row>
    <row r="114" spans="4:7" s="546" customFormat="1" x14ac:dyDescent="0.35">
      <c r="D114" s="547"/>
      <c r="E114" s="548"/>
      <c r="F114" s="548"/>
      <c r="G114" s="548"/>
    </row>
    <row r="115" spans="4:7" s="546" customFormat="1" x14ac:dyDescent="0.35">
      <c r="D115" s="547"/>
      <c r="E115" s="548"/>
      <c r="F115" s="548"/>
      <c r="G115" s="548"/>
    </row>
    <row r="116" spans="4:7" s="546" customFormat="1" x14ac:dyDescent="0.35">
      <c r="D116" s="547"/>
      <c r="E116" s="548"/>
      <c r="F116" s="548"/>
      <c r="G116" s="548"/>
    </row>
    <row r="117" spans="4:7" s="546" customFormat="1" x14ac:dyDescent="0.35">
      <c r="D117" s="547"/>
      <c r="E117" s="548"/>
      <c r="F117" s="548"/>
      <c r="G117" s="548"/>
    </row>
    <row r="118" spans="4:7" s="546" customFormat="1" x14ac:dyDescent="0.35">
      <c r="D118" s="547"/>
      <c r="E118" s="548"/>
      <c r="F118" s="548"/>
      <c r="G118" s="548"/>
    </row>
    <row r="119" spans="4:7" s="546" customFormat="1" x14ac:dyDescent="0.35">
      <c r="D119" s="547"/>
      <c r="E119" s="548"/>
      <c r="F119" s="548"/>
      <c r="G119" s="548"/>
    </row>
    <row r="120" spans="4:7" s="546" customFormat="1" x14ac:dyDescent="0.35">
      <c r="D120" s="547"/>
      <c r="E120" s="548"/>
      <c r="F120" s="548"/>
      <c r="G120" s="548"/>
    </row>
    <row r="121" spans="4:7" s="546" customFormat="1" x14ac:dyDescent="0.35">
      <c r="D121" s="547"/>
      <c r="E121" s="548"/>
      <c r="F121" s="548"/>
      <c r="G121" s="548"/>
    </row>
    <row r="122" spans="4:7" s="546" customFormat="1" x14ac:dyDescent="0.35">
      <c r="D122" s="547"/>
      <c r="E122" s="548"/>
      <c r="F122" s="548"/>
      <c r="G122" s="548"/>
    </row>
    <row r="123" spans="4:7" s="546" customFormat="1" x14ac:dyDescent="0.35">
      <c r="D123" s="547"/>
      <c r="E123" s="548"/>
      <c r="F123" s="548"/>
      <c r="G123" s="548"/>
    </row>
    <row r="124" spans="4:7" s="546" customFormat="1" x14ac:dyDescent="0.35">
      <c r="D124" s="547"/>
      <c r="E124" s="548"/>
      <c r="F124" s="548"/>
      <c r="G124" s="548"/>
    </row>
    <row r="125" spans="4:7" s="546" customFormat="1" x14ac:dyDescent="0.35">
      <c r="D125" s="547"/>
      <c r="E125" s="548"/>
      <c r="F125" s="548"/>
      <c r="G125" s="548"/>
    </row>
    <row r="126" spans="4:7" s="546" customFormat="1" x14ac:dyDescent="0.35">
      <c r="D126" s="547"/>
      <c r="E126" s="548"/>
      <c r="F126" s="548"/>
      <c r="G126" s="548"/>
    </row>
    <row r="127" spans="4:7" s="546" customFormat="1" x14ac:dyDescent="0.35">
      <c r="D127" s="547"/>
      <c r="E127" s="548"/>
      <c r="F127" s="548"/>
      <c r="G127" s="548"/>
    </row>
    <row r="128" spans="4:7" s="546" customFormat="1" x14ac:dyDescent="0.35">
      <c r="D128" s="547"/>
      <c r="E128" s="548"/>
      <c r="F128" s="548"/>
      <c r="G128" s="548"/>
    </row>
    <row r="129" spans="4:7" s="546" customFormat="1" x14ac:dyDescent="0.35">
      <c r="D129" s="547"/>
      <c r="E129" s="548"/>
      <c r="F129" s="548"/>
      <c r="G129" s="548"/>
    </row>
    <row r="130" spans="4:7" s="546" customFormat="1" x14ac:dyDescent="0.35">
      <c r="D130" s="547"/>
      <c r="E130" s="548"/>
      <c r="F130" s="548"/>
      <c r="G130" s="548"/>
    </row>
    <row r="131" spans="4:7" s="546" customFormat="1" x14ac:dyDescent="0.35">
      <c r="D131" s="547"/>
      <c r="E131" s="548"/>
      <c r="F131" s="548"/>
      <c r="G131" s="548"/>
    </row>
    <row r="132" spans="4:7" s="546" customFormat="1" x14ac:dyDescent="0.35">
      <c r="D132" s="547"/>
      <c r="E132" s="548"/>
      <c r="F132" s="548"/>
      <c r="G132" s="548"/>
    </row>
    <row r="133" spans="4:7" s="546" customFormat="1" x14ac:dyDescent="0.35">
      <c r="D133" s="547"/>
      <c r="E133" s="548"/>
      <c r="F133" s="548"/>
      <c r="G133" s="548"/>
    </row>
    <row r="134" spans="4:7" s="546" customFormat="1" x14ac:dyDescent="0.35">
      <c r="D134" s="547"/>
      <c r="E134" s="548"/>
      <c r="F134" s="548"/>
      <c r="G134" s="548"/>
    </row>
    <row r="135" spans="4:7" s="546" customFormat="1" x14ac:dyDescent="0.35">
      <c r="D135" s="547"/>
      <c r="E135" s="548"/>
      <c r="F135" s="548"/>
      <c r="G135" s="548"/>
    </row>
    <row r="136" spans="4:7" s="546" customFormat="1" x14ac:dyDescent="0.35">
      <c r="D136" s="547"/>
      <c r="E136" s="548"/>
      <c r="F136" s="548"/>
      <c r="G136" s="548"/>
    </row>
    <row r="137" spans="4:7" s="546" customFormat="1" x14ac:dyDescent="0.35">
      <c r="D137" s="547"/>
      <c r="E137" s="548"/>
      <c r="F137" s="548"/>
      <c r="G137" s="548"/>
    </row>
    <row r="138" spans="4:7" s="546" customFormat="1" x14ac:dyDescent="0.35">
      <c r="D138" s="547"/>
      <c r="E138" s="548"/>
      <c r="F138" s="548"/>
      <c r="G138" s="548"/>
    </row>
    <row r="139" spans="4:7" s="546" customFormat="1" x14ac:dyDescent="0.35">
      <c r="D139" s="547"/>
      <c r="E139" s="548"/>
      <c r="F139" s="548"/>
      <c r="G139" s="548"/>
    </row>
    <row r="140" spans="4:7" s="546" customFormat="1" x14ac:dyDescent="0.35">
      <c r="D140" s="547"/>
      <c r="E140" s="548"/>
      <c r="F140" s="548"/>
      <c r="G140" s="548"/>
    </row>
    <row r="141" spans="4:7" s="546" customFormat="1" x14ac:dyDescent="0.35">
      <c r="D141" s="547"/>
      <c r="E141" s="548"/>
      <c r="F141" s="548"/>
      <c r="G141" s="548"/>
    </row>
    <row r="142" spans="4:7" s="546" customFormat="1" x14ac:dyDescent="0.35">
      <c r="D142" s="547"/>
      <c r="E142" s="548"/>
      <c r="F142" s="548"/>
      <c r="G142" s="548"/>
    </row>
    <row r="143" spans="4:7" s="546" customFormat="1" x14ac:dyDescent="0.35">
      <c r="D143" s="547"/>
      <c r="E143" s="548"/>
      <c r="F143" s="548"/>
      <c r="G143" s="548"/>
    </row>
    <row r="144" spans="4:7" s="546" customFormat="1" x14ac:dyDescent="0.35">
      <c r="D144" s="547"/>
      <c r="E144" s="548"/>
      <c r="F144" s="548"/>
      <c r="G144" s="548"/>
    </row>
    <row r="145" spans="4:7" s="546" customFormat="1" x14ac:dyDescent="0.35">
      <c r="D145" s="547"/>
      <c r="E145" s="548"/>
      <c r="F145" s="548"/>
      <c r="G145" s="548"/>
    </row>
    <row r="146" spans="4:7" s="546" customFormat="1" x14ac:dyDescent="0.35">
      <c r="D146" s="547"/>
      <c r="E146" s="548"/>
      <c r="F146" s="548"/>
      <c r="G146" s="548"/>
    </row>
    <row r="147" spans="4:7" s="546" customFormat="1" x14ac:dyDescent="0.35">
      <c r="D147" s="547"/>
      <c r="E147" s="548"/>
      <c r="F147" s="548"/>
      <c r="G147" s="548"/>
    </row>
    <row r="148" spans="4:7" s="546" customFormat="1" x14ac:dyDescent="0.35">
      <c r="D148" s="547"/>
      <c r="E148" s="548"/>
      <c r="F148" s="548"/>
      <c r="G148" s="548"/>
    </row>
    <row r="149" spans="4:7" s="546" customFormat="1" x14ac:dyDescent="0.35">
      <c r="D149" s="547"/>
      <c r="E149" s="548"/>
      <c r="F149" s="548"/>
      <c r="G149" s="548"/>
    </row>
    <row r="150" spans="4:7" s="546" customFormat="1" x14ac:dyDescent="0.35">
      <c r="D150" s="547"/>
      <c r="E150" s="548"/>
      <c r="F150" s="548"/>
      <c r="G150" s="548"/>
    </row>
    <row r="151" spans="4:7" s="546" customFormat="1" x14ac:dyDescent="0.35">
      <c r="D151" s="547"/>
      <c r="E151" s="548"/>
      <c r="F151" s="548"/>
      <c r="G151" s="548"/>
    </row>
    <row r="152" spans="4:7" s="546" customFormat="1" x14ac:dyDescent="0.35">
      <c r="D152" s="547"/>
      <c r="E152" s="548"/>
      <c r="F152" s="548"/>
      <c r="G152" s="548"/>
    </row>
    <row r="153" spans="4:7" s="546" customFormat="1" x14ac:dyDescent="0.35">
      <c r="D153" s="547"/>
      <c r="E153" s="548"/>
      <c r="F153" s="548"/>
      <c r="G153" s="548"/>
    </row>
    <row r="154" spans="4:7" s="546" customFormat="1" x14ac:dyDescent="0.35">
      <c r="D154" s="547"/>
      <c r="E154" s="548"/>
      <c r="F154" s="548"/>
      <c r="G154" s="548"/>
    </row>
    <row r="155" spans="4:7" s="546" customFormat="1" x14ac:dyDescent="0.35">
      <c r="D155" s="547"/>
      <c r="E155" s="548"/>
      <c r="F155" s="548"/>
      <c r="G155" s="548"/>
    </row>
    <row r="156" spans="4:7" s="546" customFormat="1" x14ac:dyDescent="0.35">
      <c r="D156" s="547"/>
      <c r="E156" s="548"/>
      <c r="F156" s="548"/>
      <c r="G156" s="548"/>
    </row>
    <row r="157" spans="4:7" s="546" customFormat="1" x14ac:dyDescent="0.35">
      <c r="D157" s="547"/>
      <c r="E157" s="548"/>
      <c r="F157" s="548"/>
      <c r="G157" s="548"/>
    </row>
    <row r="158" spans="4:7" s="546" customFormat="1" x14ac:dyDescent="0.35">
      <c r="D158" s="547"/>
      <c r="E158" s="548"/>
      <c r="F158" s="548"/>
      <c r="G158" s="548"/>
    </row>
    <row r="159" spans="4:7" s="546" customFormat="1" x14ac:dyDescent="0.35">
      <c r="D159" s="547"/>
      <c r="E159" s="548"/>
      <c r="F159" s="548"/>
      <c r="G159" s="548"/>
    </row>
    <row r="160" spans="4:7" s="546" customFormat="1" x14ac:dyDescent="0.35">
      <c r="D160" s="547"/>
      <c r="E160" s="548"/>
      <c r="F160" s="548"/>
      <c r="G160" s="548"/>
    </row>
    <row r="161" spans="4:7" s="546" customFormat="1" x14ac:dyDescent="0.35">
      <c r="D161" s="547"/>
      <c r="E161" s="548"/>
      <c r="F161" s="548"/>
      <c r="G161" s="548"/>
    </row>
    <row r="162" spans="4:7" s="546" customFormat="1" x14ac:dyDescent="0.35">
      <c r="D162" s="547"/>
      <c r="E162" s="548"/>
      <c r="F162" s="548"/>
      <c r="G162" s="548"/>
    </row>
    <row r="163" spans="4:7" s="546" customFormat="1" x14ac:dyDescent="0.35">
      <c r="D163" s="547"/>
      <c r="E163" s="548"/>
      <c r="F163" s="548"/>
      <c r="G163" s="548"/>
    </row>
    <row r="164" spans="4:7" s="546" customFormat="1" x14ac:dyDescent="0.35">
      <c r="D164" s="547"/>
      <c r="E164" s="548"/>
      <c r="F164" s="548"/>
      <c r="G164" s="548"/>
    </row>
    <row r="165" spans="4:7" s="546" customFormat="1" x14ac:dyDescent="0.35">
      <c r="D165" s="547"/>
      <c r="E165" s="548"/>
      <c r="F165" s="548"/>
      <c r="G165" s="548"/>
    </row>
    <row r="166" spans="4:7" s="546" customFormat="1" x14ac:dyDescent="0.35">
      <c r="D166" s="547"/>
      <c r="E166" s="548"/>
      <c r="F166" s="548"/>
      <c r="G166" s="548"/>
    </row>
    <row r="167" spans="4:7" s="546" customFormat="1" x14ac:dyDescent="0.35">
      <c r="D167" s="547"/>
      <c r="E167" s="548"/>
      <c r="F167" s="548"/>
      <c r="G167" s="548"/>
    </row>
    <row r="168" spans="4:7" s="546" customFormat="1" x14ac:dyDescent="0.35">
      <c r="D168" s="547"/>
      <c r="E168" s="548"/>
      <c r="F168" s="548"/>
      <c r="G168" s="548"/>
    </row>
    <row r="169" spans="4:7" s="546" customFormat="1" x14ac:dyDescent="0.35">
      <c r="D169" s="547"/>
      <c r="E169" s="548"/>
      <c r="F169" s="548"/>
      <c r="G169" s="548"/>
    </row>
    <row r="170" spans="4:7" s="546" customFormat="1" x14ac:dyDescent="0.35">
      <c r="D170" s="547"/>
      <c r="E170" s="548"/>
      <c r="F170" s="548"/>
      <c r="G170" s="548"/>
    </row>
    <row r="171" spans="4:7" s="546" customFormat="1" x14ac:dyDescent="0.35">
      <c r="D171" s="547"/>
      <c r="E171" s="548"/>
      <c r="F171" s="548"/>
      <c r="G171" s="548"/>
    </row>
    <row r="172" spans="4:7" s="546" customFormat="1" x14ac:dyDescent="0.35">
      <c r="D172" s="547"/>
      <c r="E172" s="548"/>
      <c r="F172" s="548"/>
      <c r="G172" s="548"/>
    </row>
    <row r="173" spans="4:7" s="546" customFormat="1" x14ac:dyDescent="0.35">
      <c r="D173" s="547"/>
      <c r="E173" s="548"/>
      <c r="F173" s="548"/>
      <c r="G173" s="548"/>
    </row>
    <row r="174" spans="4:7" s="546" customFormat="1" x14ac:dyDescent="0.35">
      <c r="D174" s="547"/>
      <c r="E174" s="548"/>
      <c r="F174" s="548"/>
      <c r="G174" s="548"/>
    </row>
    <row r="175" spans="4:7" s="546" customFormat="1" x14ac:dyDescent="0.35">
      <c r="D175" s="547"/>
      <c r="E175" s="548"/>
      <c r="F175" s="548"/>
      <c r="G175" s="548"/>
    </row>
  </sheetData>
  <sheetProtection password="C527" sheet="1" objects="1" scenarios="1" selectLockedCells="1"/>
  <mergeCells count="12">
    <mergeCell ref="C13:D13"/>
    <mergeCell ref="C12:G12"/>
    <mergeCell ref="C9:D9"/>
    <mergeCell ref="C11:D11"/>
    <mergeCell ref="C10:D10"/>
    <mergeCell ref="C8:D8"/>
    <mergeCell ref="C4:G4"/>
    <mergeCell ref="C6:D6"/>
    <mergeCell ref="C7:D7"/>
    <mergeCell ref="E6:G6"/>
    <mergeCell ref="E7:G7"/>
    <mergeCell ref="C5:G5"/>
  </mergeCells>
  <conditionalFormatting sqref="E74">
    <cfRule type="containsText" dxfId="59" priority="1" operator="containsText" text="please_insert_value_in_row_56_cur portion of long term loan">
      <formula>NOT(ISERROR(SEARCH("please_insert_value_in_row_56_cur portion of long term loan",E74)))</formula>
    </cfRule>
  </conditionalFormatting>
  <conditionalFormatting sqref="E74:G74">
    <cfRule type="containsText" dxfId="58" priority="4" operator="containsText" text="please_insert_value_in_row_56: curr port of loan">
      <formula>NOT(ISERROR(SEARCH("please_insert_value_in_row_56: curr port of loan",E74)))</formula>
    </cfRule>
    <cfRule type="containsText" dxfId="57" priority="5" operator="containsText" text="IF(F38=0,&quot;please_insert_value_in_row_56">
      <formula>NOT(ISERROR(SEARCH("IF(F38=0,""please_insert_value_in_row_56",E74)))</formula>
    </cfRule>
  </conditionalFormatting>
  <conditionalFormatting sqref="E85:G85">
    <cfRule type="containsText" dxfId="56" priority="3" operator="containsText" text="please_insert_value_in_row_76:long term loan">
      <formula>NOT(ISERROR(SEARCH("please_insert_value_in_row_76:long term loan",E85)))</formula>
    </cfRule>
  </conditionalFormatting>
  <conditionalFormatting sqref="E102:G102">
    <cfRule type="containsText" dxfId="55" priority="2" operator="containsText" text="FALSE">
      <formula>NOT(ISERROR(SEARCH("FALSE",E102)))</formula>
    </cfRule>
  </conditionalFormatting>
  <pageMargins left="0.36458333333333331" right="0.25" top="0.36160714285714285" bottom="0.75" header="0.3" footer="0.3"/>
  <pageSetup paperSize="9" scale="90" orientation="portrait" r:id="rId1"/>
  <rowBreaks count="1" manualBreakCount="1">
    <brk id="86"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rgb="FF00B050"/>
  </sheetPr>
  <dimension ref="A1:WY79"/>
  <sheetViews>
    <sheetView showGridLines="0" tabSelected="1" topLeftCell="A43" zoomScaleNormal="100" zoomScaleSheetLayoutView="100" zoomScalePageLayoutView="85" workbookViewId="0">
      <selection activeCell="E19" sqref="E19"/>
    </sheetView>
  </sheetViews>
  <sheetFormatPr defaultColWidth="0.26953125" defaultRowHeight="15" x14ac:dyDescent="0.3"/>
  <cols>
    <col min="1" max="1" width="1.453125" style="12" customWidth="1"/>
    <col min="2" max="2" width="0.81640625" style="12" customWidth="1"/>
    <col min="3" max="3" width="9.26953125" style="11" bestFit="1" customWidth="1"/>
    <col min="4" max="4" width="34.1796875" style="45" customWidth="1"/>
    <col min="5" max="5" width="28" style="24" customWidth="1"/>
    <col min="6" max="6" width="25.453125" style="24" customWidth="1"/>
    <col min="7" max="7" width="23" style="24" customWidth="1"/>
    <col min="8" max="8" width="16.1796875" style="11" customWidth="1"/>
    <col min="9" max="10" width="16.1796875" style="473" customWidth="1"/>
    <col min="11" max="623" width="0.26953125" style="473"/>
    <col min="624" max="16384" width="0.26953125" style="11"/>
  </cols>
  <sheetData>
    <row r="1" spans="1:623" ht="15.5" thickBot="1" x14ac:dyDescent="0.35">
      <c r="C1" s="232"/>
      <c r="D1" s="233"/>
      <c r="E1" s="234"/>
      <c r="F1" s="234"/>
      <c r="G1" s="234"/>
    </row>
    <row r="2" spans="1:623" ht="24" customHeight="1" thickBot="1" x14ac:dyDescent="0.35">
      <c r="A2" s="11"/>
      <c r="B2" s="11"/>
      <c r="C2" s="926" t="str">
        <f>'2. Top Page'!D9</f>
        <v>Outpace Spinning Mills Ltd</v>
      </c>
      <c r="D2" s="927"/>
      <c r="E2" s="927"/>
      <c r="F2" s="927"/>
      <c r="G2" s="928"/>
    </row>
    <row r="3" spans="1:623" ht="15.5" thickBot="1" x14ac:dyDescent="0.35">
      <c r="A3" s="11"/>
      <c r="B3" s="11"/>
      <c r="C3" s="929" t="s">
        <v>89</v>
      </c>
      <c r="D3" s="930"/>
      <c r="E3" s="930"/>
      <c r="F3" s="930"/>
      <c r="G3" s="931"/>
    </row>
    <row r="4" spans="1:623" x14ac:dyDescent="0.3">
      <c r="A4" s="11"/>
      <c r="B4" s="11"/>
      <c r="C4" s="932" t="s">
        <v>83</v>
      </c>
      <c r="D4" s="933"/>
      <c r="E4" s="934" t="str">
        <f>'2. Top Page'!D18</f>
        <v>Md. Matiur Rahman, SRM</v>
      </c>
      <c r="F4" s="934"/>
      <c r="G4" s="935"/>
    </row>
    <row r="5" spans="1:623" x14ac:dyDescent="0.3">
      <c r="A5" s="11"/>
      <c r="B5" s="11"/>
      <c r="C5" s="924" t="s">
        <v>84</v>
      </c>
      <c r="D5" s="925"/>
      <c r="E5" s="936" t="str">
        <f>'2. Top Page'!D19</f>
        <v>Farhana Afrin, SM</v>
      </c>
      <c r="F5" s="936"/>
      <c r="G5" s="937"/>
    </row>
    <row r="6" spans="1:623" x14ac:dyDescent="0.3">
      <c r="A6" s="11"/>
      <c r="B6" s="11"/>
      <c r="C6" s="924" t="s">
        <v>129</v>
      </c>
      <c r="D6" s="925"/>
      <c r="E6" s="235" t="str">
        <f>'3. Input-BS '!E8</f>
        <v>Deawn Nazrul Islam &amp; Co</v>
      </c>
      <c r="F6" s="235" t="str">
        <f>'3. Input-BS '!F8</f>
        <v>Deawn Nazrul Islam &amp; Co</v>
      </c>
      <c r="G6" s="236" t="str">
        <f>'3. Input-BS '!G8</f>
        <v>Rahman Mustafiz Haw &amp; Co.</v>
      </c>
    </row>
    <row r="7" spans="1:623" x14ac:dyDescent="0.3">
      <c r="A7" s="11"/>
      <c r="B7" s="11"/>
      <c r="C7" s="941" t="s">
        <v>86</v>
      </c>
      <c r="D7" s="942"/>
      <c r="E7" s="237">
        <f>'3. Input-BS '!E9</f>
        <v>12</v>
      </c>
      <c r="F7" s="237">
        <f>'3. Input-BS '!F9</f>
        <v>12</v>
      </c>
      <c r="G7" s="238">
        <f>'3. Input-BS '!G9</f>
        <v>12</v>
      </c>
    </row>
    <row r="8" spans="1:623" x14ac:dyDescent="0.3">
      <c r="A8" s="11"/>
      <c r="B8" s="11"/>
      <c r="C8" s="924" t="s">
        <v>87</v>
      </c>
      <c r="D8" s="925"/>
      <c r="E8" s="235" t="s">
        <v>88</v>
      </c>
      <c r="F8" s="239" t="s">
        <v>88</v>
      </c>
      <c r="G8" s="236" t="s">
        <v>88</v>
      </c>
    </row>
    <row r="9" spans="1:623" ht="15.5" thickBot="1" x14ac:dyDescent="0.35">
      <c r="A9" s="11"/>
      <c r="B9" s="11"/>
      <c r="C9" s="939" t="s">
        <v>202</v>
      </c>
      <c r="D9" s="940"/>
      <c r="E9" s="240">
        <f>'3. Input-BS '!E11</f>
        <v>2025</v>
      </c>
      <c r="F9" s="240">
        <f>'3. Input-BS '!F11</f>
        <v>2024</v>
      </c>
      <c r="G9" s="241">
        <f>'3. Input-BS '!G11</f>
        <v>2023</v>
      </c>
    </row>
    <row r="10" spans="1:623" s="221" customFormat="1" ht="15.5" thickBot="1" x14ac:dyDescent="0.35">
      <c r="C10" s="943"/>
      <c r="D10" s="944"/>
      <c r="E10" s="944"/>
      <c r="F10" s="944"/>
      <c r="G10" s="945"/>
      <c r="H10" s="221" t="s">
        <v>601</v>
      </c>
      <c r="I10" s="473"/>
      <c r="J10" s="473"/>
      <c r="K10" s="473"/>
      <c r="L10" s="473"/>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3"/>
      <c r="BE10" s="473"/>
      <c r="BF10" s="473"/>
      <c r="BG10" s="473"/>
      <c r="BH10" s="473"/>
      <c r="BI10" s="473"/>
      <c r="BJ10" s="473"/>
      <c r="BK10" s="473"/>
      <c r="BL10" s="473"/>
      <c r="BM10" s="473"/>
      <c r="BN10" s="473"/>
      <c r="BO10" s="473"/>
      <c r="BP10" s="473"/>
      <c r="BQ10" s="473"/>
      <c r="BR10" s="473"/>
      <c r="BS10" s="473"/>
      <c r="BT10" s="473"/>
      <c r="BU10" s="473"/>
      <c r="BV10" s="473"/>
      <c r="BW10" s="473"/>
      <c r="BX10" s="473"/>
      <c r="BY10" s="473"/>
      <c r="BZ10" s="473"/>
      <c r="CA10" s="473"/>
      <c r="CB10" s="473"/>
      <c r="CC10" s="473"/>
      <c r="CD10" s="473"/>
      <c r="CE10" s="473"/>
      <c r="CF10" s="473"/>
      <c r="CG10" s="473"/>
      <c r="CH10" s="473"/>
      <c r="CI10" s="473"/>
      <c r="CJ10" s="473"/>
      <c r="CK10" s="473"/>
      <c r="CL10" s="473"/>
      <c r="CM10" s="473"/>
      <c r="CN10" s="473"/>
      <c r="CO10" s="473"/>
      <c r="CP10" s="473"/>
      <c r="CQ10" s="473"/>
      <c r="CR10" s="473"/>
      <c r="CS10" s="473"/>
      <c r="CT10" s="473"/>
      <c r="CU10" s="473"/>
      <c r="CV10" s="473"/>
      <c r="CW10" s="473"/>
      <c r="CX10" s="473"/>
      <c r="CY10" s="473"/>
      <c r="CZ10" s="473"/>
      <c r="DA10" s="473"/>
      <c r="DB10" s="473"/>
      <c r="DC10" s="473"/>
      <c r="DD10" s="473"/>
      <c r="DE10" s="473"/>
      <c r="DF10" s="473"/>
      <c r="DG10" s="473"/>
      <c r="DH10" s="473"/>
      <c r="DI10" s="473"/>
      <c r="DJ10" s="473"/>
      <c r="DK10" s="473"/>
      <c r="DL10" s="473"/>
      <c r="DM10" s="473"/>
      <c r="DN10" s="473"/>
      <c r="DO10" s="473"/>
      <c r="DP10" s="473"/>
      <c r="DQ10" s="473"/>
      <c r="DR10" s="473"/>
      <c r="DS10" s="473"/>
      <c r="DT10" s="473"/>
      <c r="DU10" s="473"/>
      <c r="DV10" s="473"/>
      <c r="DW10" s="473"/>
      <c r="DX10" s="473"/>
      <c r="DY10" s="473"/>
      <c r="DZ10" s="473"/>
      <c r="EA10" s="473"/>
      <c r="EB10" s="473"/>
      <c r="EC10" s="473"/>
      <c r="ED10" s="473"/>
      <c r="EE10" s="473"/>
      <c r="EF10" s="473"/>
      <c r="EG10" s="473"/>
      <c r="EH10" s="473"/>
      <c r="EI10" s="473"/>
      <c r="EJ10" s="473"/>
      <c r="EK10" s="473"/>
      <c r="EL10" s="473"/>
      <c r="EM10" s="473"/>
      <c r="EN10" s="473"/>
      <c r="EO10" s="473"/>
      <c r="EP10" s="473"/>
      <c r="EQ10" s="473"/>
      <c r="ER10" s="473"/>
      <c r="ES10" s="473"/>
      <c r="ET10" s="473"/>
      <c r="EU10" s="473"/>
      <c r="EV10" s="473"/>
      <c r="EW10" s="473"/>
      <c r="EX10" s="473"/>
      <c r="EY10" s="473"/>
      <c r="EZ10" s="473"/>
      <c r="FA10" s="473"/>
      <c r="FB10" s="473"/>
      <c r="FC10" s="473"/>
      <c r="FD10" s="473"/>
      <c r="FE10" s="473"/>
      <c r="FF10" s="473"/>
      <c r="FG10" s="473"/>
      <c r="FH10" s="473"/>
      <c r="FI10" s="473"/>
      <c r="FJ10" s="473"/>
      <c r="FK10" s="473"/>
      <c r="FL10" s="473"/>
      <c r="FM10" s="473"/>
      <c r="FN10" s="473"/>
      <c r="FO10" s="473"/>
      <c r="FP10" s="473"/>
      <c r="FQ10" s="473"/>
      <c r="FR10" s="473"/>
      <c r="FS10" s="473"/>
      <c r="FT10" s="473"/>
      <c r="FU10" s="473"/>
      <c r="FV10" s="473"/>
      <c r="FW10" s="473"/>
      <c r="FX10" s="473"/>
      <c r="FY10" s="473"/>
      <c r="FZ10" s="473"/>
      <c r="GA10" s="473"/>
      <c r="GB10" s="473"/>
      <c r="GC10" s="473"/>
      <c r="GD10" s="473"/>
      <c r="GE10" s="473"/>
      <c r="GF10" s="473"/>
      <c r="GG10" s="473"/>
      <c r="GH10" s="473"/>
      <c r="GI10" s="473"/>
      <c r="GJ10" s="473"/>
      <c r="GK10" s="473"/>
      <c r="GL10" s="473"/>
      <c r="GM10" s="473"/>
      <c r="GN10" s="473"/>
      <c r="GO10" s="473"/>
      <c r="GP10" s="473"/>
      <c r="GQ10" s="473"/>
      <c r="GR10" s="473"/>
      <c r="GS10" s="473"/>
      <c r="GT10" s="473"/>
      <c r="GU10" s="473"/>
      <c r="GV10" s="473"/>
      <c r="GW10" s="473"/>
      <c r="GX10" s="473"/>
      <c r="GY10" s="473"/>
      <c r="GZ10" s="473"/>
      <c r="HA10" s="473"/>
      <c r="HB10" s="473"/>
      <c r="HC10" s="473"/>
      <c r="HD10" s="473"/>
      <c r="HE10" s="473"/>
      <c r="HF10" s="473"/>
      <c r="HG10" s="473"/>
      <c r="HH10" s="473"/>
      <c r="HI10" s="473"/>
      <c r="HJ10" s="473"/>
      <c r="HK10" s="473"/>
      <c r="HL10" s="473"/>
      <c r="HM10" s="473"/>
      <c r="HN10" s="473"/>
      <c r="HO10" s="473"/>
      <c r="HP10" s="473"/>
      <c r="HQ10" s="473"/>
      <c r="HR10" s="473"/>
      <c r="HS10" s="473"/>
      <c r="HT10" s="473"/>
      <c r="HU10" s="473"/>
      <c r="HV10" s="473"/>
      <c r="HW10" s="473"/>
      <c r="HX10" s="473"/>
      <c r="HY10" s="473"/>
      <c r="HZ10" s="473"/>
      <c r="IA10" s="473"/>
      <c r="IB10" s="473"/>
      <c r="IC10" s="473"/>
      <c r="ID10" s="473"/>
      <c r="IE10" s="473"/>
      <c r="IF10" s="473"/>
      <c r="IG10" s="473"/>
      <c r="IH10" s="473"/>
      <c r="II10" s="473"/>
      <c r="IJ10" s="473"/>
      <c r="IK10" s="473"/>
      <c r="IL10" s="473"/>
      <c r="IM10" s="473"/>
      <c r="IN10" s="473"/>
      <c r="IO10" s="473"/>
      <c r="IP10" s="473"/>
      <c r="IQ10" s="473"/>
      <c r="IR10" s="473"/>
      <c r="IS10" s="473"/>
      <c r="IT10" s="473"/>
      <c r="IU10" s="473"/>
      <c r="IV10" s="473"/>
      <c r="IW10" s="473"/>
      <c r="IX10" s="473"/>
      <c r="IY10" s="473"/>
      <c r="IZ10" s="473"/>
      <c r="JA10" s="473"/>
      <c r="JB10" s="473"/>
      <c r="JC10" s="473"/>
      <c r="JD10" s="473"/>
      <c r="JE10" s="473"/>
      <c r="JF10" s="473"/>
      <c r="JG10" s="473"/>
      <c r="JH10" s="473"/>
      <c r="JI10" s="473"/>
      <c r="JJ10" s="473"/>
      <c r="JK10" s="473"/>
      <c r="JL10" s="473"/>
      <c r="JM10" s="473"/>
      <c r="JN10" s="473"/>
      <c r="JO10" s="473"/>
      <c r="JP10" s="473"/>
      <c r="JQ10" s="473"/>
      <c r="JR10" s="473"/>
      <c r="JS10" s="473"/>
      <c r="JT10" s="473"/>
      <c r="JU10" s="473"/>
      <c r="JV10" s="473"/>
      <c r="JW10" s="473"/>
      <c r="JX10" s="473"/>
      <c r="JY10" s="473"/>
      <c r="JZ10" s="473"/>
      <c r="KA10" s="473"/>
      <c r="KB10" s="473"/>
      <c r="KC10" s="473"/>
      <c r="KD10" s="473"/>
      <c r="KE10" s="473"/>
      <c r="KF10" s="473"/>
      <c r="KG10" s="473"/>
      <c r="KH10" s="473"/>
      <c r="KI10" s="473"/>
      <c r="KJ10" s="473"/>
      <c r="KK10" s="473"/>
      <c r="KL10" s="473"/>
      <c r="KM10" s="473"/>
      <c r="KN10" s="473"/>
      <c r="KO10" s="473"/>
      <c r="KP10" s="473"/>
      <c r="KQ10" s="473"/>
      <c r="KR10" s="473"/>
      <c r="KS10" s="473"/>
      <c r="KT10" s="473"/>
      <c r="KU10" s="473"/>
      <c r="KV10" s="473"/>
      <c r="KW10" s="473"/>
      <c r="KX10" s="473"/>
      <c r="KY10" s="473"/>
      <c r="KZ10" s="473"/>
      <c r="LA10" s="473"/>
      <c r="LB10" s="473"/>
      <c r="LC10" s="473"/>
      <c r="LD10" s="473"/>
      <c r="LE10" s="473"/>
      <c r="LF10" s="473"/>
      <c r="LG10" s="473"/>
      <c r="LH10" s="473"/>
      <c r="LI10" s="473"/>
      <c r="LJ10" s="473"/>
      <c r="LK10" s="473"/>
      <c r="LL10" s="473"/>
      <c r="LM10" s="473"/>
      <c r="LN10" s="473"/>
      <c r="LO10" s="473"/>
      <c r="LP10" s="473"/>
      <c r="LQ10" s="473"/>
      <c r="LR10" s="473"/>
      <c r="LS10" s="473"/>
      <c r="LT10" s="473"/>
      <c r="LU10" s="473"/>
      <c r="LV10" s="473"/>
      <c r="LW10" s="473"/>
      <c r="LX10" s="473"/>
      <c r="LY10" s="473"/>
      <c r="LZ10" s="473"/>
      <c r="MA10" s="473"/>
      <c r="MB10" s="473"/>
      <c r="MC10" s="473"/>
      <c r="MD10" s="473"/>
      <c r="ME10" s="473"/>
      <c r="MF10" s="473"/>
      <c r="MG10" s="473"/>
      <c r="MH10" s="473"/>
      <c r="MI10" s="473"/>
      <c r="MJ10" s="473"/>
      <c r="MK10" s="473"/>
      <c r="ML10" s="473"/>
      <c r="MM10" s="473"/>
      <c r="MN10" s="473"/>
      <c r="MO10" s="473"/>
      <c r="MP10" s="473"/>
      <c r="MQ10" s="473"/>
      <c r="MR10" s="473"/>
      <c r="MS10" s="473"/>
      <c r="MT10" s="473"/>
      <c r="MU10" s="473"/>
      <c r="MV10" s="473"/>
      <c r="MW10" s="473"/>
      <c r="MX10" s="473"/>
      <c r="MY10" s="473"/>
      <c r="MZ10" s="473"/>
      <c r="NA10" s="473"/>
      <c r="NB10" s="473"/>
      <c r="NC10" s="473"/>
      <c r="ND10" s="473"/>
      <c r="NE10" s="473"/>
      <c r="NF10" s="473"/>
      <c r="NG10" s="473"/>
      <c r="NH10" s="473"/>
      <c r="NI10" s="473"/>
      <c r="NJ10" s="473"/>
      <c r="NK10" s="473"/>
      <c r="NL10" s="473"/>
      <c r="NM10" s="473"/>
      <c r="NN10" s="473"/>
      <c r="NO10" s="473"/>
      <c r="NP10" s="473"/>
      <c r="NQ10" s="473"/>
      <c r="NR10" s="473"/>
      <c r="NS10" s="473"/>
      <c r="NT10" s="473"/>
      <c r="NU10" s="473"/>
      <c r="NV10" s="473"/>
      <c r="NW10" s="473"/>
      <c r="NX10" s="473"/>
      <c r="NY10" s="473"/>
      <c r="NZ10" s="473"/>
      <c r="OA10" s="473"/>
      <c r="OB10" s="473"/>
      <c r="OC10" s="473"/>
      <c r="OD10" s="473"/>
      <c r="OE10" s="473"/>
      <c r="OF10" s="473"/>
      <c r="OG10" s="473"/>
      <c r="OH10" s="473"/>
      <c r="OI10" s="473"/>
      <c r="OJ10" s="473"/>
      <c r="OK10" s="473"/>
      <c r="OL10" s="473"/>
      <c r="OM10" s="473"/>
      <c r="ON10" s="473"/>
      <c r="OO10" s="473"/>
      <c r="OP10" s="473"/>
      <c r="OQ10" s="473"/>
      <c r="OR10" s="473"/>
      <c r="OS10" s="473"/>
      <c r="OT10" s="473"/>
      <c r="OU10" s="473"/>
      <c r="OV10" s="473"/>
      <c r="OW10" s="473"/>
      <c r="OX10" s="473"/>
      <c r="OY10" s="473"/>
      <c r="OZ10" s="473"/>
      <c r="PA10" s="473"/>
      <c r="PB10" s="473"/>
      <c r="PC10" s="473"/>
      <c r="PD10" s="473"/>
      <c r="PE10" s="473"/>
      <c r="PF10" s="473"/>
      <c r="PG10" s="473"/>
      <c r="PH10" s="473"/>
      <c r="PI10" s="473"/>
      <c r="PJ10" s="473"/>
      <c r="PK10" s="473"/>
      <c r="PL10" s="473"/>
      <c r="PM10" s="473"/>
      <c r="PN10" s="473"/>
      <c r="PO10" s="473"/>
      <c r="PP10" s="473"/>
      <c r="PQ10" s="473"/>
      <c r="PR10" s="473"/>
      <c r="PS10" s="473"/>
      <c r="PT10" s="473"/>
      <c r="PU10" s="473"/>
      <c r="PV10" s="473"/>
      <c r="PW10" s="473"/>
      <c r="PX10" s="473"/>
      <c r="PY10" s="473"/>
      <c r="PZ10" s="473"/>
      <c r="QA10" s="473"/>
      <c r="QB10" s="473"/>
      <c r="QC10" s="473"/>
      <c r="QD10" s="473"/>
      <c r="QE10" s="473"/>
      <c r="QF10" s="473"/>
      <c r="QG10" s="473"/>
      <c r="QH10" s="473"/>
      <c r="QI10" s="473"/>
      <c r="QJ10" s="473"/>
      <c r="QK10" s="473"/>
      <c r="QL10" s="473"/>
      <c r="QM10" s="473"/>
      <c r="QN10" s="473"/>
      <c r="QO10" s="473"/>
      <c r="QP10" s="473"/>
      <c r="QQ10" s="473"/>
      <c r="QR10" s="473"/>
      <c r="QS10" s="473"/>
      <c r="QT10" s="473"/>
      <c r="QU10" s="473"/>
      <c r="QV10" s="473"/>
      <c r="QW10" s="473"/>
      <c r="QX10" s="473"/>
      <c r="QY10" s="473"/>
      <c r="QZ10" s="473"/>
      <c r="RA10" s="473"/>
      <c r="RB10" s="473"/>
      <c r="RC10" s="473"/>
      <c r="RD10" s="473"/>
      <c r="RE10" s="473"/>
      <c r="RF10" s="473"/>
      <c r="RG10" s="473"/>
      <c r="RH10" s="473"/>
      <c r="RI10" s="473"/>
      <c r="RJ10" s="473"/>
      <c r="RK10" s="473"/>
      <c r="RL10" s="473"/>
      <c r="RM10" s="473"/>
      <c r="RN10" s="473"/>
      <c r="RO10" s="473"/>
      <c r="RP10" s="473"/>
      <c r="RQ10" s="473"/>
      <c r="RR10" s="473"/>
      <c r="RS10" s="473"/>
      <c r="RT10" s="473"/>
      <c r="RU10" s="473"/>
      <c r="RV10" s="473"/>
      <c r="RW10" s="473"/>
      <c r="RX10" s="473"/>
      <c r="RY10" s="473"/>
      <c r="RZ10" s="473"/>
      <c r="SA10" s="473"/>
      <c r="SB10" s="473"/>
      <c r="SC10" s="473"/>
      <c r="SD10" s="473"/>
      <c r="SE10" s="473"/>
      <c r="SF10" s="473"/>
      <c r="SG10" s="473"/>
      <c r="SH10" s="473"/>
      <c r="SI10" s="473"/>
      <c r="SJ10" s="473"/>
      <c r="SK10" s="473"/>
      <c r="SL10" s="473"/>
      <c r="SM10" s="473"/>
      <c r="SN10" s="473"/>
      <c r="SO10" s="473"/>
      <c r="SP10" s="473"/>
      <c r="SQ10" s="473"/>
      <c r="SR10" s="473"/>
      <c r="SS10" s="473"/>
      <c r="ST10" s="473"/>
      <c r="SU10" s="473"/>
      <c r="SV10" s="473"/>
      <c r="SW10" s="473"/>
      <c r="SX10" s="473"/>
      <c r="SY10" s="473"/>
      <c r="SZ10" s="473"/>
      <c r="TA10" s="473"/>
      <c r="TB10" s="473"/>
      <c r="TC10" s="473"/>
      <c r="TD10" s="473"/>
      <c r="TE10" s="473"/>
      <c r="TF10" s="473"/>
      <c r="TG10" s="473"/>
      <c r="TH10" s="473"/>
      <c r="TI10" s="473"/>
      <c r="TJ10" s="473"/>
      <c r="TK10" s="473"/>
      <c r="TL10" s="473"/>
      <c r="TM10" s="473"/>
      <c r="TN10" s="473"/>
      <c r="TO10" s="473"/>
      <c r="TP10" s="473"/>
      <c r="TQ10" s="473"/>
      <c r="TR10" s="473"/>
      <c r="TS10" s="473"/>
      <c r="TT10" s="473"/>
      <c r="TU10" s="473"/>
      <c r="TV10" s="473"/>
      <c r="TW10" s="473"/>
      <c r="TX10" s="473"/>
      <c r="TY10" s="473"/>
      <c r="TZ10" s="473"/>
      <c r="UA10" s="473"/>
      <c r="UB10" s="473"/>
      <c r="UC10" s="473"/>
      <c r="UD10" s="473"/>
      <c r="UE10" s="473"/>
      <c r="UF10" s="473"/>
      <c r="UG10" s="473"/>
      <c r="UH10" s="473"/>
      <c r="UI10" s="473"/>
      <c r="UJ10" s="473"/>
      <c r="UK10" s="473"/>
      <c r="UL10" s="473"/>
      <c r="UM10" s="473"/>
      <c r="UN10" s="473"/>
      <c r="UO10" s="473"/>
      <c r="UP10" s="473"/>
      <c r="UQ10" s="473"/>
      <c r="UR10" s="473"/>
      <c r="US10" s="473"/>
      <c r="UT10" s="473"/>
      <c r="UU10" s="473"/>
      <c r="UV10" s="473"/>
      <c r="UW10" s="473"/>
      <c r="UX10" s="473"/>
      <c r="UY10" s="473"/>
      <c r="UZ10" s="473"/>
      <c r="VA10" s="473"/>
      <c r="VB10" s="473"/>
      <c r="VC10" s="473"/>
      <c r="VD10" s="473"/>
      <c r="VE10" s="473"/>
      <c r="VF10" s="473"/>
      <c r="VG10" s="473"/>
      <c r="VH10" s="473"/>
      <c r="VI10" s="473"/>
      <c r="VJ10" s="473"/>
      <c r="VK10" s="473"/>
      <c r="VL10" s="473"/>
      <c r="VM10" s="473"/>
      <c r="VN10" s="473"/>
      <c r="VO10" s="473"/>
      <c r="VP10" s="473"/>
      <c r="VQ10" s="473"/>
      <c r="VR10" s="473"/>
      <c r="VS10" s="473"/>
      <c r="VT10" s="473"/>
      <c r="VU10" s="473"/>
      <c r="VV10" s="473"/>
      <c r="VW10" s="473"/>
      <c r="VX10" s="473"/>
      <c r="VY10" s="473"/>
      <c r="VZ10" s="473"/>
      <c r="WA10" s="473"/>
      <c r="WB10" s="473"/>
      <c r="WC10" s="473"/>
      <c r="WD10" s="473"/>
      <c r="WE10" s="473"/>
      <c r="WF10" s="473"/>
      <c r="WG10" s="473"/>
      <c r="WH10" s="473"/>
      <c r="WI10" s="473"/>
      <c r="WJ10" s="473"/>
      <c r="WK10" s="473"/>
      <c r="WL10" s="473"/>
      <c r="WM10" s="473"/>
      <c r="WN10" s="473"/>
      <c r="WO10" s="473"/>
      <c r="WP10" s="473"/>
      <c r="WQ10" s="473"/>
      <c r="WR10" s="473"/>
      <c r="WS10" s="473"/>
      <c r="WT10" s="473"/>
      <c r="WU10" s="473"/>
      <c r="WV10" s="473"/>
      <c r="WW10" s="473"/>
      <c r="WX10" s="473"/>
      <c r="WY10" s="473"/>
    </row>
    <row r="11" spans="1:623" x14ac:dyDescent="0.3">
      <c r="A11" s="11"/>
      <c r="B11" s="11"/>
      <c r="C11" s="229">
        <v>1</v>
      </c>
      <c r="D11" s="230" t="s">
        <v>166</v>
      </c>
      <c r="E11" s="878">
        <v>1412760.5589999999</v>
      </c>
      <c r="F11" s="231">
        <v>1736066.436</v>
      </c>
      <c r="G11" s="231">
        <v>1396131.3219999999</v>
      </c>
      <c r="H11" s="421">
        <f>E11/$E$11</f>
        <v>1</v>
      </c>
    </row>
    <row r="12" spans="1:623" x14ac:dyDescent="0.3">
      <c r="A12" s="11"/>
      <c r="B12" s="11"/>
      <c r="C12" s="222">
        <v>2</v>
      </c>
      <c r="D12" s="223" t="s">
        <v>3</v>
      </c>
      <c r="E12" s="226">
        <v>0</v>
      </c>
      <c r="F12" s="225">
        <v>0</v>
      </c>
      <c r="G12" s="225">
        <v>0</v>
      </c>
      <c r="H12" s="421">
        <f t="shared" ref="H12:H47" si="0">E12/$E$11</f>
        <v>0</v>
      </c>
    </row>
    <row r="13" spans="1:623" x14ac:dyDescent="0.3">
      <c r="A13" s="11"/>
      <c r="B13" s="11"/>
      <c r="C13" s="322">
        <v>3</v>
      </c>
      <c r="D13" s="323" t="s">
        <v>132</v>
      </c>
      <c r="E13" s="324">
        <f>E11-E12</f>
        <v>1412760.5589999999</v>
      </c>
      <c r="F13" s="324">
        <f t="shared" ref="F13:G13" si="1">IFERROR(F11-F12,"recheck")</f>
        <v>1736066.436</v>
      </c>
      <c r="G13" s="325">
        <f t="shared" si="1"/>
        <v>1396131.3219999999</v>
      </c>
      <c r="H13" s="798">
        <f t="shared" si="0"/>
        <v>1</v>
      </c>
    </row>
    <row r="14" spans="1:623" x14ac:dyDescent="0.3">
      <c r="A14" s="11"/>
      <c r="B14" s="11"/>
      <c r="C14" s="222">
        <v>4</v>
      </c>
      <c r="D14" s="223" t="s">
        <v>133</v>
      </c>
      <c r="E14" s="224">
        <f>1207915.521-E19</f>
        <v>1187045.483</v>
      </c>
      <c r="F14" s="224">
        <f>1493014.199-F19</f>
        <v>1473623.882</v>
      </c>
      <c r="G14" s="224">
        <f>1157634.474-G19</f>
        <v>1144305.49</v>
      </c>
      <c r="H14" s="421">
        <f t="shared" si="0"/>
        <v>0.84023118810751007</v>
      </c>
    </row>
    <row r="15" spans="1:623" x14ac:dyDescent="0.3">
      <c r="A15" s="11"/>
      <c r="B15" s="11"/>
      <c r="C15" s="322">
        <v>5</v>
      </c>
      <c r="D15" s="323" t="s">
        <v>122</v>
      </c>
      <c r="E15" s="324">
        <f>E13-E14</f>
        <v>225715.07599999988</v>
      </c>
      <c r="F15" s="324">
        <f t="shared" ref="F15:G15" si="2">F13-F14</f>
        <v>262442.554</v>
      </c>
      <c r="G15" s="325">
        <f t="shared" si="2"/>
        <v>251825.83199999994</v>
      </c>
      <c r="H15" s="798">
        <f t="shared" si="0"/>
        <v>0.15976881189248993</v>
      </c>
    </row>
    <row r="16" spans="1:623" x14ac:dyDescent="0.3">
      <c r="A16" s="11"/>
      <c r="B16" s="11"/>
      <c r="C16" s="222">
        <v>6</v>
      </c>
      <c r="D16" s="223" t="s">
        <v>134</v>
      </c>
      <c r="E16" s="226">
        <v>0</v>
      </c>
      <c r="F16" s="225">
        <v>0</v>
      </c>
      <c r="G16" s="225">
        <v>0</v>
      </c>
      <c r="H16" s="421">
        <f t="shared" si="0"/>
        <v>0</v>
      </c>
    </row>
    <row r="17" spans="1:8" ht="30" x14ac:dyDescent="0.3">
      <c r="A17" s="11"/>
      <c r="B17" s="11"/>
      <c r="C17" s="222">
        <v>7</v>
      </c>
      <c r="D17" s="223" t="s">
        <v>9</v>
      </c>
      <c r="E17" s="224">
        <v>3381.1750000000002</v>
      </c>
      <c r="F17" s="224">
        <v>4765.7700000000004</v>
      </c>
      <c r="G17" s="224">
        <v>34597.824000000001</v>
      </c>
      <c r="H17" s="421">
        <f t="shared" si="0"/>
        <v>2.3933107266197401E-3</v>
      </c>
    </row>
    <row r="18" spans="1:8" x14ac:dyDescent="0.3">
      <c r="A18" s="11"/>
      <c r="B18" s="11"/>
      <c r="C18" s="222">
        <v>8</v>
      </c>
      <c r="D18" s="223" t="s">
        <v>4</v>
      </c>
      <c r="E18" s="224">
        <v>29692.632000000001</v>
      </c>
      <c r="F18" s="224">
        <v>41358.161</v>
      </c>
      <c r="G18" s="224">
        <v>4194.973</v>
      </c>
      <c r="H18" s="421">
        <f t="shared" si="0"/>
        <v>2.1017455371926196E-2</v>
      </c>
    </row>
    <row r="19" spans="1:8" x14ac:dyDescent="0.3">
      <c r="A19" s="11"/>
      <c r="B19" s="11"/>
      <c r="C19" s="222">
        <v>9</v>
      </c>
      <c r="D19" s="223" t="s">
        <v>135</v>
      </c>
      <c r="E19" s="226">
        <v>20870.038</v>
      </c>
      <c r="F19" s="226">
        <v>19390.316999999999</v>
      </c>
      <c r="G19" s="226">
        <v>13328.984</v>
      </c>
      <c r="H19" s="421">
        <f t="shared" si="0"/>
        <v>1.4772523105240512E-2</v>
      </c>
    </row>
    <row r="20" spans="1:8" x14ac:dyDescent="0.3">
      <c r="A20" s="11"/>
      <c r="B20" s="11"/>
      <c r="C20" s="222">
        <v>10</v>
      </c>
      <c r="D20" s="223" t="s">
        <v>2</v>
      </c>
      <c r="E20" s="224">
        <v>0</v>
      </c>
      <c r="F20" s="224">
        <v>0</v>
      </c>
      <c r="G20" s="227">
        <v>0</v>
      </c>
      <c r="H20" s="421">
        <f t="shared" si="0"/>
        <v>0</v>
      </c>
    </row>
    <row r="21" spans="1:8" x14ac:dyDescent="0.3">
      <c r="A21" s="11"/>
      <c r="B21" s="11"/>
      <c r="C21" s="322">
        <v>11</v>
      </c>
      <c r="D21" s="323" t="s">
        <v>167</v>
      </c>
      <c r="E21" s="324">
        <f>SUM(E16:E20)</f>
        <v>53943.845000000001</v>
      </c>
      <c r="F21" s="324">
        <f>SUM(F16:F20)</f>
        <v>65514.247999999992</v>
      </c>
      <c r="G21" s="325">
        <f>SUM(G16:G20)</f>
        <v>52121.781000000003</v>
      </c>
      <c r="H21" s="798">
        <f t="shared" si="0"/>
        <v>3.8183289203786448E-2</v>
      </c>
    </row>
    <row r="22" spans="1:8" x14ac:dyDescent="0.3">
      <c r="A22" s="11"/>
      <c r="B22" s="11"/>
      <c r="C22" s="222">
        <v>12</v>
      </c>
      <c r="D22" s="223" t="s">
        <v>5</v>
      </c>
      <c r="E22" s="226">
        <v>0</v>
      </c>
      <c r="F22" s="226">
        <v>0</v>
      </c>
      <c r="G22" s="226">
        <v>0</v>
      </c>
      <c r="H22" s="421">
        <f t="shared" si="0"/>
        <v>0</v>
      </c>
    </row>
    <row r="23" spans="1:8" x14ac:dyDescent="0.3">
      <c r="A23" s="11"/>
      <c r="B23" s="11"/>
      <c r="C23" s="322">
        <v>13</v>
      </c>
      <c r="D23" s="323" t="s">
        <v>123</v>
      </c>
      <c r="E23" s="324">
        <f>E15+E22-E21</f>
        <v>171771.23099999988</v>
      </c>
      <c r="F23" s="324">
        <f>F15-F21+F22</f>
        <v>196928.30600000001</v>
      </c>
      <c r="G23" s="325">
        <f>G15-G21+G22</f>
        <v>199704.05099999992</v>
      </c>
      <c r="H23" s="798">
        <f t="shared" si="0"/>
        <v>0.12158552268870347</v>
      </c>
    </row>
    <row r="24" spans="1:8" x14ac:dyDescent="0.3">
      <c r="A24" s="11"/>
      <c r="B24" s="11"/>
      <c r="C24" s="222">
        <v>14</v>
      </c>
      <c r="D24" s="223" t="s">
        <v>169</v>
      </c>
      <c r="E24" s="226">
        <v>0</v>
      </c>
      <c r="F24" s="226">
        <v>0</v>
      </c>
      <c r="G24" s="226">
        <v>0</v>
      </c>
      <c r="H24" s="421">
        <f t="shared" si="0"/>
        <v>0</v>
      </c>
    </row>
    <row r="25" spans="1:8" x14ac:dyDescent="0.3">
      <c r="A25" s="11"/>
      <c r="B25" s="11"/>
      <c r="C25" s="222">
        <v>15</v>
      </c>
      <c r="D25" s="223" t="s">
        <v>168</v>
      </c>
      <c r="E25" s="226">
        <v>0</v>
      </c>
      <c r="F25" s="226">
        <v>0</v>
      </c>
      <c r="G25" s="226">
        <v>0</v>
      </c>
      <c r="H25" s="421">
        <f t="shared" si="0"/>
        <v>0</v>
      </c>
    </row>
    <row r="26" spans="1:8" x14ac:dyDescent="0.3">
      <c r="A26" s="11"/>
      <c r="B26" s="11"/>
      <c r="C26" s="222">
        <v>16</v>
      </c>
      <c r="D26" s="223" t="s">
        <v>136</v>
      </c>
      <c r="E26" s="226">
        <v>0</v>
      </c>
      <c r="F26" s="226">
        <v>0</v>
      </c>
      <c r="G26" s="226">
        <v>0</v>
      </c>
      <c r="H26" s="421">
        <f t="shared" si="0"/>
        <v>0</v>
      </c>
    </row>
    <row r="27" spans="1:8" x14ac:dyDescent="0.3">
      <c r="A27" s="11"/>
      <c r="B27" s="11"/>
      <c r="C27" s="222">
        <v>17</v>
      </c>
      <c r="D27" s="223" t="s">
        <v>107</v>
      </c>
      <c r="E27" s="226">
        <v>0</v>
      </c>
      <c r="F27" s="226">
        <v>0</v>
      </c>
      <c r="G27" s="226">
        <v>0</v>
      </c>
      <c r="H27" s="421">
        <f t="shared" si="0"/>
        <v>0</v>
      </c>
    </row>
    <row r="28" spans="1:8" x14ac:dyDescent="0.3">
      <c r="A28" s="11"/>
      <c r="B28" s="11"/>
      <c r="C28" s="222">
        <v>18</v>
      </c>
      <c r="D28" s="223" t="s">
        <v>170</v>
      </c>
      <c r="E28" s="226">
        <v>0</v>
      </c>
      <c r="F28" s="226">
        <v>0</v>
      </c>
      <c r="G28" s="226">
        <v>0</v>
      </c>
      <c r="H28" s="421">
        <f t="shared" si="0"/>
        <v>0</v>
      </c>
    </row>
    <row r="29" spans="1:8" x14ac:dyDescent="0.3">
      <c r="A29" s="11"/>
      <c r="B29" s="11"/>
      <c r="C29" s="222">
        <v>19</v>
      </c>
      <c r="D29" s="223" t="s">
        <v>171</v>
      </c>
      <c r="E29" s="226">
        <v>0</v>
      </c>
      <c r="F29" s="226">
        <v>0</v>
      </c>
      <c r="G29" s="226">
        <v>0</v>
      </c>
      <c r="H29" s="421">
        <f t="shared" si="0"/>
        <v>0</v>
      </c>
    </row>
    <row r="30" spans="1:8" ht="30" x14ac:dyDescent="0.3">
      <c r="A30" s="11"/>
      <c r="B30" s="11"/>
      <c r="C30" s="222">
        <v>20</v>
      </c>
      <c r="D30" s="223" t="s">
        <v>173</v>
      </c>
      <c r="E30" s="226">
        <v>0</v>
      </c>
      <c r="F30" s="226">
        <v>0</v>
      </c>
      <c r="G30" s="226">
        <v>0</v>
      </c>
      <c r="H30" s="421">
        <f t="shared" si="0"/>
        <v>0</v>
      </c>
    </row>
    <row r="31" spans="1:8" x14ac:dyDescent="0.3">
      <c r="A31" s="11"/>
      <c r="B31" s="11"/>
      <c r="C31" s="222">
        <v>21</v>
      </c>
      <c r="D31" s="223" t="s">
        <v>172</v>
      </c>
      <c r="E31" s="226">
        <v>0</v>
      </c>
      <c r="F31" s="226">
        <v>0</v>
      </c>
      <c r="G31" s="226">
        <v>0</v>
      </c>
      <c r="H31" s="421">
        <f t="shared" si="0"/>
        <v>0</v>
      </c>
    </row>
    <row r="32" spans="1:8" x14ac:dyDescent="0.3">
      <c r="A32" s="11"/>
      <c r="B32" s="11"/>
      <c r="C32" s="222">
        <v>22</v>
      </c>
      <c r="D32" s="223" t="s">
        <v>1</v>
      </c>
      <c r="E32" s="226">
        <v>1975.0129999999999</v>
      </c>
      <c r="F32" s="226">
        <v>2785.6129999999998</v>
      </c>
      <c r="G32" s="226">
        <v>738.38400000000001</v>
      </c>
      <c r="H32" s="421">
        <f t="shared" si="0"/>
        <v>1.3979814112293604E-3</v>
      </c>
    </row>
    <row r="33" spans="1:623" x14ac:dyDescent="0.3">
      <c r="A33" s="11"/>
      <c r="B33" s="11"/>
      <c r="C33" s="222">
        <v>23</v>
      </c>
      <c r="D33" s="223" t="s">
        <v>6</v>
      </c>
      <c r="E33" s="226">
        <v>0</v>
      </c>
      <c r="F33" s="226">
        <v>0</v>
      </c>
      <c r="G33" s="226">
        <v>0</v>
      </c>
      <c r="H33" s="421">
        <f t="shared" si="0"/>
        <v>0</v>
      </c>
    </row>
    <row r="34" spans="1:623" ht="30" x14ac:dyDescent="0.3">
      <c r="A34" s="11"/>
      <c r="B34" s="11"/>
      <c r="C34" s="222">
        <v>24</v>
      </c>
      <c r="D34" s="223" t="s">
        <v>108</v>
      </c>
      <c r="E34" s="226">
        <v>0</v>
      </c>
      <c r="F34" s="226">
        <v>0</v>
      </c>
      <c r="G34" s="226">
        <v>0</v>
      </c>
      <c r="H34" s="421">
        <f t="shared" si="0"/>
        <v>0</v>
      </c>
    </row>
    <row r="35" spans="1:623" x14ac:dyDescent="0.3">
      <c r="A35" s="11"/>
      <c r="B35" s="11"/>
      <c r="C35" s="222">
        <v>25</v>
      </c>
      <c r="D35" s="223" t="s">
        <v>204</v>
      </c>
      <c r="E35" s="226">
        <v>0</v>
      </c>
      <c r="F35" s="226">
        <v>0</v>
      </c>
      <c r="G35" s="226">
        <v>0</v>
      </c>
      <c r="H35" s="421">
        <f t="shared" si="0"/>
        <v>0</v>
      </c>
    </row>
    <row r="36" spans="1:623" x14ac:dyDescent="0.3">
      <c r="A36" s="11"/>
      <c r="B36" s="11"/>
      <c r="C36" s="222">
        <v>26</v>
      </c>
      <c r="D36" s="223" t="s">
        <v>203</v>
      </c>
      <c r="E36" s="226">
        <v>0</v>
      </c>
      <c r="F36" s="226">
        <v>0</v>
      </c>
      <c r="G36" s="226">
        <v>0</v>
      </c>
      <c r="H36" s="421">
        <f t="shared" si="0"/>
        <v>0</v>
      </c>
    </row>
    <row r="37" spans="1:623" ht="36.75" customHeight="1" x14ac:dyDescent="0.3">
      <c r="A37" s="11"/>
      <c r="B37" s="11"/>
      <c r="C37" s="322">
        <v>27</v>
      </c>
      <c r="D37" s="323" t="s">
        <v>573</v>
      </c>
      <c r="E37" s="324">
        <f>E23+E24-E25+E26+E27+E28-E29+E30-E31+E32-E33-E34+E35-E36</f>
        <v>173746.24399999989</v>
      </c>
      <c r="F37" s="324">
        <f t="shared" ref="F37:G37" si="3">F23+F24-F25+F26+F27+F28-F29+F30-F31+F32-F33-F34+F35-F36</f>
        <v>199713.91900000002</v>
      </c>
      <c r="G37" s="325">
        <f t="shared" si="3"/>
        <v>200442.43499999991</v>
      </c>
      <c r="H37" s="798">
        <f t="shared" si="0"/>
        <v>0.12298350409993283</v>
      </c>
    </row>
    <row r="38" spans="1:623" x14ac:dyDescent="0.3">
      <c r="A38" s="11"/>
      <c r="B38" s="11"/>
      <c r="C38" s="222">
        <v>28</v>
      </c>
      <c r="D38" s="413" t="s">
        <v>99</v>
      </c>
      <c r="E38" s="226">
        <v>80287.596000000005</v>
      </c>
      <c r="F38" s="226">
        <v>118784.15700000001</v>
      </c>
      <c r="G38" s="226">
        <v>68706.248000000007</v>
      </c>
      <c r="H38" s="421">
        <f t="shared" si="0"/>
        <v>5.6830292641259959E-2</v>
      </c>
    </row>
    <row r="39" spans="1:623" ht="61.5" customHeight="1" x14ac:dyDescent="0.3">
      <c r="A39" s="11"/>
      <c r="B39" s="11"/>
      <c r="C39" s="322">
        <v>29</v>
      </c>
      <c r="D39" s="323" t="s">
        <v>574</v>
      </c>
      <c r="E39" s="412">
        <f>IF(E38=0,"please_insert_value_in_row_38: Financial/Interest Expenses",E37-E38)</f>
        <v>93458.647999999885</v>
      </c>
      <c r="F39" s="412">
        <f t="shared" ref="F39:G39" si="4">IF(F38=0,"please_insert_value_in_row_38: Financial/Interest Expenses",F37-F38)</f>
        <v>80929.762000000017</v>
      </c>
      <c r="G39" s="412">
        <f t="shared" si="4"/>
        <v>131736.18699999992</v>
      </c>
      <c r="H39" s="798">
        <f t="shared" si="0"/>
        <v>6.6153211458672867E-2</v>
      </c>
    </row>
    <row r="40" spans="1:623" x14ac:dyDescent="0.3">
      <c r="A40" s="11"/>
      <c r="B40" s="11"/>
      <c r="C40" s="222">
        <v>30</v>
      </c>
      <c r="D40" s="223" t="s">
        <v>7</v>
      </c>
      <c r="E40" s="224">
        <v>15902.348</v>
      </c>
      <c r="F40" s="224">
        <v>11393.965</v>
      </c>
      <c r="G40" s="224">
        <v>19760.428</v>
      </c>
      <c r="H40" s="421">
        <f t="shared" si="0"/>
        <v>1.1256223072405295E-2</v>
      </c>
    </row>
    <row r="41" spans="1:623" ht="30" x14ac:dyDescent="0.3">
      <c r="A41" s="11"/>
      <c r="B41" s="11"/>
      <c r="C41" s="222">
        <v>31</v>
      </c>
      <c r="D41" s="223" t="s">
        <v>184</v>
      </c>
      <c r="E41" s="224">
        <v>0</v>
      </c>
      <c r="F41" s="224">
        <v>0</v>
      </c>
      <c r="G41" s="224"/>
      <c r="H41" s="421">
        <f t="shared" si="0"/>
        <v>0</v>
      </c>
    </row>
    <row r="42" spans="1:623" ht="30" x14ac:dyDescent="0.3">
      <c r="A42" s="11"/>
      <c r="B42" s="11"/>
      <c r="C42" s="222">
        <v>32</v>
      </c>
      <c r="D42" s="223" t="s">
        <v>183</v>
      </c>
      <c r="E42" s="224">
        <v>0</v>
      </c>
      <c r="F42" s="224">
        <v>0</v>
      </c>
      <c r="G42" s="224">
        <v>0</v>
      </c>
      <c r="H42" s="421">
        <f t="shared" si="0"/>
        <v>0</v>
      </c>
    </row>
    <row r="43" spans="1:623" x14ac:dyDescent="0.3">
      <c r="A43" s="11"/>
      <c r="B43" s="11"/>
      <c r="C43" s="322">
        <v>33</v>
      </c>
      <c r="D43" s="323" t="s">
        <v>124</v>
      </c>
      <c r="E43" s="324">
        <f>E40+E41-E42</f>
        <v>15902.348</v>
      </c>
      <c r="F43" s="324">
        <f t="shared" ref="F43:G43" si="5">F40+F41-F42</f>
        <v>11393.965</v>
      </c>
      <c r="G43" s="325">
        <f t="shared" si="5"/>
        <v>19760.428</v>
      </c>
      <c r="H43" s="798">
        <f t="shared" si="0"/>
        <v>1.1256223072405295E-2</v>
      </c>
    </row>
    <row r="44" spans="1:623" s="434" customFormat="1" ht="60.75" customHeight="1" x14ac:dyDescent="0.3">
      <c r="C44" s="435">
        <v>34</v>
      </c>
      <c r="D44" s="323" t="s">
        <v>572</v>
      </c>
      <c r="E44" s="412">
        <f>IF(E38=0,"please_insert_value_in_row_38: Financial/Interest Expenses",(E39-E43))</f>
        <v>77556.299999999886</v>
      </c>
      <c r="F44" s="412">
        <f t="shared" ref="F44:G44" si="6">IF(F38=0,"please_insert_value_in_row_38: Financial/Interest Expenses",(F39-F43))</f>
        <v>69535.79700000002</v>
      </c>
      <c r="G44" s="412">
        <f t="shared" si="6"/>
        <v>111975.75899999992</v>
      </c>
      <c r="H44" s="798">
        <f t="shared" si="0"/>
        <v>5.4896988386267581E-2</v>
      </c>
      <c r="I44" s="474"/>
      <c r="J44" s="474"/>
      <c r="K44" s="474"/>
      <c r="L44" s="474"/>
      <c r="M44" s="474"/>
      <c r="N44" s="474"/>
      <c r="O44" s="474"/>
      <c r="P44" s="474"/>
      <c r="Q44" s="474"/>
      <c r="R44" s="474"/>
      <c r="S44" s="474"/>
      <c r="T44" s="474"/>
      <c r="U44" s="474"/>
      <c r="V44" s="474"/>
      <c r="W44" s="474"/>
      <c r="X44" s="474"/>
      <c r="Y44" s="474"/>
      <c r="Z44" s="474"/>
      <c r="AA44" s="474"/>
      <c r="AB44" s="474"/>
      <c r="AC44" s="474"/>
      <c r="AD44" s="474"/>
      <c r="AE44" s="474"/>
      <c r="AF44" s="474"/>
      <c r="AG44" s="474"/>
      <c r="AH44" s="474"/>
      <c r="AI44" s="474"/>
      <c r="AJ44" s="474"/>
      <c r="AK44" s="474"/>
      <c r="AL44" s="474"/>
      <c r="AM44" s="474"/>
      <c r="AN44" s="474"/>
      <c r="AO44" s="474"/>
      <c r="AP44" s="474"/>
      <c r="AQ44" s="474"/>
      <c r="AR44" s="474"/>
      <c r="AS44" s="474"/>
      <c r="AT44" s="474"/>
      <c r="AU44" s="474"/>
      <c r="AV44" s="474"/>
      <c r="AW44" s="474"/>
      <c r="AX44" s="474"/>
      <c r="AY44" s="474"/>
      <c r="AZ44" s="474"/>
      <c r="BA44" s="474"/>
      <c r="BB44" s="474"/>
      <c r="BC44" s="474"/>
      <c r="BD44" s="474"/>
      <c r="BE44" s="474"/>
      <c r="BF44" s="474"/>
      <c r="BG44" s="474"/>
      <c r="BH44" s="474"/>
      <c r="BI44" s="474"/>
      <c r="BJ44" s="474"/>
      <c r="BK44" s="474"/>
      <c r="BL44" s="474"/>
      <c r="BM44" s="474"/>
      <c r="BN44" s="474"/>
      <c r="BO44" s="474"/>
      <c r="BP44" s="474"/>
      <c r="BQ44" s="474"/>
      <c r="BR44" s="474"/>
      <c r="BS44" s="474"/>
      <c r="BT44" s="474"/>
      <c r="BU44" s="474"/>
      <c r="BV44" s="474"/>
      <c r="BW44" s="474"/>
      <c r="BX44" s="474"/>
      <c r="BY44" s="474"/>
      <c r="BZ44" s="474"/>
      <c r="CA44" s="474"/>
      <c r="CB44" s="474"/>
      <c r="CC44" s="474"/>
      <c r="CD44" s="474"/>
      <c r="CE44" s="474"/>
      <c r="CF44" s="474"/>
      <c r="CG44" s="474"/>
      <c r="CH44" s="474"/>
      <c r="CI44" s="474"/>
      <c r="CJ44" s="474"/>
      <c r="CK44" s="474"/>
      <c r="CL44" s="474"/>
      <c r="CM44" s="474"/>
      <c r="CN44" s="474"/>
      <c r="CO44" s="474"/>
      <c r="CP44" s="474"/>
      <c r="CQ44" s="474"/>
      <c r="CR44" s="474"/>
      <c r="CS44" s="474"/>
      <c r="CT44" s="474"/>
      <c r="CU44" s="474"/>
      <c r="CV44" s="474"/>
      <c r="CW44" s="474"/>
      <c r="CX44" s="474"/>
      <c r="CY44" s="474"/>
      <c r="CZ44" s="474"/>
      <c r="DA44" s="474"/>
      <c r="DB44" s="474"/>
      <c r="DC44" s="474"/>
      <c r="DD44" s="474"/>
      <c r="DE44" s="474"/>
      <c r="DF44" s="474"/>
      <c r="DG44" s="474"/>
      <c r="DH44" s="474"/>
      <c r="DI44" s="474"/>
      <c r="DJ44" s="474"/>
      <c r="DK44" s="474"/>
      <c r="DL44" s="474"/>
      <c r="DM44" s="474"/>
      <c r="DN44" s="474"/>
      <c r="DO44" s="474"/>
      <c r="DP44" s="474"/>
      <c r="DQ44" s="474"/>
      <c r="DR44" s="474"/>
      <c r="DS44" s="474"/>
      <c r="DT44" s="474"/>
      <c r="DU44" s="474"/>
      <c r="DV44" s="474"/>
      <c r="DW44" s="474"/>
      <c r="DX44" s="474"/>
      <c r="DY44" s="474"/>
      <c r="DZ44" s="474"/>
      <c r="EA44" s="474"/>
      <c r="EB44" s="474"/>
      <c r="EC44" s="474"/>
      <c r="ED44" s="474"/>
      <c r="EE44" s="474"/>
      <c r="EF44" s="474"/>
      <c r="EG44" s="474"/>
      <c r="EH44" s="474"/>
      <c r="EI44" s="474"/>
      <c r="EJ44" s="474"/>
      <c r="EK44" s="474"/>
      <c r="EL44" s="474"/>
      <c r="EM44" s="474"/>
      <c r="EN44" s="474"/>
      <c r="EO44" s="474"/>
      <c r="EP44" s="474"/>
      <c r="EQ44" s="474"/>
      <c r="ER44" s="474"/>
      <c r="ES44" s="474"/>
      <c r="ET44" s="474"/>
      <c r="EU44" s="474"/>
      <c r="EV44" s="474"/>
      <c r="EW44" s="474"/>
      <c r="EX44" s="474"/>
      <c r="EY44" s="474"/>
      <c r="EZ44" s="474"/>
      <c r="FA44" s="474"/>
      <c r="FB44" s="474"/>
      <c r="FC44" s="474"/>
      <c r="FD44" s="474"/>
      <c r="FE44" s="474"/>
      <c r="FF44" s="474"/>
      <c r="FG44" s="474"/>
      <c r="FH44" s="474"/>
      <c r="FI44" s="474"/>
      <c r="FJ44" s="474"/>
      <c r="FK44" s="474"/>
      <c r="FL44" s="474"/>
      <c r="FM44" s="474"/>
      <c r="FN44" s="474"/>
      <c r="FO44" s="474"/>
      <c r="FP44" s="474"/>
      <c r="FQ44" s="474"/>
      <c r="FR44" s="474"/>
      <c r="FS44" s="474"/>
      <c r="FT44" s="474"/>
      <c r="FU44" s="474"/>
      <c r="FV44" s="474"/>
      <c r="FW44" s="474"/>
      <c r="FX44" s="474"/>
      <c r="FY44" s="474"/>
      <c r="FZ44" s="474"/>
      <c r="GA44" s="474"/>
      <c r="GB44" s="474"/>
      <c r="GC44" s="474"/>
      <c r="GD44" s="474"/>
      <c r="GE44" s="474"/>
      <c r="GF44" s="474"/>
      <c r="GG44" s="474"/>
      <c r="GH44" s="474"/>
      <c r="GI44" s="474"/>
      <c r="GJ44" s="474"/>
      <c r="GK44" s="474"/>
      <c r="GL44" s="474"/>
      <c r="GM44" s="474"/>
      <c r="GN44" s="474"/>
      <c r="GO44" s="474"/>
      <c r="GP44" s="474"/>
      <c r="GQ44" s="474"/>
      <c r="GR44" s="474"/>
      <c r="GS44" s="474"/>
      <c r="GT44" s="474"/>
      <c r="GU44" s="474"/>
      <c r="GV44" s="474"/>
      <c r="GW44" s="474"/>
      <c r="GX44" s="474"/>
      <c r="GY44" s="474"/>
      <c r="GZ44" s="474"/>
      <c r="HA44" s="474"/>
      <c r="HB44" s="474"/>
      <c r="HC44" s="474"/>
      <c r="HD44" s="474"/>
      <c r="HE44" s="474"/>
      <c r="HF44" s="474"/>
      <c r="HG44" s="474"/>
      <c r="HH44" s="474"/>
      <c r="HI44" s="474"/>
      <c r="HJ44" s="474"/>
      <c r="HK44" s="474"/>
      <c r="HL44" s="474"/>
      <c r="HM44" s="474"/>
      <c r="HN44" s="474"/>
      <c r="HO44" s="474"/>
      <c r="HP44" s="474"/>
      <c r="HQ44" s="474"/>
      <c r="HR44" s="474"/>
      <c r="HS44" s="474"/>
      <c r="HT44" s="474"/>
      <c r="HU44" s="474"/>
      <c r="HV44" s="474"/>
      <c r="HW44" s="474"/>
      <c r="HX44" s="474"/>
      <c r="HY44" s="474"/>
      <c r="HZ44" s="474"/>
      <c r="IA44" s="474"/>
      <c r="IB44" s="474"/>
      <c r="IC44" s="474"/>
      <c r="ID44" s="474"/>
      <c r="IE44" s="474"/>
      <c r="IF44" s="474"/>
      <c r="IG44" s="474"/>
      <c r="IH44" s="474"/>
      <c r="II44" s="474"/>
      <c r="IJ44" s="474"/>
      <c r="IK44" s="474"/>
      <c r="IL44" s="474"/>
      <c r="IM44" s="474"/>
      <c r="IN44" s="474"/>
      <c r="IO44" s="474"/>
      <c r="IP44" s="474"/>
      <c r="IQ44" s="474"/>
      <c r="IR44" s="474"/>
      <c r="IS44" s="474"/>
      <c r="IT44" s="474"/>
      <c r="IU44" s="474"/>
      <c r="IV44" s="474"/>
      <c r="IW44" s="474"/>
      <c r="IX44" s="474"/>
      <c r="IY44" s="474"/>
      <c r="IZ44" s="474"/>
      <c r="JA44" s="474"/>
      <c r="JB44" s="474"/>
      <c r="JC44" s="474"/>
      <c r="JD44" s="474"/>
      <c r="JE44" s="474"/>
      <c r="JF44" s="474"/>
      <c r="JG44" s="474"/>
      <c r="JH44" s="474"/>
      <c r="JI44" s="474"/>
      <c r="JJ44" s="474"/>
      <c r="JK44" s="474"/>
      <c r="JL44" s="474"/>
      <c r="JM44" s="474"/>
      <c r="JN44" s="474"/>
      <c r="JO44" s="474"/>
      <c r="JP44" s="474"/>
      <c r="JQ44" s="474"/>
      <c r="JR44" s="474"/>
      <c r="JS44" s="474"/>
      <c r="JT44" s="474"/>
      <c r="JU44" s="474"/>
      <c r="JV44" s="474"/>
      <c r="JW44" s="474"/>
      <c r="JX44" s="474"/>
      <c r="JY44" s="474"/>
      <c r="JZ44" s="474"/>
      <c r="KA44" s="474"/>
      <c r="KB44" s="474"/>
      <c r="KC44" s="474"/>
      <c r="KD44" s="474"/>
      <c r="KE44" s="474"/>
      <c r="KF44" s="474"/>
      <c r="KG44" s="474"/>
      <c r="KH44" s="474"/>
      <c r="KI44" s="474"/>
      <c r="KJ44" s="474"/>
      <c r="KK44" s="474"/>
      <c r="KL44" s="474"/>
      <c r="KM44" s="474"/>
      <c r="KN44" s="474"/>
      <c r="KO44" s="474"/>
      <c r="KP44" s="474"/>
      <c r="KQ44" s="474"/>
      <c r="KR44" s="474"/>
      <c r="KS44" s="474"/>
      <c r="KT44" s="474"/>
      <c r="KU44" s="474"/>
      <c r="KV44" s="474"/>
      <c r="KW44" s="474"/>
      <c r="KX44" s="474"/>
      <c r="KY44" s="474"/>
      <c r="KZ44" s="474"/>
      <c r="LA44" s="474"/>
      <c r="LB44" s="474"/>
      <c r="LC44" s="474"/>
      <c r="LD44" s="474"/>
      <c r="LE44" s="474"/>
      <c r="LF44" s="474"/>
      <c r="LG44" s="474"/>
      <c r="LH44" s="474"/>
      <c r="LI44" s="474"/>
      <c r="LJ44" s="474"/>
      <c r="LK44" s="474"/>
      <c r="LL44" s="474"/>
      <c r="LM44" s="474"/>
      <c r="LN44" s="474"/>
      <c r="LO44" s="474"/>
      <c r="LP44" s="474"/>
      <c r="LQ44" s="474"/>
      <c r="LR44" s="474"/>
      <c r="LS44" s="474"/>
      <c r="LT44" s="474"/>
      <c r="LU44" s="474"/>
      <c r="LV44" s="474"/>
      <c r="LW44" s="474"/>
      <c r="LX44" s="474"/>
      <c r="LY44" s="474"/>
      <c r="LZ44" s="474"/>
      <c r="MA44" s="474"/>
      <c r="MB44" s="474"/>
      <c r="MC44" s="474"/>
      <c r="MD44" s="474"/>
      <c r="ME44" s="474"/>
      <c r="MF44" s="474"/>
      <c r="MG44" s="474"/>
      <c r="MH44" s="474"/>
      <c r="MI44" s="474"/>
      <c r="MJ44" s="474"/>
      <c r="MK44" s="474"/>
      <c r="ML44" s="474"/>
      <c r="MM44" s="474"/>
      <c r="MN44" s="474"/>
      <c r="MO44" s="474"/>
      <c r="MP44" s="474"/>
      <c r="MQ44" s="474"/>
      <c r="MR44" s="474"/>
      <c r="MS44" s="474"/>
      <c r="MT44" s="474"/>
      <c r="MU44" s="474"/>
      <c r="MV44" s="474"/>
      <c r="MW44" s="474"/>
      <c r="MX44" s="474"/>
      <c r="MY44" s="474"/>
      <c r="MZ44" s="474"/>
      <c r="NA44" s="474"/>
      <c r="NB44" s="474"/>
      <c r="NC44" s="474"/>
      <c r="ND44" s="474"/>
      <c r="NE44" s="474"/>
      <c r="NF44" s="474"/>
      <c r="NG44" s="474"/>
      <c r="NH44" s="474"/>
      <c r="NI44" s="474"/>
      <c r="NJ44" s="474"/>
      <c r="NK44" s="474"/>
      <c r="NL44" s="474"/>
      <c r="NM44" s="474"/>
      <c r="NN44" s="474"/>
      <c r="NO44" s="474"/>
      <c r="NP44" s="474"/>
      <c r="NQ44" s="474"/>
      <c r="NR44" s="474"/>
      <c r="NS44" s="474"/>
      <c r="NT44" s="474"/>
      <c r="NU44" s="474"/>
      <c r="NV44" s="474"/>
      <c r="NW44" s="474"/>
      <c r="NX44" s="474"/>
      <c r="NY44" s="474"/>
      <c r="NZ44" s="474"/>
      <c r="OA44" s="474"/>
      <c r="OB44" s="474"/>
      <c r="OC44" s="474"/>
      <c r="OD44" s="474"/>
      <c r="OE44" s="474"/>
      <c r="OF44" s="474"/>
      <c r="OG44" s="474"/>
      <c r="OH44" s="474"/>
      <c r="OI44" s="474"/>
      <c r="OJ44" s="474"/>
      <c r="OK44" s="474"/>
      <c r="OL44" s="474"/>
      <c r="OM44" s="474"/>
      <c r="ON44" s="474"/>
      <c r="OO44" s="474"/>
      <c r="OP44" s="474"/>
      <c r="OQ44" s="474"/>
      <c r="OR44" s="474"/>
      <c r="OS44" s="474"/>
      <c r="OT44" s="474"/>
      <c r="OU44" s="474"/>
      <c r="OV44" s="474"/>
      <c r="OW44" s="474"/>
      <c r="OX44" s="474"/>
      <c r="OY44" s="474"/>
      <c r="OZ44" s="474"/>
      <c r="PA44" s="474"/>
      <c r="PB44" s="474"/>
      <c r="PC44" s="474"/>
      <c r="PD44" s="474"/>
      <c r="PE44" s="474"/>
      <c r="PF44" s="474"/>
      <c r="PG44" s="474"/>
      <c r="PH44" s="474"/>
      <c r="PI44" s="474"/>
      <c r="PJ44" s="474"/>
      <c r="PK44" s="474"/>
      <c r="PL44" s="474"/>
      <c r="PM44" s="474"/>
      <c r="PN44" s="474"/>
      <c r="PO44" s="474"/>
      <c r="PP44" s="474"/>
      <c r="PQ44" s="474"/>
      <c r="PR44" s="474"/>
      <c r="PS44" s="474"/>
      <c r="PT44" s="474"/>
      <c r="PU44" s="474"/>
      <c r="PV44" s="474"/>
      <c r="PW44" s="474"/>
      <c r="PX44" s="474"/>
      <c r="PY44" s="474"/>
      <c r="PZ44" s="474"/>
      <c r="QA44" s="474"/>
      <c r="QB44" s="474"/>
      <c r="QC44" s="474"/>
      <c r="QD44" s="474"/>
      <c r="QE44" s="474"/>
      <c r="QF44" s="474"/>
      <c r="QG44" s="474"/>
      <c r="QH44" s="474"/>
      <c r="QI44" s="474"/>
      <c r="QJ44" s="474"/>
      <c r="QK44" s="474"/>
      <c r="QL44" s="474"/>
      <c r="QM44" s="474"/>
      <c r="QN44" s="474"/>
      <c r="QO44" s="474"/>
      <c r="QP44" s="474"/>
      <c r="QQ44" s="474"/>
      <c r="QR44" s="474"/>
      <c r="QS44" s="474"/>
      <c r="QT44" s="474"/>
      <c r="QU44" s="474"/>
      <c r="QV44" s="474"/>
      <c r="QW44" s="474"/>
      <c r="QX44" s="474"/>
      <c r="QY44" s="474"/>
      <c r="QZ44" s="474"/>
      <c r="RA44" s="474"/>
      <c r="RB44" s="474"/>
      <c r="RC44" s="474"/>
      <c r="RD44" s="474"/>
      <c r="RE44" s="474"/>
      <c r="RF44" s="474"/>
      <c r="RG44" s="474"/>
      <c r="RH44" s="474"/>
      <c r="RI44" s="474"/>
      <c r="RJ44" s="474"/>
      <c r="RK44" s="474"/>
      <c r="RL44" s="474"/>
      <c r="RM44" s="474"/>
      <c r="RN44" s="474"/>
      <c r="RO44" s="474"/>
      <c r="RP44" s="474"/>
      <c r="RQ44" s="474"/>
      <c r="RR44" s="474"/>
      <c r="RS44" s="474"/>
      <c r="RT44" s="474"/>
      <c r="RU44" s="474"/>
      <c r="RV44" s="474"/>
      <c r="RW44" s="474"/>
      <c r="RX44" s="474"/>
      <c r="RY44" s="474"/>
      <c r="RZ44" s="474"/>
      <c r="SA44" s="474"/>
      <c r="SB44" s="474"/>
      <c r="SC44" s="474"/>
      <c r="SD44" s="474"/>
      <c r="SE44" s="474"/>
      <c r="SF44" s="474"/>
      <c r="SG44" s="474"/>
      <c r="SH44" s="474"/>
      <c r="SI44" s="474"/>
      <c r="SJ44" s="474"/>
      <c r="SK44" s="474"/>
      <c r="SL44" s="474"/>
      <c r="SM44" s="474"/>
      <c r="SN44" s="474"/>
      <c r="SO44" s="474"/>
      <c r="SP44" s="474"/>
      <c r="SQ44" s="474"/>
      <c r="SR44" s="474"/>
      <c r="SS44" s="474"/>
      <c r="ST44" s="474"/>
      <c r="SU44" s="474"/>
      <c r="SV44" s="474"/>
      <c r="SW44" s="474"/>
      <c r="SX44" s="474"/>
      <c r="SY44" s="474"/>
      <c r="SZ44" s="474"/>
      <c r="TA44" s="474"/>
      <c r="TB44" s="474"/>
      <c r="TC44" s="474"/>
      <c r="TD44" s="474"/>
      <c r="TE44" s="474"/>
      <c r="TF44" s="474"/>
      <c r="TG44" s="474"/>
      <c r="TH44" s="474"/>
      <c r="TI44" s="474"/>
      <c r="TJ44" s="474"/>
      <c r="TK44" s="474"/>
      <c r="TL44" s="474"/>
      <c r="TM44" s="474"/>
      <c r="TN44" s="474"/>
      <c r="TO44" s="474"/>
      <c r="TP44" s="474"/>
      <c r="TQ44" s="474"/>
      <c r="TR44" s="474"/>
      <c r="TS44" s="474"/>
      <c r="TT44" s="474"/>
      <c r="TU44" s="474"/>
      <c r="TV44" s="474"/>
      <c r="TW44" s="474"/>
      <c r="TX44" s="474"/>
      <c r="TY44" s="474"/>
      <c r="TZ44" s="474"/>
      <c r="UA44" s="474"/>
      <c r="UB44" s="474"/>
      <c r="UC44" s="474"/>
      <c r="UD44" s="474"/>
      <c r="UE44" s="474"/>
      <c r="UF44" s="474"/>
      <c r="UG44" s="474"/>
      <c r="UH44" s="474"/>
      <c r="UI44" s="474"/>
      <c r="UJ44" s="474"/>
      <c r="UK44" s="474"/>
      <c r="UL44" s="474"/>
      <c r="UM44" s="474"/>
      <c r="UN44" s="474"/>
      <c r="UO44" s="474"/>
      <c r="UP44" s="474"/>
      <c r="UQ44" s="474"/>
      <c r="UR44" s="474"/>
      <c r="US44" s="474"/>
      <c r="UT44" s="474"/>
      <c r="UU44" s="474"/>
      <c r="UV44" s="474"/>
      <c r="UW44" s="474"/>
      <c r="UX44" s="474"/>
      <c r="UY44" s="474"/>
      <c r="UZ44" s="474"/>
      <c r="VA44" s="474"/>
      <c r="VB44" s="474"/>
      <c r="VC44" s="474"/>
      <c r="VD44" s="474"/>
      <c r="VE44" s="474"/>
      <c r="VF44" s="474"/>
      <c r="VG44" s="474"/>
      <c r="VH44" s="474"/>
      <c r="VI44" s="474"/>
      <c r="VJ44" s="474"/>
      <c r="VK44" s="474"/>
      <c r="VL44" s="474"/>
      <c r="VM44" s="474"/>
      <c r="VN44" s="474"/>
      <c r="VO44" s="474"/>
      <c r="VP44" s="474"/>
      <c r="VQ44" s="474"/>
      <c r="VR44" s="474"/>
      <c r="VS44" s="474"/>
      <c r="VT44" s="474"/>
      <c r="VU44" s="474"/>
      <c r="VV44" s="474"/>
      <c r="VW44" s="474"/>
      <c r="VX44" s="474"/>
      <c r="VY44" s="474"/>
      <c r="VZ44" s="474"/>
      <c r="WA44" s="474"/>
      <c r="WB44" s="474"/>
      <c r="WC44" s="474"/>
      <c r="WD44" s="474"/>
      <c r="WE44" s="474"/>
      <c r="WF44" s="474"/>
      <c r="WG44" s="474"/>
      <c r="WH44" s="474"/>
      <c r="WI44" s="474"/>
      <c r="WJ44" s="474"/>
      <c r="WK44" s="474"/>
      <c r="WL44" s="474"/>
      <c r="WM44" s="474"/>
      <c r="WN44" s="474"/>
      <c r="WO44" s="474"/>
      <c r="WP44" s="474"/>
      <c r="WQ44" s="474"/>
      <c r="WR44" s="474"/>
      <c r="WS44" s="474"/>
      <c r="WT44" s="474"/>
      <c r="WU44" s="474"/>
      <c r="WV44" s="474"/>
      <c r="WW44" s="474"/>
      <c r="WX44" s="474"/>
      <c r="WY44" s="474"/>
    </row>
    <row r="45" spans="1:623" ht="30" x14ac:dyDescent="0.3">
      <c r="C45" s="222">
        <v>35</v>
      </c>
      <c r="D45" s="228" t="s">
        <v>174</v>
      </c>
      <c r="E45" s="226">
        <v>0</v>
      </c>
      <c r="F45" s="226">
        <v>0</v>
      </c>
      <c r="G45" s="226">
        <v>0</v>
      </c>
      <c r="H45" s="421">
        <f t="shared" si="0"/>
        <v>0</v>
      </c>
    </row>
    <row r="46" spans="1:623" ht="30" x14ac:dyDescent="0.3">
      <c r="C46" s="222">
        <v>36</v>
      </c>
      <c r="D46" s="228" t="s">
        <v>175</v>
      </c>
      <c r="E46" s="226">
        <v>0</v>
      </c>
      <c r="F46" s="226">
        <v>0</v>
      </c>
      <c r="G46" s="226">
        <v>0</v>
      </c>
      <c r="H46" s="421">
        <f t="shared" si="0"/>
        <v>0</v>
      </c>
    </row>
    <row r="47" spans="1:623" ht="15.5" thickBot="1" x14ac:dyDescent="0.35">
      <c r="C47" s="326">
        <v>37</v>
      </c>
      <c r="D47" s="327" t="s">
        <v>176</v>
      </c>
      <c r="E47" s="328">
        <f>E44+E45-E46</f>
        <v>77556.299999999886</v>
      </c>
      <c r="F47" s="328">
        <f t="shared" ref="F47:G47" si="7">F44+F45-F46</f>
        <v>69535.79700000002</v>
      </c>
      <c r="G47" s="329">
        <f t="shared" si="7"/>
        <v>111975.75899999992</v>
      </c>
      <c r="H47" s="421">
        <f t="shared" si="0"/>
        <v>5.4896988386267581E-2</v>
      </c>
    </row>
    <row r="49" spans="1:7" ht="17.5" x14ac:dyDescent="0.35">
      <c r="D49" s="436" t="s">
        <v>546</v>
      </c>
      <c r="E49" s="437"/>
      <c r="F49" s="437"/>
      <c r="G49" s="437"/>
    </row>
    <row r="50" spans="1:7" ht="15.75" customHeight="1" x14ac:dyDescent="0.35">
      <c r="D50" s="938" t="s">
        <v>438</v>
      </c>
      <c r="E50" s="938"/>
      <c r="F50" s="938"/>
      <c r="G50" s="938"/>
    </row>
    <row r="51" spans="1:7" ht="15.75" customHeight="1" x14ac:dyDescent="0.35">
      <c r="D51" s="938" t="s">
        <v>571</v>
      </c>
      <c r="E51" s="938"/>
      <c r="F51" s="938"/>
      <c r="G51" s="938"/>
    </row>
    <row r="52" spans="1:7" s="473" customFormat="1" x14ac:dyDescent="0.3">
      <c r="A52" s="475"/>
      <c r="B52" s="475"/>
      <c r="D52" s="476"/>
      <c r="E52" s="477"/>
      <c r="F52" s="477"/>
      <c r="G52" s="477"/>
    </row>
    <row r="53" spans="1:7" s="473" customFormat="1" x14ac:dyDescent="0.3">
      <c r="A53" s="475"/>
      <c r="B53" s="475"/>
      <c r="D53" s="476"/>
      <c r="E53" s="477"/>
      <c r="F53" s="477"/>
      <c r="G53" s="477"/>
    </row>
    <row r="54" spans="1:7" s="473" customFormat="1" x14ac:dyDescent="0.3">
      <c r="A54" s="475"/>
      <c r="B54" s="475"/>
      <c r="D54" s="476"/>
      <c r="E54" s="477"/>
      <c r="F54" s="477"/>
      <c r="G54" s="477"/>
    </row>
    <row r="55" spans="1:7" s="473" customFormat="1" x14ac:dyDescent="0.3">
      <c r="A55" s="475"/>
      <c r="B55" s="475"/>
      <c r="D55" s="476"/>
      <c r="E55" s="477"/>
      <c r="F55" s="477"/>
      <c r="G55" s="477"/>
    </row>
    <row r="56" spans="1:7" s="473" customFormat="1" x14ac:dyDescent="0.3">
      <c r="A56" s="475"/>
      <c r="B56" s="475"/>
      <c r="D56" s="476"/>
      <c r="E56" s="477"/>
      <c r="F56" s="477"/>
      <c r="G56" s="477"/>
    </row>
    <row r="57" spans="1:7" s="473" customFormat="1" x14ac:dyDescent="0.3">
      <c r="A57" s="475"/>
      <c r="B57" s="475"/>
      <c r="D57" s="476"/>
      <c r="E57" s="477"/>
      <c r="F57" s="477"/>
      <c r="G57" s="477"/>
    </row>
    <row r="58" spans="1:7" s="473" customFormat="1" x14ac:dyDescent="0.3">
      <c r="A58" s="475"/>
      <c r="B58" s="475"/>
      <c r="D58" s="476"/>
      <c r="E58" s="477"/>
      <c r="F58" s="477"/>
      <c r="G58" s="477"/>
    </row>
    <row r="59" spans="1:7" s="473" customFormat="1" x14ac:dyDescent="0.3">
      <c r="A59" s="475"/>
      <c r="B59" s="475"/>
      <c r="D59" s="476"/>
      <c r="E59" s="477"/>
      <c r="F59" s="477"/>
      <c r="G59" s="477"/>
    </row>
    <row r="60" spans="1:7" s="473" customFormat="1" x14ac:dyDescent="0.3">
      <c r="A60" s="475"/>
      <c r="B60" s="475"/>
      <c r="D60" s="476"/>
      <c r="E60" s="477"/>
      <c r="F60" s="477"/>
      <c r="G60" s="477"/>
    </row>
    <row r="61" spans="1:7" s="473" customFormat="1" x14ac:dyDescent="0.3">
      <c r="A61" s="475"/>
      <c r="B61" s="475"/>
      <c r="D61" s="476"/>
      <c r="E61" s="477"/>
      <c r="F61" s="477"/>
      <c r="G61" s="477"/>
    </row>
    <row r="62" spans="1:7" s="473" customFormat="1" x14ac:dyDescent="0.3">
      <c r="A62" s="475"/>
      <c r="B62" s="475"/>
      <c r="D62" s="476"/>
      <c r="E62" s="477"/>
      <c r="F62" s="477"/>
      <c r="G62" s="477"/>
    </row>
    <row r="63" spans="1:7" s="473" customFormat="1" x14ac:dyDescent="0.3">
      <c r="A63" s="475"/>
      <c r="B63" s="475"/>
      <c r="D63" s="476"/>
      <c r="E63" s="477"/>
      <c r="F63" s="477"/>
      <c r="G63" s="477"/>
    </row>
    <row r="64" spans="1:7" s="473" customFormat="1" x14ac:dyDescent="0.3">
      <c r="A64" s="475"/>
      <c r="B64" s="475"/>
      <c r="D64" s="476"/>
      <c r="E64" s="477"/>
      <c r="F64" s="477"/>
      <c r="G64" s="477"/>
    </row>
    <row r="65" spans="1:7" s="473" customFormat="1" x14ac:dyDescent="0.3">
      <c r="A65" s="475"/>
      <c r="B65" s="475"/>
      <c r="D65" s="476"/>
      <c r="E65" s="477"/>
      <c r="F65" s="477"/>
      <c r="G65" s="477"/>
    </row>
    <row r="66" spans="1:7" s="473" customFormat="1" x14ac:dyDescent="0.3">
      <c r="A66" s="475"/>
      <c r="B66" s="475"/>
      <c r="D66" s="476"/>
      <c r="E66" s="477"/>
      <c r="F66" s="477"/>
      <c r="G66" s="477"/>
    </row>
    <row r="67" spans="1:7" s="473" customFormat="1" x14ac:dyDescent="0.3">
      <c r="A67" s="475"/>
      <c r="B67" s="475"/>
      <c r="D67" s="476"/>
      <c r="E67" s="477"/>
      <c r="F67" s="477"/>
      <c r="G67" s="477"/>
    </row>
    <row r="68" spans="1:7" s="473" customFormat="1" x14ac:dyDescent="0.3">
      <c r="A68" s="475"/>
      <c r="B68" s="475"/>
      <c r="D68" s="476"/>
      <c r="E68" s="477"/>
      <c r="F68" s="477"/>
      <c r="G68" s="477"/>
    </row>
    <row r="69" spans="1:7" s="473" customFormat="1" x14ac:dyDescent="0.3">
      <c r="A69" s="475"/>
      <c r="B69" s="475"/>
      <c r="D69" s="476"/>
      <c r="E69" s="477"/>
      <c r="F69" s="477"/>
      <c r="G69" s="477"/>
    </row>
    <row r="70" spans="1:7" s="473" customFormat="1" x14ac:dyDescent="0.3">
      <c r="A70" s="475"/>
      <c r="B70" s="475"/>
      <c r="D70" s="476"/>
      <c r="E70" s="477"/>
      <c r="F70" s="477"/>
      <c r="G70" s="477"/>
    </row>
    <row r="71" spans="1:7" s="473" customFormat="1" x14ac:dyDescent="0.3">
      <c r="A71" s="475"/>
      <c r="B71" s="475"/>
      <c r="D71" s="476"/>
      <c r="E71" s="477"/>
      <c r="F71" s="477"/>
      <c r="G71" s="477"/>
    </row>
    <row r="72" spans="1:7" s="473" customFormat="1" x14ac:dyDescent="0.3">
      <c r="A72" s="475"/>
      <c r="B72" s="475"/>
      <c r="D72" s="476"/>
      <c r="E72" s="477"/>
      <c r="F72" s="477"/>
      <c r="G72" s="477"/>
    </row>
    <row r="73" spans="1:7" s="473" customFormat="1" x14ac:dyDescent="0.3">
      <c r="A73" s="475"/>
      <c r="B73" s="475"/>
      <c r="D73" s="476"/>
      <c r="E73" s="477"/>
      <c r="F73" s="477"/>
      <c r="G73" s="477"/>
    </row>
    <row r="74" spans="1:7" s="473" customFormat="1" x14ac:dyDescent="0.3">
      <c r="A74" s="475"/>
      <c r="B74" s="475"/>
      <c r="D74" s="476"/>
      <c r="E74" s="477"/>
      <c r="F74" s="477"/>
      <c r="G74" s="477"/>
    </row>
    <row r="75" spans="1:7" s="473" customFormat="1" x14ac:dyDescent="0.3">
      <c r="A75" s="475"/>
      <c r="B75" s="475"/>
      <c r="D75" s="476"/>
      <c r="E75" s="477"/>
      <c r="F75" s="477"/>
      <c r="G75" s="477"/>
    </row>
    <row r="76" spans="1:7" s="473" customFormat="1" x14ac:dyDescent="0.3">
      <c r="A76" s="475"/>
      <c r="B76" s="475"/>
      <c r="D76" s="476"/>
      <c r="E76" s="477"/>
      <c r="F76" s="477"/>
      <c r="G76" s="477"/>
    </row>
    <row r="77" spans="1:7" s="473" customFormat="1" x14ac:dyDescent="0.3">
      <c r="A77" s="475"/>
      <c r="B77" s="475"/>
      <c r="D77" s="476"/>
      <c r="E77" s="477"/>
      <c r="F77" s="477"/>
      <c r="G77" s="477"/>
    </row>
    <row r="78" spans="1:7" s="473" customFormat="1" x14ac:dyDescent="0.3">
      <c r="A78" s="475"/>
      <c r="B78" s="475"/>
      <c r="D78" s="476"/>
      <c r="E78" s="477"/>
      <c r="F78" s="477"/>
      <c r="G78" s="477"/>
    </row>
    <row r="79" spans="1:7" s="473" customFormat="1" x14ac:dyDescent="0.3">
      <c r="A79" s="475"/>
      <c r="B79" s="475"/>
      <c r="D79" s="476"/>
      <c r="E79" s="477"/>
      <c r="F79" s="477"/>
      <c r="G79" s="477"/>
    </row>
  </sheetData>
  <sheetProtection password="C527" sheet="1" objects="1" scenarios="1" selectLockedCells="1"/>
  <mergeCells count="13">
    <mergeCell ref="D50:G50"/>
    <mergeCell ref="D51:G51"/>
    <mergeCell ref="C9:D9"/>
    <mergeCell ref="C7:D7"/>
    <mergeCell ref="C8:D8"/>
    <mergeCell ref="C10:G10"/>
    <mergeCell ref="C6:D6"/>
    <mergeCell ref="C2:G2"/>
    <mergeCell ref="C3:G3"/>
    <mergeCell ref="C4:D4"/>
    <mergeCell ref="E4:G4"/>
    <mergeCell ref="C5:D5"/>
    <mergeCell ref="E5:G5"/>
  </mergeCells>
  <conditionalFormatting sqref="E39:G39">
    <cfRule type="containsText" dxfId="54" priority="2" operator="containsText" text="please_insert">
      <formula>NOT(ISERROR(SEARCH("please_insert",E39)))</formula>
    </cfRule>
  </conditionalFormatting>
  <conditionalFormatting sqref="E44:G44">
    <cfRule type="containsText" dxfId="53" priority="1" operator="containsText" text="please_insert">
      <formula>NOT(ISERROR(SEARCH("please_insert",E44)))</formula>
    </cfRule>
    <cfRule type="containsText" dxfId="52" priority="3" operator="containsText" text="please_insert_value_in_row_38: int exp">
      <formula>NOT(ISERROR(SEARCH("please_insert_value_in_row_38: int exp",E44)))</formula>
    </cfRule>
    <cfRule type="containsText" dxfId="51" priority="4" operator="containsText" text="please_insert_value_in_row_28">
      <formula>NOT(ISERROR(SEARCH("please_insert_value_in_row_28",E44)))</formula>
    </cfRule>
  </conditionalFormatting>
  <printOptions horizontalCentered="1"/>
  <pageMargins left="0.25" right="0.25" top="0.48713235294117646" bottom="0.22977941176470587" header="0.3" footer="0.3"/>
  <pageSetup paperSize="9" scale="75" fitToWidth="0" fitToHeight="0"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9" tint="-0.249977111117893"/>
  </sheetPr>
  <dimension ref="C1:AG103"/>
  <sheetViews>
    <sheetView showGridLines="0" zoomScaleSheetLayoutView="110" workbookViewId="0">
      <selection activeCell="E15" sqref="E15"/>
    </sheetView>
  </sheetViews>
  <sheetFormatPr defaultColWidth="9.1796875" defaultRowHeight="15" x14ac:dyDescent="0.35"/>
  <cols>
    <col min="1" max="1" width="0.81640625" style="10" customWidth="1"/>
    <col min="2" max="2" width="1.26953125" style="10" customWidth="1"/>
    <col min="3" max="3" width="4.453125" style="10" bestFit="1" customWidth="1"/>
    <col min="4" max="4" width="44.54296875" style="29" customWidth="1"/>
    <col min="5" max="5" width="24.453125" style="10" customWidth="1"/>
    <col min="6" max="6" width="22.81640625" style="10" customWidth="1"/>
    <col min="7" max="7" width="19.81640625" style="10" customWidth="1"/>
    <col min="8" max="8" width="2.81640625" style="478" customWidth="1"/>
    <col min="9" max="33" width="9.1796875" style="478"/>
    <col min="34" max="16384" width="9.1796875" style="10"/>
  </cols>
  <sheetData>
    <row r="1" spans="3:7" ht="15.5" thickBot="1" x14ac:dyDescent="0.4"/>
    <row r="2" spans="3:7" ht="28.5" customHeight="1" thickBot="1" x14ac:dyDescent="0.4">
      <c r="C2" s="926" t="str">
        <f>'2. Top Page'!D9</f>
        <v>Outpace Spinning Mills Ltd</v>
      </c>
      <c r="D2" s="927"/>
      <c r="E2" s="927"/>
      <c r="F2" s="927"/>
      <c r="G2" s="927"/>
    </row>
    <row r="3" spans="3:7" ht="15.5" thickBot="1" x14ac:dyDescent="0.4">
      <c r="C3" s="946" t="s">
        <v>90</v>
      </c>
      <c r="D3" s="947"/>
      <c r="E3" s="947"/>
      <c r="F3" s="947"/>
      <c r="G3" s="947"/>
    </row>
    <row r="4" spans="3:7" x14ac:dyDescent="0.35">
      <c r="C4" s="948" t="s">
        <v>83</v>
      </c>
      <c r="D4" s="949"/>
      <c r="E4" s="950" t="str">
        <f>'2. Top Page'!D18</f>
        <v>Md. Matiur Rahman, SRM</v>
      </c>
      <c r="F4" s="950"/>
      <c r="G4" s="951"/>
    </row>
    <row r="5" spans="3:7" x14ac:dyDescent="0.3">
      <c r="C5" s="952" t="s">
        <v>84</v>
      </c>
      <c r="D5" s="953"/>
      <c r="E5" s="954" t="str">
        <f>'2. Top Page'!D19</f>
        <v>Farhana Afrin, SM</v>
      </c>
      <c r="F5" s="954"/>
      <c r="G5" s="955"/>
    </row>
    <row r="6" spans="3:7" x14ac:dyDescent="0.3">
      <c r="C6" s="952" t="s">
        <v>205</v>
      </c>
      <c r="D6" s="953"/>
      <c r="E6" s="242" t="str">
        <f>'3. Input-BS '!E8</f>
        <v>Deawn Nazrul Islam &amp; Co</v>
      </c>
      <c r="F6" s="242" t="str">
        <f>'3. Input-BS '!F8</f>
        <v>Deawn Nazrul Islam &amp; Co</v>
      </c>
      <c r="G6" s="243" t="str">
        <f>'3. Input-BS '!G8</f>
        <v>Rahman Mustafiz Haw &amp; Co.</v>
      </c>
    </row>
    <row r="7" spans="3:7" x14ac:dyDescent="0.3">
      <c r="C7" s="952" t="s">
        <v>86</v>
      </c>
      <c r="D7" s="953"/>
      <c r="E7" s="244">
        <f>'3. Input-BS '!E9</f>
        <v>12</v>
      </c>
      <c r="F7" s="244">
        <f>'3. Input-BS '!F9</f>
        <v>12</v>
      </c>
      <c r="G7" s="245">
        <f>'3. Input-BS '!G9</f>
        <v>12</v>
      </c>
    </row>
    <row r="8" spans="3:7" ht="15.5" thickBot="1" x14ac:dyDescent="0.35">
      <c r="C8" s="956" t="s">
        <v>87</v>
      </c>
      <c r="D8" s="957"/>
      <c r="E8" s="310" t="s">
        <v>88</v>
      </c>
      <c r="F8" s="310" t="s">
        <v>88</v>
      </c>
      <c r="G8" s="311" t="s">
        <v>88</v>
      </c>
    </row>
    <row r="9" spans="3:7" ht="15.5" thickBot="1" x14ac:dyDescent="0.4">
      <c r="C9" s="961"/>
      <c r="D9" s="961"/>
      <c r="E9" s="961"/>
      <c r="F9" s="961"/>
      <c r="G9" s="961"/>
    </row>
    <row r="10" spans="3:7" x14ac:dyDescent="0.3">
      <c r="C10" s="958" t="s">
        <v>80</v>
      </c>
      <c r="D10" s="959"/>
      <c r="E10" s="312">
        <f>'3. Input-BS '!E11</f>
        <v>2025</v>
      </c>
      <c r="F10" s="312">
        <f>'3. Input-BS '!F11</f>
        <v>2024</v>
      </c>
      <c r="G10" s="313">
        <f>'3. Input-BS '!G11</f>
        <v>2023</v>
      </c>
    </row>
    <row r="11" spans="3:7" x14ac:dyDescent="0.35">
      <c r="C11" s="246" t="s">
        <v>53</v>
      </c>
      <c r="D11" s="247" t="s">
        <v>61</v>
      </c>
      <c r="E11" s="219">
        <v>105171.026</v>
      </c>
      <c r="F11" s="219">
        <v>398401.77399999998</v>
      </c>
      <c r="G11" s="219">
        <v>-723188.91899999999</v>
      </c>
    </row>
    <row r="12" spans="3:7" x14ac:dyDescent="0.35">
      <c r="C12" s="246" t="s">
        <v>56</v>
      </c>
      <c r="D12" s="247" t="s">
        <v>62</v>
      </c>
      <c r="E12" s="219">
        <v>-56953.665000000001</v>
      </c>
      <c r="F12" s="219">
        <v>-165366.05300000001</v>
      </c>
      <c r="G12" s="219">
        <v>-20827.202000000001</v>
      </c>
    </row>
    <row r="13" spans="3:7" x14ac:dyDescent="0.35">
      <c r="C13" s="246" t="s">
        <v>211</v>
      </c>
      <c r="D13" s="247" t="s">
        <v>63</v>
      </c>
      <c r="E13" s="219">
        <v>-66327.362999999998</v>
      </c>
      <c r="F13" s="219">
        <v>-213494.1</v>
      </c>
      <c r="G13" s="219">
        <v>748507.59199999995</v>
      </c>
    </row>
    <row r="14" spans="3:7" x14ac:dyDescent="0.35">
      <c r="C14" s="314" t="s">
        <v>212</v>
      </c>
      <c r="D14" s="315" t="s">
        <v>57</v>
      </c>
      <c r="E14" s="316">
        <f>SUM(E11:E13)</f>
        <v>-18110.002</v>
      </c>
      <c r="F14" s="316">
        <f t="shared" ref="F14:G14" si="0">SUM(F11:F13)</f>
        <v>19541.620999999956</v>
      </c>
      <c r="G14" s="317">
        <f t="shared" si="0"/>
        <v>4491.4709999999031</v>
      </c>
    </row>
    <row r="15" spans="3:7" x14ac:dyDescent="0.35">
      <c r="C15" s="246" t="s">
        <v>60</v>
      </c>
      <c r="D15" s="247" t="s">
        <v>58</v>
      </c>
      <c r="E15" s="219">
        <v>36951.324000000001</v>
      </c>
      <c r="F15" s="219">
        <v>17409.703000000001</v>
      </c>
      <c r="G15" s="219">
        <v>12918.232</v>
      </c>
    </row>
    <row r="16" spans="3:7" ht="15.5" thickBot="1" x14ac:dyDescent="0.4">
      <c r="C16" s="318" t="s">
        <v>177</v>
      </c>
      <c r="D16" s="319" t="s">
        <v>59</v>
      </c>
      <c r="E16" s="320">
        <f>E14+E15</f>
        <v>18841.322</v>
      </c>
      <c r="F16" s="320">
        <f>F14+F15</f>
        <v>36951.323999999957</v>
      </c>
      <c r="G16" s="321">
        <f>G14+G15</f>
        <v>17409.702999999903</v>
      </c>
    </row>
    <row r="18" spans="3:7" x14ac:dyDescent="0.35">
      <c r="C18" s="439" t="s">
        <v>185</v>
      </c>
      <c r="D18" s="438"/>
      <c r="E18" s="439"/>
      <c r="F18" s="439"/>
      <c r="G18" s="439"/>
    </row>
    <row r="19" spans="3:7" ht="30" customHeight="1" x14ac:dyDescent="0.35">
      <c r="D19" s="960" t="s">
        <v>439</v>
      </c>
      <c r="E19" s="960"/>
      <c r="F19" s="960"/>
      <c r="G19" s="960"/>
    </row>
    <row r="20" spans="3:7" s="478" customFormat="1" x14ac:dyDescent="0.35">
      <c r="D20" s="479"/>
    </row>
    <row r="21" spans="3:7" s="478" customFormat="1" x14ac:dyDescent="0.35">
      <c r="D21" s="479"/>
    </row>
    <row r="22" spans="3:7" s="478" customFormat="1" x14ac:dyDescent="0.35">
      <c r="D22" s="479"/>
    </row>
    <row r="23" spans="3:7" s="478" customFormat="1" x14ac:dyDescent="0.35">
      <c r="D23" s="479"/>
    </row>
    <row r="24" spans="3:7" s="478" customFormat="1" x14ac:dyDescent="0.35">
      <c r="D24" s="479"/>
    </row>
    <row r="25" spans="3:7" s="478" customFormat="1" x14ac:dyDescent="0.35">
      <c r="D25" s="479"/>
    </row>
    <row r="26" spans="3:7" s="478" customFormat="1" x14ac:dyDescent="0.35">
      <c r="D26" s="479"/>
    </row>
    <row r="27" spans="3:7" s="478" customFormat="1" x14ac:dyDescent="0.35">
      <c r="D27" s="479"/>
    </row>
    <row r="28" spans="3:7" s="478" customFormat="1" x14ac:dyDescent="0.35">
      <c r="D28" s="479"/>
    </row>
    <row r="29" spans="3:7" s="478" customFormat="1" x14ac:dyDescent="0.35">
      <c r="D29" s="479"/>
    </row>
    <row r="30" spans="3:7" s="478" customFormat="1" x14ac:dyDescent="0.35">
      <c r="D30" s="479"/>
    </row>
    <row r="31" spans="3:7" s="478" customFormat="1" x14ac:dyDescent="0.35">
      <c r="D31" s="479"/>
    </row>
    <row r="32" spans="3:7" s="478" customFormat="1" x14ac:dyDescent="0.35">
      <c r="D32" s="479"/>
    </row>
    <row r="33" spans="4:4" s="478" customFormat="1" x14ac:dyDescent="0.35">
      <c r="D33" s="479"/>
    </row>
    <row r="34" spans="4:4" s="478" customFormat="1" x14ac:dyDescent="0.35">
      <c r="D34" s="479"/>
    </row>
    <row r="35" spans="4:4" s="478" customFormat="1" x14ac:dyDescent="0.35">
      <c r="D35" s="479"/>
    </row>
    <row r="36" spans="4:4" s="478" customFormat="1" x14ac:dyDescent="0.35">
      <c r="D36" s="479"/>
    </row>
    <row r="37" spans="4:4" s="478" customFormat="1" x14ac:dyDescent="0.35">
      <c r="D37" s="479"/>
    </row>
    <row r="38" spans="4:4" s="478" customFormat="1" x14ac:dyDescent="0.35">
      <c r="D38" s="479"/>
    </row>
    <row r="39" spans="4:4" s="478" customFormat="1" x14ac:dyDescent="0.35">
      <c r="D39" s="479"/>
    </row>
    <row r="40" spans="4:4" s="478" customFormat="1" x14ac:dyDescent="0.35">
      <c r="D40" s="479"/>
    </row>
    <row r="41" spans="4:4" s="478" customFormat="1" x14ac:dyDescent="0.35">
      <c r="D41" s="479"/>
    </row>
    <row r="42" spans="4:4" s="478" customFormat="1" x14ac:dyDescent="0.35">
      <c r="D42" s="479"/>
    </row>
    <row r="43" spans="4:4" s="478" customFormat="1" x14ac:dyDescent="0.35">
      <c r="D43" s="479"/>
    </row>
    <row r="44" spans="4:4" s="478" customFormat="1" x14ac:dyDescent="0.35">
      <c r="D44" s="479"/>
    </row>
    <row r="45" spans="4:4" s="478" customFormat="1" x14ac:dyDescent="0.35">
      <c r="D45" s="479"/>
    </row>
    <row r="46" spans="4:4" s="478" customFormat="1" x14ac:dyDescent="0.35">
      <c r="D46" s="479"/>
    </row>
    <row r="47" spans="4:4" s="478" customFormat="1" x14ac:dyDescent="0.35">
      <c r="D47" s="479"/>
    </row>
    <row r="48" spans="4:4" s="478" customFormat="1" x14ac:dyDescent="0.35">
      <c r="D48" s="479"/>
    </row>
    <row r="49" spans="4:4" s="478" customFormat="1" x14ac:dyDescent="0.35">
      <c r="D49" s="479"/>
    </row>
    <row r="50" spans="4:4" s="478" customFormat="1" x14ac:dyDescent="0.35">
      <c r="D50" s="479"/>
    </row>
    <row r="51" spans="4:4" s="478" customFormat="1" x14ac:dyDescent="0.35">
      <c r="D51" s="479"/>
    </row>
    <row r="52" spans="4:4" s="478" customFormat="1" x14ac:dyDescent="0.35">
      <c r="D52" s="479"/>
    </row>
    <row r="53" spans="4:4" s="478" customFormat="1" x14ac:dyDescent="0.35">
      <c r="D53" s="479"/>
    </row>
    <row r="54" spans="4:4" s="478" customFormat="1" x14ac:dyDescent="0.35">
      <c r="D54" s="479"/>
    </row>
    <row r="55" spans="4:4" s="478" customFormat="1" x14ac:dyDescent="0.35">
      <c r="D55" s="479"/>
    </row>
    <row r="56" spans="4:4" s="478" customFormat="1" x14ac:dyDescent="0.35">
      <c r="D56" s="479"/>
    </row>
    <row r="57" spans="4:4" s="478" customFormat="1" x14ac:dyDescent="0.35">
      <c r="D57" s="479"/>
    </row>
    <row r="58" spans="4:4" s="478" customFormat="1" x14ac:dyDescent="0.35">
      <c r="D58" s="479"/>
    </row>
    <row r="59" spans="4:4" s="478" customFormat="1" x14ac:dyDescent="0.35">
      <c r="D59" s="479"/>
    </row>
    <row r="60" spans="4:4" s="478" customFormat="1" x14ac:dyDescent="0.35">
      <c r="D60" s="479"/>
    </row>
    <row r="61" spans="4:4" s="478" customFormat="1" x14ac:dyDescent="0.35">
      <c r="D61" s="479"/>
    </row>
    <row r="62" spans="4:4" s="478" customFormat="1" x14ac:dyDescent="0.35">
      <c r="D62" s="479"/>
    </row>
    <row r="63" spans="4:4" s="478" customFormat="1" x14ac:dyDescent="0.35">
      <c r="D63" s="479"/>
    </row>
    <row r="64" spans="4:4" s="478" customFormat="1" x14ac:dyDescent="0.35">
      <c r="D64" s="479"/>
    </row>
    <row r="65" spans="4:4" s="478" customFormat="1" x14ac:dyDescent="0.35">
      <c r="D65" s="479"/>
    </row>
    <row r="66" spans="4:4" s="478" customFormat="1" x14ac:dyDescent="0.35">
      <c r="D66" s="479"/>
    </row>
    <row r="67" spans="4:4" s="478" customFormat="1" x14ac:dyDescent="0.35">
      <c r="D67" s="479"/>
    </row>
    <row r="68" spans="4:4" s="478" customFormat="1" x14ac:dyDescent="0.35">
      <c r="D68" s="479"/>
    </row>
    <row r="69" spans="4:4" s="478" customFormat="1" x14ac:dyDescent="0.35">
      <c r="D69" s="479"/>
    </row>
    <row r="70" spans="4:4" s="478" customFormat="1" x14ac:dyDescent="0.35">
      <c r="D70" s="479"/>
    </row>
    <row r="71" spans="4:4" s="478" customFormat="1" x14ac:dyDescent="0.35">
      <c r="D71" s="479"/>
    </row>
    <row r="72" spans="4:4" s="478" customFormat="1" x14ac:dyDescent="0.35">
      <c r="D72" s="479"/>
    </row>
    <row r="73" spans="4:4" s="478" customFormat="1" x14ac:dyDescent="0.35">
      <c r="D73" s="479"/>
    </row>
    <row r="74" spans="4:4" s="478" customFormat="1" x14ac:dyDescent="0.35">
      <c r="D74" s="479"/>
    </row>
    <row r="75" spans="4:4" s="478" customFormat="1" x14ac:dyDescent="0.35">
      <c r="D75" s="479"/>
    </row>
    <row r="76" spans="4:4" s="478" customFormat="1" x14ac:dyDescent="0.35">
      <c r="D76" s="479"/>
    </row>
    <row r="77" spans="4:4" s="478" customFormat="1" x14ac:dyDescent="0.35">
      <c r="D77" s="479"/>
    </row>
    <row r="78" spans="4:4" s="478" customFormat="1" x14ac:dyDescent="0.35">
      <c r="D78" s="479"/>
    </row>
    <row r="79" spans="4:4" s="478" customFormat="1" x14ac:dyDescent="0.35">
      <c r="D79" s="479"/>
    </row>
    <row r="80" spans="4:4" s="478" customFormat="1" x14ac:dyDescent="0.35">
      <c r="D80" s="479"/>
    </row>
    <row r="81" spans="4:4" s="478" customFormat="1" x14ac:dyDescent="0.35">
      <c r="D81" s="479"/>
    </row>
    <row r="82" spans="4:4" s="478" customFormat="1" x14ac:dyDescent="0.35">
      <c r="D82" s="479"/>
    </row>
    <row r="83" spans="4:4" s="478" customFormat="1" x14ac:dyDescent="0.35">
      <c r="D83" s="479"/>
    </row>
    <row r="84" spans="4:4" s="478" customFormat="1" x14ac:dyDescent="0.35">
      <c r="D84" s="479"/>
    </row>
    <row r="85" spans="4:4" s="478" customFormat="1" x14ac:dyDescent="0.35">
      <c r="D85" s="479"/>
    </row>
    <row r="86" spans="4:4" s="478" customFormat="1" x14ac:dyDescent="0.35">
      <c r="D86" s="479"/>
    </row>
    <row r="87" spans="4:4" s="478" customFormat="1" x14ac:dyDescent="0.35">
      <c r="D87" s="479"/>
    </row>
    <row r="88" spans="4:4" s="478" customFormat="1" x14ac:dyDescent="0.35">
      <c r="D88" s="479"/>
    </row>
    <row r="89" spans="4:4" s="478" customFormat="1" x14ac:dyDescent="0.35">
      <c r="D89" s="479"/>
    </row>
    <row r="90" spans="4:4" s="478" customFormat="1" x14ac:dyDescent="0.35">
      <c r="D90" s="479"/>
    </row>
    <row r="91" spans="4:4" s="478" customFormat="1" x14ac:dyDescent="0.35">
      <c r="D91" s="479"/>
    </row>
    <row r="92" spans="4:4" s="478" customFormat="1" x14ac:dyDescent="0.35">
      <c r="D92" s="479"/>
    </row>
    <row r="93" spans="4:4" s="478" customFormat="1" x14ac:dyDescent="0.35">
      <c r="D93" s="479"/>
    </row>
    <row r="94" spans="4:4" s="478" customFormat="1" x14ac:dyDescent="0.35">
      <c r="D94" s="479"/>
    </row>
    <row r="95" spans="4:4" s="478" customFormat="1" x14ac:dyDescent="0.35">
      <c r="D95" s="479"/>
    </row>
    <row r="96" spans="4:4" s="478" customFormat="1" x14ac:dyDescent="0.35">
      <c r="D96" s="479"/>
    </row>
    <row r="97" spans="4:4" s="478" customFormat="1" x14ac:dyDescent="0.35">
      <c r="D97" s="479"/>
    </row>
    <row r="98" spans="4:4" s="478" customFormat="1" x14ac:dyDescent="0.35">
      <c r="D98" s="479"/>
    </row>
    <row r="99" spans="4:4" s="478" customFormat="1" x14ac:dyDescent="0.35">
      <c r="D99" s="479"/>
    </row>
    <row r="100" spans="4:4" s="478" customFormat="1" x14ac:dyDescent="0.35">
      <c r="D100" s="479"/>
    </row>
    <row r="101" spans="4:4" s="478" customFormat="1" x14ac:dyDescent="0.35">
      <c r="D101" s="479"/>
    </row>
    <row r="102" spans="4:4" s="478" customFormat="1" x14ac:dyDescent="0.35">
      <c r="D102" s="479"/>
    </row>
    <row r="103" spans="4:4" s="478" customFormat="1" x14ac:dyDescent="0.35">
      <c r="D103" s="479"/>
    </row>
  </sheetData>
  <sheetProtection password="F93C" sheet="1" objects="1" scenarios="1" selectLockedCells="1"/>
  <mergeCells count="12">
    <mergeCell ref="C6:D6"/>
    <mergeCell ref="C7:D7"/>
    <mergeCell ref="C8:D8"/>
    <mergeCell ref="C10:D10"/>
    <mergeCell ref="D19:G19"/>
    <mergeCell ref="C9:G9"/>
    <mergeCell ref="C2:G2"/>
    <mergeCell ref="C3:G3"/>
    <mergeCell ref="C4:D4"/>
    <mergeCell ref="E4:G4"/>
    <mergeCell ref="C5:D5"/>
    <mergeCell ref="E5:G5"/>
  </mergeCells>
  <pageMargins left="0.25" right="0.25" top="0.91197916666666667" bottom="0.75" header="0.3" footer="0.3"/>
  <pageSetup scale="85" orientation="portrait" r:id="rId1"/>
  <headerFooter>
    <oddHeader>&amp;C&amp;"+,Bold"&amp;16Internal Credit Risk Scoring System&amp;"+,Regular"(Input Cash Flow Statement)</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B137"/>
  <sheetViews>
    <sheetView showGridLines="0" topLeftCell="C56" zoomScaleSheetLayoutView="100" workbookViewId="0">
      <selection activeCell="E42" sqref="E42"/>
    </sheetView>
  </sheetViews>
  <sheetFormatPr defaultColWidth="9.1796875" defaultRowHeight="14" x14ac:dyDescent="0.35"/>
  <cols>
    <col min="1" max="1" width="9.1796875" style="204" hidden="1" customWidth="1"/>
    <col min="2" max="2" width="0" style="204" hidden="1" customWidth="1"/>
    <col min="3" max="3" width="4.1796875" style="40" bestFit="1" customWidth="1"/>
    <col min="4" max="4" width="43" style="39" customWidth="1"/>
    <col min="5" max="5" width="24.7265625" style="259" customWidth="1"/>
    <col min="6" max="6" width="24.81640625" style="40" customWidth="1"/>
    <col min="7" max="7" width="23.81640625" style="40" customWidth="1"/>
    <col min="8" max="11" width="9.1796875" style="276"/>
    <col min="12" max="28" width="9.1796875" style="273"/>
    <col min="29" max="16384" width="9.1796875" style="204"/>
  </cols>
  <sheetData>
    <row r="1" spans="3:28" ht="9" customHeight="1" thickBot="1" x14ac:dyDescent="0.4"/>
    <row r="2" spans="3:28" ht="28.5" customHeight="1" thickBot="1" x14ac:dyDescent="0.4">
      <c r="C2" s="970" t="str">
        <f>'2. Top Page'!D9</f>
        <v>Outpace Spinning Mills Ltd</v>
      </c>
      <c r="D2" s="971"/>
      <c r="E2" s="971"/>
      <c r="F2" s="971"/>
      <c r="G2" s="972"/>
    </row>
    <row r="3" spans="3:28" ht="18" thickBot="1" x14ac:dyDescent="0.4">
      <c r="C3" s="973" t="str">
        <f>'3. Input-BS '!C5:G5</f>
        <v>Balance Sheet</v>
      </c>
      <c r="D3" s="974"/>
      <c r="E3" s="974"/>
      <c r="F3" s="974"/>
      <c r="G3" s="975"/>
    </row>
    <row r="4" spans="3:28" ht="20.149999999999999" customHeight="1" x14ac:dyDescent="0.35">
      <c r="C4" s="976" t="str">
        <f>'3. Input-BS '!C6:D6</f>
        <v>Analyst</v>
      </c>
      <c r="D4" s="977"/>
      <c r="E4" s="978" t="str">
        <f>'2. Top Page'!D18</f>
        <v>Md. Matiur Rahman, SRM</v>
      </c>
      <c r="F4" s="978"/>
      <c r="G4" s="979"/>
    </row>
    <row r="5" spans="3:28" ht="20.149999999999999" customHeight="1" x14ac:dyDescent="0.35">
      <c r="C5" s="966" t="s">
        <v>84</v>
      </c>
      <c r="D5" s="967"/>
      <c r="E5" s="980" t="str">
        <f>'2. Top Page'!D19</f>
        <v>Farhana Afrin, SM</v>
      </c>
      <c r="F5" s="980"/>
      <c r="G5" s="981"/>
    </row>
    <row r="6" spans="3:28" ht="20.149999999999999" customHeight="1" x14ac:dyDescent="0.35">
      <c r="C6" s="966" t="str">
        <f>'3. Input-BS '!C8:D8</f>
        <v>Name of Audit Farm</v>
      </c>
      <c r="D6" s="967"/>
      <c r="E6" s="248" t="str">
        <f>'3. Input-BS '!E8</f>
        <v>Deawn Nazrul Islam &amp; Co</v>
      </c>
      <c r="F6" s="248" t="str">
        <f>'3. Input-BS '!F8</f>
        <v>Deawn Nazrul Islam &amp; Co</v>
      </c>
      <c r="G6" s="249" t="str">
        <f>'3. Input-BS '!G8</f>
        <v>Rahman Mustafiz Haw &amp; Co.</v>
      </c>
    </row>
    <row r="7" spans="3:28" ht="20.149999999999999" customHeight="1" x14ac:dyDescent="0.35">
      <c r="C7" s="966" t="str">
        <f>'3. Input-BS '!C9:D9</f>
        <v>Period (months)</v>
      </c>
      <c r="D7" s="967"/>
      <c r="E7" s="250">
        <f>'3. Input-BS '!E9</f>
        <v>12</v>
      </c>
      <c r="F7" s="250">
        <f>'3. Input-BS '!F9</f>
        <v>12</v>
      </c>
      <c r="G7" s="251">
        <f>'3. Input-BS '!G9</f>
        <v>12</v>
      </c>
    </row>
    <row r="8" spans="3:28" ht="20.149999999999999" customHeight="1" x14ac:dyDescent="0.35">
      <c r="C8" s="966" t="str">
        <f>'3. Input-BS '!C10:D10</f>
        <v>Amount in thousand</v>
      </c>
      <c r="D8" s="967"/>
      <c r="E8" s="250" t="str">
        <f>'3. Input-BS '!E10</f>
        <v>('000)</v>
      </c>
      <c r="F8" s="250" t="str">
        <f>'3. Input-BS '!F10</f>
        <v>('000)</v>
      </c>
      <c r="G8" s="251" t="str">
        <f>'3. Input-BS '!G10</f>
        <v>('000)</v>
      </c>
    </row>
    <row r="9" spans="3:28" ht="20.149999999999999" customHeight="1" thickBot="1" x14ac:dyDescent="0.4">
      <c r="C9" s="968" t="str">
        <f>'3. Input-BS '!C11:D11</f>
        <v>Statement Year</v>
      </c>
      <c r="D9" s="969"/>
      <c r="E9" s="252">
        <f>'3. Input-BS '!E11</f>
        <v>2025</v>
      </c>
      <c r="F9" s="252">
        <f>'3. Input-BS '!F11</f>
        <v>2024</v>
      </c>
      <c r="G9" s="253">
        <f>'3. Input-BS '!G11</f>
        <v>2023</v>
      </c>
    </row>
    <row r="10" spans="3:28" s="60" customFormat="1" ht="18.75" customHeight="1" thickBot="1" x14ac:dyDescent="0.4">
      <c r="C10" s="254"/>
      <c r="D10" s="255"/>
      <c r="E10" s="256"/>
      <c r="F10" s="256"/>
      <c r="G10" s="257"/>
      <c r="H10" s="276"/>
      <c r="I10" s="276"/>
      <c r="J10" s="276"/>
      <c r="K10" s="276"/>
      <c r="L10" s="273"/>
      <c r="M10" s="273"/>
      <c r="N10" s="273"/>
      <c r="O10" s="273"/>
      <c r="P10" s="273"/>
      <c r="Q10" s="273"/>
      <c r="R10" s="273"/>
      <c r="S10" s="273"/>
      <c r="T10" s="273"/>
      <c r="U10" s="273"/>
      <c r="V10" s="273"/>
      <c r="W10" s="273"/>
      <c r="X10" s="273"/>
      <c r="Y10" s="273"/>
      <c r="Z10" s="273"/>
      <c r="AA10" s="273"/>
      <c r="AB10" s="273"/>
    </row>
    <row r="11" spans="3:28" x14ac:dyDescent="0.35">
      <c r="C11" s="964" t="str">
        <f>'3. Input-BS '!C13:D13</f>
        <v>Current Assets:</v>
      </c>
      <c r="D11" s="965"/>
      <c r="E11" s="260"/>
      <c r="F11" s="260"/>
      <c r="G11" s="260"/>
    </row>
    <row r="12" spans="3:28" ht="37.5" customHeight="1" x14ac:dyDescent="0.35">
      <c r="C12" s="261">
        <f>'3. Input-BS '!C14</f>
        <v>1</v>
      </c>
      <c r="D12" s="262" t="str">
        <f>'3. Input-BS '!D14</f>
        <v>Inventories (raw materials+work in progress+Finished Goods)</v>
      </c>
      <c r="E12" s="263">
        <f>'3. Input-BS '!E14</f>
        <v>2716117.68</v>
      </c>
      <c r="F12" s="263">
        <f>'3. Input-BS '!F14</f>
        <v>1547239.4210000001</v>
      </c>
      <c r="G12" s="264">
        <f>'3. Input-BS '!G14</f>
        <v>1596103.7309999999</v>
      </c>
    </row>
    <row r="13" spans="3:28" x14ac:dyDescent="0.35">
      <c r="C13" s="261">
        <f>'3. Input-BS '!C15</f>
        <v>2</v>
      </c>
      <c r="D13" s="262" t="str">
        <f>'3. Input-BS '!D15</f>
        <v>Trade Debtors/Accounts Receivables</v>
      </c>
      <c r="E13" s="263">
        <f>'3. Input-BS '!E15</f>
        <v>350127.00699999998</v>
      </c>
      <c r="F13" s="263">
        <f>'3. Input-BS '!F15</f>
        <v>943794.92500000005</v>
      </c>
      <c r="G13" s="264">
        <f>'3. Input-BS '!G15</f>
        <v>509309.24300000002</v>
      </c>
    </row>
    <row r="14" spans="3:28" s="265" customFormat="1" x14ac:dyDescent="0.35">
      <c r="C14" s="261">
        <f>'3. Input-BS '!C16</f>
        <v>3</v>
      </c>
      <c r="D14" s="262" t="str">
        <f>'3. Input-BS '!D16</f>
        <v>Advances, Deposits and Prepayments</v>
      </c>
      <c r="E14" s="263">
        <f>'3. Input-BS '!E16</f>
        <v>70922.706000000006</v>
      </c>
      <c r="F14" s="263">
        <f>'3. Input-BS '!F16</f>
        <v>71989.994000000006</v>
      </c>
      <c r="G14" s="264">
        <f>'3. Input-BS '!G16</f>
        <v>112099.51299999999</v>
      </c>
      <c r="H14" s="271"/>
      <c r="I14" s="271"/>
      <c r="J14" s="271"/>
      <c r="K14" s="271"/>
      <c r="L14" s="268"/>
      <c r="M14" s="268"/>
      <c r="N14" s="268"/>
      <c r="O14" s="268"/>
      <c r="P14" s="268"/>
      <c r="Q14" s="268"/>
      <c r="R14" s="268"/>
      <c r="S14" s="268"/>
      <c r="T14" s="268"/>
      <c r="U14" s="268"/>
      <c r="V14" s="268"/>
      <c r="W14" s="268"/>
      <c r="X14" s="268"/>
      <c r="Y14" s="268"/>
      <c r="Z14" s="268"/>
      <c r="AA14" s="268"/>
      <c r="AB14" s="268"/>
    </row>
    <row r="15" spans="3:28" x14ac:dyDescent="0.35">
      <c r="C15" s="261">
        <f>'3. Input-BS '!C17</f>
        <v>4</v>
      </c>
      <c r="D15" s="262" t="str">
        <f>'3. Input-BS '!D17</f>
        <v>Cash Subsidy Receivable</v>
      </c>
      <c r="E15" s="263">
        <f>'3. Input-BS '!E17</f>
        <v>0</v>
      </c>
      <c r="F15" s="263">
        <f>'3. Input-BS '!F17</f>
        <v>0</v>
      </c>
      <c r="G15" s="264">
        <f>'3. Input-BS '!G17</f>
        <v>0</v>
      </c>
    </row>
    <row r="16" spans="3:28" x14ac:dyDescent="0.35">
      <c r="C16" s="261">
        <f>'3. Input-BS '!C18</f>
        <v>5</v>
      </c>
      <c r="D16" s="262" t="str">
        <f>'3. Input-BS '!D18</f>
        <v xml:space="preserve"> Other Receivables</v>
      </c>
      <c r="E16" s="263">
        <f>'3. Input-BS '!E18</f>
        <v>0</v>
      </c>
      <c r="F16" s="263">
        <f>'3. Input-BS '!F18</f>
        <v>0</v>
      </c>
      <c r="G16" s="264">
        <f>'3. Input-BS '!G18</f>
        <v>0</v>
      </c>
    </row>
    <row r="17" spans="3:28" s="265" customFormat="1" x14ac:dyDescent="0.35">
      <c r="C17" s="261">
        <f>'3. Input-BS '!C19</f>
        <v>6</v>
      </c>
      <c r="D17" s="262" t="str">
        <f>'3. Input-BS '!D19</f>
        <v>Advance Income Tax</v>
      </c>
      <c r="E17" s="263">
        <f>'3. Input-BS '!E19</f>
        <v>15902.348</v>
      </c>
      <c r="F17" s="263">
        <f>'3. Input-BS '!F19</f>
        <v>9694.6820000000007</v>
      </c>
      <c r="G17" s="264">
        <f>'3. Input-BS '!G19</f>
        <v>14013.878000000001</v>
      </c>
      <c r="H17" s="271"/>
      <c r="I17" s="271"/>
      <c r="J17" s="271"/>
      <c r="K17" s="271"/>
      <c r="L17" s="268"/>
      <c r="M17" s="268"/>
      <c r="N17" s="268"/>
      <c r="O17" s="268"/>
      <c r="P17" s="268"/>
      <c r="Q17" s="268"/>
      <c r="R17" s="268"/>
      <c r="S17" s="268"/>
      <c r="T17" s="268"/>
      <c r="U17" s="268"/>
      <c r="V17" s="268"/>
      <c r="W17" s="268"/>
      <c r="X17" s="268"/>
      <c r="Y17" s="268"/>
      <c r="Z17" s="268"/>
      <c r="AA17" s="268"/>
      <c r="AB17" s="268"/>
    </row>
    <row r="18" spans="3:28" x14ac:dyDescent="0.35">
      <c r="C18" s="261">
        <f>'3. Input-BS '!C20</f>
        <v>0</v>
      </c>
      <c r="D18" s="262">
        <f>'3. Input-BS '!D20</f>
        <v>0</v>
      </c>
      <c r="E18" s="263">
        <f>'3. Input-BS '!E20</f>
        <v>0</v>
      </c>
      <c r="F18" s="263">
        <f>'3. Input-BS '!F20</f>
        <v>0</v>
      </c>
      <c r="G18" s="264">
        <f>'3. Input-BS '!G20</f>
        <v>0</v>
      </c>
    </row>
    <row r="19" spans="3:28" x14ac:dyDescent="0.35">
      <c r="C19" s="261">
        <f>'3. Input-BS '!C21</f>
        <v>7</v>
      </c>
      <c r="D19" s="262" t="str">
        <f>'3. Input-BS '!D21</f>
        <v>Interest Receivables</v>
      </c>
      <c r="E19" s="263">
        <f>'3. Input-BS '!E21</f>
        <v>0</v>
      </c>
      <c r="F19" s="263">
        <f>'3. Input-BS '!F21</f>
        <v>0</v>
      </c>
      <c r="G19" s="264">
        <f>'3. Input-BS '!G21</f>
        <v>0</v>
      </c>
    </row>
    <row r="20" spans="3:28" s="265" customFormat="1" ht="28" x14ac:dyDescent="0.35">
      <c r="C20" s="261">
        <f>'3. Input-BS '!C22</f>
        <v>8</v>
      </c>
      <c r="D20" s="262" t="str">
        <f>'3. Input-BS '!D22</f>
        <v>Loan to Associate/Subsidiary/Inter Company Loan</v>
      </c>
      <c r="E20" s="263">
        <f>'3. Input-BS '!E22</f>
        <v>0</v>
      </c>
      <c r="F20" s="263">
        <f>'3. Input-BS '!F22</f>
        <v>0</v>
      </c>
      <c r="G20" s="264">
        <f>'3. Input-BS '!G22</f>
        <v>0</v>
      </c>
      <c r="H20" s="271"/>
      <c r="I20" s="271"/>
      <c r="J20" s="271"/>
      <c r="K20" s="271"/>
      <c r="L20" s="268"/>
      <c r="M20" s="268"/>
      <c r="N20" s="268"/>
      <c r="O20" s="268"/>
      <c r="P20" s="268"/>
      <c r="Q20" s="268"/>
      <c r="R20" s="268"/>
      <c r="S20" s="268"/>
      <c r="T20" s="268"/>
      <c r="U20" s="268"/>
      <c r="V20" s="268"/>
      <c r="W20" s="268"/>
      <c r="X20" s="268"/>
      <c r="Y20" s="268"/>
      <c r="Z20" s="268"/>
      <c r="AA20" s="268"/>
      <c r="AB20" s="268"/>
    </row>
    <row r="21" spans="3:28" x14ac:dyDescent="0.35">
      <c r="C21" s="261">
        <f>'3. Input-BS '!C23</f>
        <v>9</v>
      </c>
      <c r="D21" s="262" t="str">
        <f>'3. Input-BS '!D23</f>
        <v>Short Term Loan/Investment</v>
      </c>
      <c r="E21" s="263">
        <f>'3. Input-BS '!E23</f>
        <v>17389.659</v>
      </c>
      <c r="F21" s="263">
        <f>'3. Input-BS '!F23</f>
        <v>22669.291000000001</v>
      </c>
      <c r="G21" s="264">
        <f>'3. Input-BS '!G23</f>
        <v>20464.8</v>
      </c>
    </row>
    <row r="22" spans="3:28" x14ac:dyDescent="0.35">
      <c r="C22" s="261">
        <f>'3. Input-BS '!C24</f>
        <v>10</v>
      </c>
      <c r="D22" s="262" t="str">
        <f>'3. Input-BS '!D24</f>
        <v>Inter Company Receivables/Dues</v>
      </c>
      <c r="E22" s="263">
        <f>'3. Input-BS '!E24</f>
        <v>0</v>
      </c>
      <c r="F22" s="263">
        <f>'3. Input-BS '!F24</f>
        <v>0</v>
      </c>
      <c r="G22" s="264">
        <f>'3. Input-BS '!G24</f>
        <v>0</v>
      </c>
    </row>
    <row r="23" spans="3:28" s="265" customFormat="1" ht="28" x14ac:dyDescent="0.35">
      <c r="C23" s="261">
        <f>'3. Input-BS '!C25</f>
        <v>11</v>
      </c>
      <c r="D23" s="262" t="str">
        <f>'3. Input-BS '!D25</f>
        <v>Investments Held for Sale/Marketable Securities</v>
      </c>
      <c r="E23" s="263">
        <f>'3. Input-BS '!E25</f>
        <v>0</v>
      </c>
      <c r="F23" s="263">
        <f>'3. Input-BS '!F25</f>
        <v>0</v>
      </c>
      <c r="G23" s="264">
        <f>'3. Input-BS '!G25</f>
        <v>0</v>
      </c>
      <c r="H23" s="271"/>
      <c r="I23" s="271"/>
      <c r="J23" s="271"/>
      <c r="K23" s="271"/>
      <c r="L23" s="268"/>
      <c r="M23" s="268"/>
      <c r="N23" s="268"/>
      <c r="O23" s="268"/>
      <c r="P23" s="268"/>
      <c r="Q23" s="268"/>
      <c r="R23" s="268"/>
      <c r="S23" s="268"/>
      <c r="T23" s="268"/>
      <c r="U23" s="268"/>
      <c r="V23" s="268"/>
      <c r="W23" s="268"/>
      <c r="X23" s="268"/>
      <c r="Y23" s="268"/>
      <c r="Z23" s="268"/>
      <c r="AA23" s="268"/>
      <c r="AB23" s="268"/>
    </row>
    <row r="24" spans="3:28" x14ac:dyDescent="0.35">
      <c r="C24" s="261">
        <f>'3. Input-BS '!C26</f>
        <v>12</v>
      </c>
      <c r="D24" s="262" t="str">
        <f>'3. Input-BS '!D26</f>
        <v>Goods in Transit</v>
      </c>
      <c r="E24" s="263">
        <f>'3. Input-BS '!E26</f>
        <v>0</v>
      </c>
      <c r="F24" s="263">
        <f>'3. Input-BS '!F26</f>
        <v>0</v>
      </c>
      <c r="G24" s="264">
        <f>'3. Input-BS '!G26</f>
        <v>0</v>
      </c>
    </row>
    <row r="25" spans="3:28" x14ac:dyDescent="0.35">
      <c r="C25" s="261">
        <f>'3. Input-BS '!C27</f>
        <v>13</v>
      </c>
      <c r="D25" s="262" t="str">
        <f>'3. Input-BS '!D27</f>
        <v>Cash &amp; Bank Balance</v>
      </c>
      <c r="E25" s="263">
        <f>'3. Input-BS '!E27</f>
        <v>18841.322</v>
      </c>
      <c r="F25" s="263">
        <f>'3. Input-BS '!F27</f>
        <v>36951.324000000001</v>
      </c>
      <c r="G25" s="264">
        <f>'3. Input-BS '!G27</f>
        <v>17409.703000000001</v>
      </c>
    </row>
    <row r="26" spans="3:28" s="265" customFormat="1" x14ac:dyDescent="0.35">
      <c r="C26" s="261">
        <f>'3. Input-BS '!C28</f>
        <v>14</v>
      </c>
      <c r="D26" s="262" t="str">
        <f>'3. Input-BS '!D28</f>
        <v>Other Current Assets</v>
      </c>
      <c r="E26" s="263">
        <f>'3. Input-BS '!E28</f>
        <v>0</v>
      </c>
      <c r="F26" s="263">
        <f>'3. Input-BS '!F28</f>
        <v>0</v>
      </c>
      <c r="G26" s="264">
        <f>'3. Input-BS '!G28</f>
        <v>0</v>
      </c>
      <c r="H26" s="271"/>
      <c r="I26" s="271"/>
      <c r="J26" s="271"/>
      <c r="K26" s="271"/>
      <c r="L26" s="268"/>
      <c r="M26" s="268"/>
      <c r="N26" s="268"/>
      <c r="O26" s="268"/>
      <c r="P26" s="268"/>
      <c r="Q26" s="268"/>
      <c r="R26" s="268"/>
      <c r="S26" s="268"/>
      <c r="T26" s="268"/>
      <c r="U26" s="268"/>
      <c r="V26" s="268"/>
      <c r="W26" s="268"/>
      <c r="X26" s="268"/>
      <c r="Y26" s="268"/>
      <c r="Z26" s="268"/>
      <c r="AA26" s="268"/>
      <c r="AB26" s="268"/>
    </row>
    <row r="27" spans="3:28" x14ac:dyDescent="0.35">
      <c r="C27" s="304"/>
      <c r="D27" s="305" t="str">
        <f>'3. Input-BS '!D29</f>
        <v>Total Current Assets</v>
      </c>
      <c r="E27" s="306">
        <f>'3. Input-BS '!E29</f>
        <v>3189300.7220000005</v>
      </c>
      <c r="F27" s="306">
        <f>'3. Input-BS '!F29</f>
        <v>2632339.6370000001</v>
      </c>
      <c r="G27" s="307">
        <f>'3. Input-BS '!G29</f>
        <v>2269400.8679999998</v>
      </c>
    </row>
    <row r="28" spans="3:28" x14ac:dyDescent="0.35">
      <c r="C28" s="261"/>
      <c r="D28" s="266" t="str">
        <f>'3. Input-BS '!D30</f>
        <v>Non-Current Assets:</v>
      </c>
      <c r="E28" s="263">
        <f>'3. Input-BS '!E30</f>
        <v>0</v>
      </c>
      <c r="F28" s="263">
        <f>'3. Input-BS '!F30</f>
        <v>0</v>
      </c>
      <c r="G28" s="264">
        <f>'3. Input-BS '!G30</f>
        <v>0</v>
      </c>
    </row>
    <row r="29" spans="3:28" x14ac:dyDescent="0.35">
      <c r="C29" s="261">
        <f>'3. Input-BS '!C31</f>
        <v>17</v>
      </c>
      <c r="D29" s="262" t="str">
        <f>'3. Input-BS '!D31</f>
        <v>Net Property, Plant and Equipment</v>
      </c>
      <c r="E29" s="263">
        <f>'3. Input-BS '!E31</f>
        <v>447186.02899999998</v>
      </c>
      <c r="F29" s="263">
        <f>'3. Input-BS '!F31</f>
        <v>416976.52100000001</v>
      </c>
      <c r="G29" s="264">
        <f>'3. Input-BS '!G31</f>
        <v>293638.33100000001</v>
      </c>
    </row>
    <row r="30" spans="3:28" x14ac:dyDescent="0.35">
      <c r="C30" s="261">
        <f>'3. Input-BS '!C32</f>
        <v>18</v>
      </c>
      <c r="D30" s="262" t="str">
        <f>'3. Input-BS '!D32</f>
        <v>Net Land and Buildings</v>
      </c>
      <c r="E30" s="263">
        <f>'3. Input-BS '!E32</f>
        <v>0</v>
      </c>
      <c r="F30" s="263">
        <f>'3. Input-BS '!F32</f>
        <v>0</v>
      </c>
      <c r="G30" s="264">
        <f>'3. Input-BS '!G32</f>
        <v>0</v>
      </c>
    </row>
    <row r="31" spans="3:28" s="265" customFormat="1" x14ac:dyDescent="0.35">
      <c r="C31" s="261">
        <f>'3. Input-BS '!C33</f>
        <v>19</v>
      </c>
      <c r="D31" s="262" t="str">
        <f>'3. Input-BS '!D33</f>
        <v>Net Furniture &amp; Fixture</v>
      </c>
      <c r="E31" s="263">
        <f>'3. Input-BS '!E33</f>
        <v>0</v>
      </c>
      <c r="F31" s="263">
        <f>'3. Input-BS '!F33</f>
        <v>0</v>
      </c>
      <c r="G31" s="264">
        <f>'3. Input-BS '!G33</f>
        <v>0</v>
      </c>
      <c r="H31" s="271"/>
      <c r="I31" s="271"/>
      <c r="J31" s="271"/>
      <c r="K31" s="271"/>
      <c r="L31" s="268"/>
      <c r="M31" s="268"/>
      <c r="N31" s="268"/>
      <c r="O31" s="268"/>
      <c r="P31" s="268"/>
      <c r="Q31" s="268"/>
      <c r="R31" s="268"/>
      <c r="S31" s="268"/>
      <c r="T31" s="268"/>
      <c r="U31" s="268"/>
      <c r="V31" s="268"/>
      <c r="W31" s="268"/>
      <c r="X31" s="268"/>
      <c r="Y31" s="268"/>
      <c r="Z31" s="268"/>
      <c r="AA31" s="268"/>
      <c r="AB31" s="268"/>
    </row>
    <row r="32" spans="3:28" s="265" customFormat="1" x14ac:dyDescent="0.35">
      <c r="C32" s="261">
        <f>'3. Input-BS '!C30</f>
        <v>16</v>
      </c>
      <c r="D32" s="262" t="str">
        <f>'3. Input-BS '!D34</f>
        <v>Net Other Fixed Assets</v>
      </c>
      <c r="E32" s="263">
        <f>'3. Input-BS '!E34</f>
        <v>0</v>
      </c>
      <c r="F32" s="263">
        <f>'3. Input-BS '!F34</f>
        <v>0</v>
      </c>
      <c r="G32" s="264">
        <f>'3. Input-BS '!G34</f>
        <v>0</v>
      </c>
      <c r="H32" s="271"/>
      <c r="I32" s="271"/>
      <c r="J32" s="271"/>
      <c r="K32" s="271"/>
      <c r="L32" s="268"/>
      <c r="M32" s="268"/>
      <c r="N32" s="268"/>
      <c r="O32" s="268"/>
      <c r="P32" s="268"/>
      <c r="Q32" s="268"/>
      <c r="R32" s="268"/>
      <c r="S32" s="268"/>
      <c r="T32" s="268"/>
      <c r="U32" s="268"/>
      <c r="V32" s="268"/>
      <c r="W32" s="268"/>
      <c r="X32" s="268"/>
      <c r="Y32" s="268"/>
      <c r="Z32" s="268"/>
      <c r="AA32" s="268"/>
      <c r="AB32" s="268"/>
    </row>
    <row r="33" spans="3:28" x14ac:dyDescent="0.35">
      <c r="C33" s="261">
        <f>'3. Input-BS '!C35</f>
        <v>21</v>
      </c>
      <c r="D33" s="262" t="str">
        <f>'3. Input-BS '!D35</f>
        <v>Goodwill</v>
      </c>
      <c r="E33" s="263">
        <f>'3. Input-BS '!E35</f>
        <v>0</v>
      </c>
      <c r="F33" s="263">
        <f>'3. Input-BS '!F35</f>
        <v>0</v>
      </c>
      <c r="G33" s="264">
        <f>'3. Input-BS '!G35</f>
        <v>0</v>
      </c>
    </row>
    <row r="34" spans="3:28" x14ac:dyDescent="0.35">
      <c r="C34" s="261">
        <f>'3. Input-BS '!C36</f>
        <v>22</v>
      </c>
      <c r="D34" s="262" t="str">
        <f>'3. Input-BS '!D36</f>
        <v>Trademark/Patent/Software</v>
      </c>
      <c r="E34" s="263">
        <f>'3. Input-BS '!E36</f>
        <v>0</v>
      </c>
      <c r="F34" s="263">
        <f>'3. Input-BS '!F36</f>
        <v>0</v>
      </c>
      <c r="G34" s="264">
        <f>'3. Input-BS '!G36</f>
        <v>0</v>
      </c>
    </row>
    <row r="35" spans="3:28" x14ac:dyDescent="0.35">
      <c r="C35" s="261">
        <f>'3. Input-BS '!C37</f>
        <v>23</v>
      </c>
      <c r="D35" s="262" t="str">
        <f>'3. Input-BS '!D37</f>
        <v>other Intangible Assets</v>
      </c>
      <c r="E35" s="263">
        <f>'3. Input-BS '!E37</f>
        <v>0</v>
      </c>
      <c r="F35" s="263">
        <f>'3. Input-BS '!F37</f>
        <v>0</v>
      </c>
      <c r="G35" s="264">
        <f>'3. Input-BS '!G37</f>
        <v>0</v>
      </c>
    </row>
    <row r="36" spans="3:28" s="267" customFormat="1" ht="34.5" customHeight="1" x14ac:dyDescent="0.35">
      <c r="C36" s="261">
        <f>'3. Input-BS '!C38</f>
        <v>24</v>
      </c>
      <c r="D36" s="262" t="str">
        <f>'3. Input-BS '!D38</f>
        <v>Investment in Subsidiary and Associates/ Joint Venture</v>
      </c>
      <c r="E36" s="263">
        <f>'3. Input-BS '!E38</f>
        <v>300000</v>
      </c>
      <c r="F36" s="263">
        <f>'3. Input-BS '!F38</f>
        <v>300000</v>
      </c>
      <c r="G36" s="264">
        <f>'3. Input-BS '!G38</f>
        <v>300000</v>
      </c>
      <c r="H36" s="276"/>
      <c r="I36" s="276"/>
      <c r="J36" s="276"/>
      <c r="K36" s="276"/>
      <c r="L36" s="273"/>
      <c r="M36" s="273"/>
      <c r="N36" s="273"/>
      <c r="O36" s="273"/>
      <c r="P36" s="273"/>
      <c r="Q36" s="273"/>
      <c r="R36" s="273"/>
      <c r="S36" s="273"/>
      <c r="T36" s="273"/>
      <c r="U36" s="273"/>
      <c r="V36" s="273"/>
      <c r="W36" s="273"/>
      <c r="X36" s="273"/>
      <c r="Y36" s="273"/>
      <c r="Z36" s="273"/>
      <c r="AA36" s="273"/>
      <c r="AB36" s="273"/>
    </row>
    <row r="37" spans="3:28" x14ac:dyDescent="0.35">
      <c r="C37" s="261">
        <f>'3. Input-BS '!C39</f>
        <v>25</v>
      </c>
      <c r="D37" s="262" t="str">
        <f>'3. Input-BS '!D39</f>
        <v>Investment in Shares/Bond</v>
      </c>
      <c r="E37" s="263">
        <f>'3. Input-BS '!E39</f>
        <v>0</v>
      </c>
      <c r="F37" s="263">
        <f>'3. Input-BS '!F39</f>
        <v>0</v>
      </c>
      <c r="G37" s="264">
        <f>'3. Input-BS '!G39</f>
        <v>0</v>
      </c>
    </row>
    <row r="38" spans="3:28" x14ac:dyDescent="0.35">
      <c r="C38" s="261">
        <f>'3. Input-BS '!C40</f>
        <v>26</v>
      </c>
      <c r="D38" s="262" t="str">
        <f>'3. Input-BS '!D40</f>
        <v>Other Investments</v>
      </c>
      <c r="E38" s="263">
        <f>'3. Input-BS '!E40</f>
        <v>0</v>
      </c>
      <c r="F38" s="263">
        <f>'3. Input-BS '!F40</f>
        <v>0</v>
      </c>
      <c r="G38" s="264">
        <f>'3. Input-BS '!G40</f>
        <v>0</v>
      </c>
    </row>
    <row r="39" spans="3:28" x14ac:dyDescent="0.35">
      <c r="C39" s="261">
        <f>'3. Input-BS '!C41</f>
        <v>27</v>
      </c>
      <c r="D39" s="262" t="str">
        <f>'3. Input-BS '!D41</f>
        <v>Deferred Tax Assets</v>
      </c>
      <c r="E39" s="263">
        <f>'3. Input-BS '!E41</f>
        <v>0</v>
      </c>
      <c r="F39" s="263">
        <f>'3. Input-BS '!F41</f>
        <v>0</v>
      </c>
      <c r="G39" s="264">
        <f>'3. Input-BS '!G41</f>
        <v>0</v>
      </c>
    </row>
    <row r="40" spans="3:28" x14ac:dyDescent="0.35">
      <c r="C40" s="261">
        <f>'3. Input-BS '!C42</f>
        <v>28</v>
      </c>
      <c r="D40" s="262" t="str">
        <f>'3. Input-BS '!D42</f>
        <v>Loan to Subsidiary/Associate</v>
      </c>
      <c r="E40" s="263">
        <f>'3. Input-BS '!E42</f>
        <v>0</v>
      </c>
      <c r="F40" s="263">
        <f>'3. Input-BS '!F42</f>
        <v>0</v>
      </c>
      <c r="G40" s="264">
        <f>'3. Input-BS '!G42</f>
        <v>0</v>
      </c>
    </row>
    <row r="41" spans="3:28" x14ac:dyDescent="0.35">
      <c r="C41" s="261">
        <f>'3. Input-BS '!C43</f>
        <v>29</v>
      </c>
      <c r="D41" s="262" t="str">
        <f>'3. Input-BS '!D43</f>
        <v>Preliminary Expenses</v>
      </c>
      <c r="E41" s="263">
        <f>'3. Input-BS '!E43</f>
        <v>0</v>
      </c>
      <c r="F41" s="263">
        <f>'3. Input-BS '!F43</f>
        <v>0</v>
      </c>
      <c r="G41" s="264">
        <f>'3. Input-BS '!G43</f>
        <v>0</v>
      </c>
    </row>
    <row r="42" spans="3:28" x14ac:dyDescent="0.35">
      <c r="C42" s="261">
        <f>'3. Input-BS '!C44</f>
        <v>30</v>
      </c>
      <c r="D42" s="262" t="str">
        <f>'3. Input-BS '!D44</f>
        <v>Product Development Cost</v>
      </c>
      <c r="E42" s="263">
        <f>'3. Input-BS '!E44</f>
        <v>0</v>
      </c>
      <c r="F42" s="263">
        <f>'3. Input-BS '!F44</f>
        <v>0</v>
      </c>
      <c r="G42" s="264">
        <f>'3. Input-BS '!G44</f>
        <v>0</v>
      </c>
    </row>
    <row r="43" spans="3:28" s="265" customFormat="1" x14ac:dyDescent="0.35">
      <c r="C43" s="261">
        <f>'3. Input-BS '!C45</f>
        <v>31</v>
      </c>
      <c r="D43" s="262" t="str">
        <f>'3. Input-BS '!D45</f>
        <v>Capital Work In Progress</v>
      </c>
      <c r="E43" s="263">
        <f>'3. Input-BS '!E45</f>
        <v>0</v>
      </c>
      <c r="F43" s="263">
        <f>'3. Input-BS '!F45</f>
        <v>0</v>
      </c>
      <c r="G43" s="264">
        <f>'3. Input-BS '!G45</f>
        <v>0</v>
      </c>
      <c r="H43" s="271"/>
      <c r="I43" s="271"/>
      <c r="J43" s="271"/>
      <c r="K43" s="271"/>
      <c r="L43" s="268"/>
      <c r="M43" s="268"/>
      <c r="N43" s="268"/>
      <c r="O43" s="268"/>
      <c r="P43" s="268"/>
      <c r="Q43" s="268"/>
      <c r="R43" s="268"/>
      <c r="S43" s="268"/>
      <c r="T43" s="268"/>
      <c r="U43" s="268"/>
      <c r="V43" s="268"/>
      <c r="W43" s="268"/>
      <c r="X43" s="268"/>
      <c r="Y43" s="268"/>
      <c r="Z43" s="268"/>
      <c r="AA43" s="268"/>
      <c r="AB43" s="268"/>
    </row>
    <row r="44" spans="3:28" s="265" customFormat="1" x14ac:dyDescent="0.35">
      <c r="C44" s="261">
        <f>'3. Input-BS '!C46</f>
        <v>32</v>
      </c>
      <c r="D44" s="262" t="str">
        <f>'3. Input-BS '!D46</f>
        <v>Prepayment of Rent</v>
      </c>
      <c r="E44" s="263">
        <f>'3. Input-BS '!E46</f>
        <v>0</v>
      </c>
      <c r="F44" s="263">
        <f>'3. Input-BS '!F46</f>
        <v>0</v>
      </c>
      <c r="G44" s="264">
        <f>'3. Input-BS '!G46</f>
        <v>0</v>
      </c>
      <c r="H44" s="271"/>
      <c r="I44" s="271"/>
      <c r="J44" s="271"/>
      <c r="K44" s="271"/>
      <c r="L44" s="268"/>
      <c r="M44" s="268"/>
      <c r="N44" s="268"/>
      <c r="O44" s="268"/>
      <c r="P44" s="268"/>
      <c r="Q44" s="268"/>
      <c r="R44" s="268"/>
      <c r="S44" s="268"/>
      <c r="T44" s="268"/>
      <c r="U44" s="268"/>
      <c r="V44" s="268"/>
      <c r="W44" s="268"/>
      <c r="X44" s="268"/>
      <c r="Y44" s="268"/>
      <c r="Z44" s="268"/>
      <c r="AA44" s="268"/>
      <c r="AB44" s="268"/>
    </row>
    <row r="45" spans="3:28" x14ac:dyDescent="0.35">
      <c r="C45" s="261">
        <f>'3. Input-BS '!C47</f>
        <v>33</v>
      </c>
      <c r="D45" s="262" t="str">
        <f>'3. Input-BS '!D47</f>
        <v>IPO Expenses</v>
      </c>
      <c r="E45" s="263">
        <f>'3. Input-BS '!E47</f>
        <v>0</v>
      </c>
      <c r="F45" s="263">
        <f>'3. Input-BS '!F47</f>
        <v>0</v>
      </c>
      <c r="G45" s="264">
        <f>'3. Input-BS '!G47</f>
        <v>0</v>
      </c>
    </row>
    <row r="46" spans="3:28" x14ac:dyDescent="0.35">
      <c r="C46" s="261">
        <f>'3. Input-BS '!C48</f>
        <v>34</v>
      </c>
      <c r="D46" s="262" t="str">
        <f>'3. Input-BS '!D48</f>
        <v>Other Long Term Receivables</v>
      </c>
      <c r="E46" s="263">
        <f>'3. Input-BS '!E48</f>
        <v>0</v>
      </c>
      <c r="F46" s="263">
        <f>'3. Input-BS '!F48</f>
        <v>0</v>
      </c>
      <c r="G46" s="264">
        <f>'3. Input-BS '!G48</f>
        <v>0</v>
      </c>
    </row>
    <row r="47" spans="3:28" x14ac:dyDescent="0.35">
      <c r="C47" s="261">
        <f>'3. Input-BS '!C49</f>
        <v>35</v>
      </c>
      <c r="D47" s="262" t="str">
        <f>'3. Input-BS '!D49</f>
        <v>Other Non-Current Assets</v>
      </c>
      <c r="E47" s="263">
        <f>'3. Input-BS '!E49</f>
        <v>55887.218999999997</v>
      </c>
      <c r="F47" s="263">
        <f>'3. Input-BS '!F49</f>
        <v>50013.1</v>
      </c>
      <c r="G47" s="264">
        <f>'3. Input-BS '!G49</f>
        <v>27375.554000000004</v>
      </c>
    </row>
    <row r="48" spans="3:28" s="265" customFormat="1" x14ac:dyDescent="0.35">
      <c r="C48" s="308"/>
      <c r="D48" s="309" t="str">
        <f>'3. Input-BS '!D50</f>
        <v>Total Non- Current Assets</v>
      </c>
      <c r="E48" s="306">
        <f>'3. Input-BS '!E50</f>
        <v>803073.24800000002</v>
      </c>
      <c r="F48" s="306">
        <f>'3. Input-BS '!F50</f>
        <v>766989.62099999993</v>
      </c>
      <c r="G48" s="307">
        <f>'3. Input-BS '!G50</f>
        <v>621013.88500000001</v>
      </c>
      <c r="H48" s="271"/>
      <c r="I48" s="271"/>
      <c r="J48" s="271"/>
      <c r="K48" s="271"/>
      <c r="L48" s="268"/>
      <c r="M48" s="268"/>
      <c r="N48" s="268"/>
      <c r="O48" s="268"/>
      <c r="P48" s="268"/>
      <c r="Q48" s="268"/>
      <c r="R48" s="268"/>
      <c r="S48" s="268"/>
      <c r="T48" s="268"/>
      <c r="U48" s="268"/>
      <c r="V48" s="268"/>
      <c r="W48" s="268"/>
      <c r="X48" s="268"/>
      <c r="Y48" s="268"/>
      <c r="Z48" s="268"/>
      <c r="AA48" s="268"/>
      <c r="AB48" s="268"/>
    </row>
    <row r="49" spans="3:28" s="265" customFormat="1" x14ac:dyDescent="0.35">
      <c r="C49" s="308"/>
      <c r="D49" s="309" t="str">
        <f>'3. Input-BS '!D51</f>
        <v>Total Assets</v>
      </c>
      <c r="E49" s="306">
        <f>'3. Input-BS '!E51</f>
        <v>3992373.9700000007</v>
      </c>
      <c r="F49" s="306">
        <f>'3. Input-BS '!F51</f>
        <v>3399329.2579999999</v>
      </c>
      <c r="G49" s="307">
        <f>'3. Input-BS '!G51</f>
        <v>2890414.7529999996</v>
      </c>
      <c r="H49" s="271"/>
      <c r="I49" s="271"/>
      <c r="J49" s="271"/>
      <c r="K49" s="271"/>
      <c r="L49" s="268"/>
      <c r="M49" s="268"/>
      <c r="N49" s="268"/>
      <c r="O49" s="268"/>
      <c r="P49" s="268"/>
      <c r="Q49" s="268"/>
      <c r="R49" s="268"/>
      <c r="S49" s="268"/>
      <c r="T49" s="268"/>
      <c r="U49" s="268"/>
      <c r="V49" s="268"/>
      <c r="W49" s="268"/>
      <c r="X49" s="268"/>
      <c r="Y49" s="268"/>
      <c r="Z49" s="268"/>
      <c r="AA49" s="268"/>
      <c r="AB49" s="268"/>
    </row>
    <row r="50" spans="3:28" s="268" customFormat="1" x14ac:dyDescent="0.35">
      <c r="C50" s="962" t="str">
        <f>'3. Input-BS '!D52</f>
        <v>Current Liabilities:</v>
      </c>
      <c r="D50" s="963"/>
      <c r="E50" s="269"/>
      <c r="F50" s="269"/>
      <c r="G50" s="270"/>
      <c r="H50" s="271"/>
      <c r="I50" s="271"/>
      <c r="J50" s="271"/>
      <c r="K50" s="271"/>
    </row>
    <row r="51" spans="3:28" x14ac:dyDescent="0.35">
      <c r="C51" s="261">
        <f>'3. Input-BS '!C53</f>
        <v>1</v>
      </c>
      <c r="D51" s="262" t="str">
        <f>'3. Input-BS '!D53</f>
        <v>Working Capital Loan</v>
      </c>
      <c r="E51" s="263">
        <f>'3. Input-BS '!E53</f>
        <v>0</v>
      </c>
      <c r="F51" s="263">
        <f>'3. Input-BS '!F53</f>
        <v>0</v>
      </c>
      <c r="G51" s="264">
        <f>'3. Input-BS '!G53</f>
        <v>0</v>
      </c>
    </row>
    <row r="52" spans="3:28" x14ac:dyDescent="0.35">
      <c r="C52" s="261">
        <f>'3. Input-BS '!C54</f>
        <v>2</v>
      </c>
      <c r="D52" s="262" t="str">
        <f>'3. Input-BS '!D54</f>
        <v>Short Term Loan</v>
      </c>
      <c r="E52" s="263">
        <f>'3. Input-BS '!E54</f>
        <v>2949367.415</v>
      </c>
      <c r="F52" s="263">
        <f>'3. Input-BS '!F54</f>
        <v>2342804.1010000003</v>
      </c>
      <c r="G52" s="264">
        <f>'3. Input-BS '!G54</f>
        <v>1836267.077</v>
      </c>
    </row>
    <row r="53" spans="3:28" x14ac:dyDescent="0.35">
      <c r="C53" s="261">
        <f>'3. Input-BS '!C55</f>
        <v>3</v>
      </c>
      <c r="D53" s="272" t="str">
        <f>'3. Input-BS '!D55</f>
        <v>Bank Overdraft</v>
      </c>
      <c r="E53" s="263">
        <f>'3. Input-BS '!E55</f>
        <v>0</v>
      </c>
      <c r="F53" s="263">
        <f>'3. Input-BS '!F55</f>
        <v>0</v>
      </c>
      <c r="G53" s="264">
        <f>'3. Input-BS '!G55</f>
        <v>0</v>
      </c>
    </row>
    <row r="54" spans="3:28" x14ac:dyDescent="0.35">
      <c r="C54" s="261">
        <f>'3. Input-BS '!C56</f>
        <v>4</v>
      </c>
      <c r="D54" s="262" t="str">
        <f>'3. Input-BS '!D56</f>
        <v>Current Portion of Long Term Borrowing/Loan</v>
      </c>
      <c r="E54" s="263">
        <f>'3. Input-BS '!E56</f>
        <v>57150.696000000004</v>
      </c>
      <c r="F54" s="263">
        <f>'3. Input-BS '!F56</f>
        <v>59269.116000000002</v>
      </c>
      <c r="G54" s="264">
        <f>'3. Input-BS '!G56</f>
        <v>56081.807999999997</v>
      </c>
    </row>
    <row r="55" spans="3:28" x14ac:dyDescent="0.35">
      <c r="C55" s="261">
        <f>'3. Input-BS '!C57</f>
        <v>5</v>
      </c>
      <c r="D55" s="262" t="str">
        <f>'3. Input-BS '!D57</f>
        <v>Current Portion of Long Term Lease</v>
      </c>
      <c r="E55" s="263">
        <f>'3. Input-BS '!E57</f>
        <v>0</v>
      </c>
      <c r="F55" s="263">
        <f>'3. Input-BS '!F57</f>
        <v>0</v>
      </c>
      <c r="G55" s="264">
        <f>'3. Input-BS '!G57</f>
        <v>0</v>
      </c>
    </row>
    <row r="56" spans="3:28" ht="35.25" customHeight="1" x14ac:dyDescent="0.35">
      <c r="C56" s="261">
        <f>'3. Input-BS '!C58</f>
        <v>6</v>
      </c>
      <c r="D56" s="262" t="str">
        <f>'3. Input-BS '!D58</f>
        <v>Creditors/Liabilites for expenses/ Accrued Expenses</v>
      </c>
      <c r="E56" s="263">
        <f>'3. Input-BS '!E58</f>
        <v>0</v>
      </c>
      <c r="F56" s="263">
        <f>'3. Input-BS '!F58</f>
        <v>0</v>
      </c>
      <c r="G56" s="264">
        <f>'3. Input-BS '!G58</f>
        <v>0</v>
      </c>
    </row>
    <row r="57" spans="3:28" ht="28" x14ac:dyDescent="0.35">
      <c r="C57" s="261">
        <f>'3. Input-BS '!C59</f>
        <v>7</v>
      </c>
      <c r="D57" s="262" t="str">
        <f>'3. Input-BS '!D59</f>
        <v>Creditors for goods and services/Accounts Payable/Accruals</v>
      </c>
      <c r="E57" s="263">
        <f>'3. Input-BS '!E59</f>
        <v>42587.591999999997</v>
      </c>
      <c r="F57" s="263">
        <f>'3. Input-BS '!F59</f>
        <v>148147.34100000001</v>
      </c>
      <c r="G57" s="264">
        <f>'3. Input-BS '!G59</f>
        <v>179606.09299999999</v>
      </c>
    </row>
    <row r="58" spans="3:28" x14ac:dyDescent="0.35">
      <c r="C58" s="261">
        <f>'3. Input-BS '!C60</f>
        <v>8</v>
      </c>
      <c r="D58" s="262" t="str">
        <f>'3. Input-BS '!D60</f>
        <v>Creditors for Services</v>
      </c>
      <c r="E58" s="263">
        <f>'3. Input-BS '!E60</f>
        <v>0</v>
      </c>
      <c r="F58" s="263">
        <f>'3. Input-BS '!F60</f>
        <v>0</v>
      </c>
      <c r="G58" s="264">
        <f>'3. Input-BS '!G60</f>
        <v>0</v>
      </c>
    </row>
    <row r="59" spans="3:28" s="265" customFormat="1" x14ac:dyDescent="0.35">
      <c r="C59" s="261">
        <f>'3. Input-BS '!C61</f>
        <v>9</v>
      </c>
      <c r="D59" s="262" t="str">
        <f>'3. Input-BS '!D61</f>
        <v>Creditors for Other Finance</v>
      </c>
      <c r="E59" s="263">
        <f>'3. Input-BS '!E61</f>
        <v>0</v>
      </c>
      <c r="F59" s="263">
        <f>'3. Input-BS '!F61</f>
        <v>0</v>
      </c>
      <c r="G59" s="264">
        <f>'3. Input-BS '!G61</f>
        <v>0</v>
      </c>
      <c r="H59" s="271"/>
      <c r="I59" s="271"/>
      <c r="J59" s="271"/>
      <c r="K59" s="271"/>
      <c r="L59" s="268"/>
      <c r="M59" s="268"/>
      <c r="N59" s="268"/>
      <c r="O59" s="268"/>
      <c r="P59" s="268"/>
      <c r="Q59" s="268"/>
      <c r="R59" s="268"/>
      <c r="S59" s="268"/>
      <c r="T59" s="268"/>
      <c r="U59" s="268"/>
      <c r="V59" s="268"/>
      <c r="W59" s="268"/>
      <c r="X59" s="268"/>
      <c r="Y59" s="268"/>
      <c r="Z59" s="268"/>
      <c r="AA59" s="268"/>
      <c r="AB59" s="268"/>
    </row>
    <row r="60" spans="3:28" s="265" customFormat="1" x14ac:dyDescent="0.35">
      <c r="C60" s="261">
        <f>'3. Input-BS '!C62</f>
        <v>10</v>
      </c>
      <c r="D60" s="262" t="str">
        <f>'3. Input-BS '!D62</f>
        <v>Income Taxes Payable</v>
      </c>
      <c r="E60" s="263">
        <f>'3. Input-BS '!E62</f>
        <v>0</v>
      </c>
      <c r="F60" s="263">
        <f>'3. Input-BS '!F62</f>
        <v>0</v>
      </c>
      <c r="G60" s="264">
        <f>'3. Input-BS '!G62</f>
        <v>0</v>
      </c>
      <c r="H60" s="271"/>
      <c r="I60" s="271"/>
      <c r="J60" s="271"/>
      <c r="K60" s="271"/>
      <c r="L60" s="268"/>
      <c r="M60" s="268"/>
      <c r="N60" s="268"/>
      <c r="O60" s="268"/>
      <c r="P60" s="268"/>
      <c r="Q60" s="268"/>
      <c r="R60" s="268"/>
      <c r="S60" s="268"/>
      <c r="T60" s="268"/>
      <c r="U60" s="268"/>
      <c r="V60" s="268"/>
      <c r="W60" s="268"/>
      <c r="X60" s="268"/>
      <c r="Y60" s="268"/>
      <c r="Z60" s="268"/>
      <c r="AA60" s="268"/>
      <c r="AB60" s="268"/>
    </row>
    <row r="61" spans="3:28" s="265" customFormat="1" x14ac:dyDescent="0.35">
      <c r="C61" s="261">
        <f>'3. Input-BS '!C63</f>
        <v>11</v>
      </c>
      <c r="D61" s="262" t="str">
        <f>'3. Input-BS '!D63</f>
        <v>Provision for Tax</v>
      </c>
      <c r="E61" s="263">
        <f>'3. Input-BS '!E63</f>
        <v>15902.348</v>
      </c>
      <c r="F61" s="263">
        <f>'3. Input-BS '!F63</f>
        <v>11393.965</v>
      </c>
      <c r="G61" s="264">
        <f>'3. Input-BS '!G63</f>
        <v>19760.428</v>
      </c>
      <c r="H61" s="271"/>
      <c r="I61" s="271"/>
      <c r="J61" s="271"/>
      <c r="K61" s="271"/>
      <c r="L61" s="268"/>
      <c r="M61" s="268"/>
      <c r="N61" s="268"/>
      <c r="O61" s="268"/>
      <c r="P61" s="268"/>
      <c r="Q61" s="268"/>
      <c r="R61" s="268"/>
      <c r="S61" s="268"/>
      <c r="T61" s="268"/>
      <c r="U61" s="268"/>
      <c r="V61" s="268"/>
      <c r="W61" s="268"/>
      <c r="X61" s="268"/>
      <c r="Y61" s="268"/>
      <c r="Z61" s="268"/>
      <c r="AA61" s="268"/>
      <c r="AB61" s="268"/>
    </row>
    <row r="62" spans="3:28" x14ac:dyDescent="0.35">
      <c r="C62" s="261">
        <f>'3. Input-BS '!C64</f>
        <v>12</v>
      </c>
      <c r="D62" s="262" t="str">
        <f>'3. Input-BS '!D64</f>
        <v>Provision for Royalty and Technical Know-How</v>
      </c>
      <c r="E62" s="263">
        <f>'3. Input-BS '!E64</f>
        <v>0</v>
      </c>
      <c r="F62" s="263">
        <f>'3. Input-BS '!F64</f>
        <v>0</v>
      </c>
      <c r="G62" s="264">
        <f>'3. Input-BS '!G64</f>
        <v>0</v>
      </c>
    </row>
    <row r="63" spans="3:28" x14ac:dyDescent="0.35">
      <c r="C63" s="261">
        <f>'3. Input-BS '!C65</f>
        <v>13</v>
      </c>
      <c r="D63" s="262" t="str">
        <f>'3. Input-BS '!D65</f>
        <v>Other Provisions</v>
      </c>
      <c r="E63" s="263">
        <f>'3. Input-BS '!E65</f>
        <v>0</v>
      </c>
      <c r="F63" s="263">
        <f>'3. Input-BS '!F65</f>
        <v>0</v>
      </c>
      <c r="G63" s="264">
        <f>'3. Input-BS '!G65</f>
        <v>0</v>
      </c>
    </row>
    <row r="64" spans="3:28" x14ac:dyDescent="0.35">
      <c r="C64" s="261">
        <f>'3. Input-BS '!C66</f>
        <v>14</v>
      </c>
      <c r="D64" s="262" t="str">
        <f>'3. Input-BS '!D66</f>
        <v>Advance Against Sales</v>
      </c>
      <c r="E64" s="263">
        <f>'3. Input-BS '!E66</f>
        <v>0</v>
      </c>
      <c r="F64" s="263">
        <f>'3. Input-BS '!F66</f>
        <v>0</v>
      </c>
      <c r="G64" s="264">
        <f>'3. Input-BS '!G66</f>
        <v>0</v>
      </c>
    </row>
    <row r="65" spans="3:28" x14ac:dyDescent="0.35">
      <c r="C65" s="261">
        <f>'3. Input-BS '!C67</f>
        <v>15</v>
      </c>
      <c r="D65" s="262" t="str">
        <f>'3. Input-BS '!D67</f>
        <v>Deferred Liabilities</v>
      </c>
      <c r="E65" s="263">
        <f>'3. Input-BS '!E67</f>
        <v>0</v>
      </c>
      <c r="F65" s="263">
        <f>'3. Input-BS '!F67</f>
        <v>0</v>
      </c>
      <c r="G65" s="264">
        <f>'3. Input-BS '!G67</f>
        <v>0</v>
      </c>
    </row>
    <row r="66" spans="3:28" x14ac:dyDescent="0.35">
      <c r="C66" s="261">
        <f>'3. Input-BS '!C68</f>
        <v>16</v>
      </c>
      <c r="D66" s="262" t="str">
        <f>'3. Input-BS '!D68</f>
        <v>Accrued Expenses</v>
      </c>
      <c r="E66" s="263">
        <f>'3. Input-BS '!E68</f>
        <v>0</v>
      </c>
      <c r="F66" s="263">
        <f>'3. Input-BS '!F68</f>
        <v>0</v>
      </c>
      <c r="G66" s="264">
        <f>'3. Input-BS '!G68</f>
        <v>0</v>
      </c>
    </row>
    <row r="67" spans="3:28" x14ac:dyDescent="0.35">
      <c r="C67" s="261">
        <f>'3. Input-BS '!C69</f>
        <v>17</v>
      </c>
      <c r="D67" s="262" t="str">
        <f>'3. Input-BS '!D69</f>
        <v>Interest Payable</v>
      </c>
      <c r="E67" s="263">
        <f>'3. Input-BS '!E69</f>
        <v>0</v>
      </c>
      <c r="F67" s="263">
        <f>'3. Input-BS '!F69</f>
        <v>0</v>
      </c>
      <c r="G67" s="264">
        <f>'3. Input-BS '!G69</f>
        <v>0</v>
      </c>
    </row>
    <row r="68" spans="3:28" x14ac:dyDescent="0.35">
      <c r="C68" s="261">
        <f>'3. Input-BS '!C70</f>
        <v>18</v>
      </c>
      <c r="D68" s="262" t="str">
        <f>'3. Input-BS '!D70</f>
        <v>Unclaimed Dividend/Dividend Payable</v>
      </c>
      <c r="E68" s="263">
        <f>'3. Input-BS '!E70</f>
        <v>0</v>
      </c>
      <c r="F68" s="263">
        <f>'3. Input-BS '!F70</f>
        <v>0</v>
      </c>
      <c r="G68" s="264">
        <f>'3. Input-BS '!G70</f>
        <v>0</v>
      </c>
    </row>
    <row r="69" spans="3:28" x14ac:dyDescent="0.35">
      <c r="C69" s="261">
        <f>'3. Input-BS '!C71</f>
        <v>19</v>
      </c>
      <c r="D69" s="262" t="str">
        <f>'3. Input-BS '!D71</f>
        <v>Intercompany Payable/ Dues</v>
      </c>
      <c r="E69" s="263">
        <f>'3. Input-BS '!E71</f>
        <v>0</v>
      </c>
      <c r="F69" s="263">
        <f>'3. Input-BS '!F71</f>
        <v>0</v>
      </c>
      <c r="G69" s="264">
        <f>'3. Input-BS '!G71</f>
        <v>0</v>
      </c>
    </row>
    <row r="70" spans="3:28" x14ac:dyDescent="0.35">
      <c r="C70" s="261">
        <f>'3. Input-BS '!C72</f>
        <v>20</v>
      </c>
      <c r="D70" s="262" t="str">
        <f>'3. Input-BS '!D72</f>
        <v>IPO Share Application Money</v>
      </c>
      <c r="E70" s="263">
        <f>'3. Input-BS '!E72</f>
        <v>0</v>
      </c>
      <c r="F70" s="263">
        <f>'3. Input-BS '!F72</f>
        <v>0</v>
      </c>
      <c r="G70" s="264">
        <f>'3. Input-BS '!G72</f>
        <v>0</v>
      </c>
    </row>
    <row r="71" spans="3:28" x14ac:dyDescent="0.35">
      <c r="C71" s="261">
        <f>'3. Input-BS '!C73</f>
        <v>21</v>
      </c>
      <c r="D71" s="262" t="str">
        <f>'3. Input-BS '!D73</f>
        <v>Other Current Liabilities</v>
      </c>
      <c r="E71" s="263">
        <f>'3. Input-BS '!E73</f>
        <v>0</v>
      </c>
      <c r="F71" s="263">
        <f>'3. Input-BS '!F73</f>
        <v>0</v>
      </c>
      <c r="G71" s="264">
        <f>'3. Input-BS '!G73</f>
        <v>0</v>
      </c>
    </row>
    <row r="72" spans="3:28" s="265" customFormat="1" x14ac:dyDescent="0.35">
      <c r="C72" s="308"/>
      <c r="D72" s="309" t="str">
        <f>'3. Input-BS '!D74</f>
        <v>Total Current Liabilities</v>
      </c>
      <c r="E72" s="306">
        <f>'3. Input-BS '!E74</f>
        <v>3065008.0510000004</v>
      </c>
      <c r="F72" s="306">
        <f>'3. Input-BS '!F74</f>
        <v>2561614.523</v>
      </c>
      <c r="G72" s="307">
        <f>'3. Input-BS '!G74</f>
        <v>2091715.4060000002</v>
      </c>
      <c r="H72" s="271"/>
      <c r="I72" s="271"/>
      <c r="J72" s="271"/>
      <c r="K72" s="271"/>
      <c r="L72" s="268"/>
      <c r="M72" s="268"/>
      <c r="N72" s="268"/>
      <c r="O72" s="268"/>
      <c r="P72" s="268"/>
      <c r="Q72" s="268"/>
      <c r="R72" s="268"/>
      <c r="S72" s="268"/>
      <c r="T72" s="268"/>
      <c r="U72" s="268"/>
      <c r="V72" s="268"/>
      <c r="W72" s="268"/>
      <c r="X72" s="268"/>
      <c r="Y72" s="268"/>
      <c r="Z72" s="268"/>
      <c r="AA72" s="268"/>
      <c r="AB72" s="268"/>
    </row>
    <row r="73" spans="3:28" s="273" customFormat="1" x14ac:dyDescent="0.35">
      <c r="C73" s="274"/>
      <c r="D73" s="275" t="str">
        <f>'3. Input-BS '!D75</f>
        <v>Non Current Liabilities:</v>
      </c>
      <c r="E73" s="269"/>
      <c r="F73" s="269"/>
      <c r="G73" s="270"/>
      <c r="H73" s="276"/>
      <c r="I73" s="276"/>
      <c r="J73" s="276"/>
      <c r="K73" s="276"/>
    </row>
    <row r="74" spans="3:28" x14ac:dyDescent="0.35">
      <c r="C74" s="261">
        <f>'3. Input-BS '!C76</f>
        <v>24</v>
      </c>
      <c r="D74" s="262" t="str">
        <f>'3. Input-BS '!D76</f>
        <v>Long Term Loan</v>
      </c>
      <c r="E74" s="263">
        <f>'3. Input-BS '!E76</f>
        <v>128649.68</v>
      </c>
      <c r="F74" s="263">
        <f>'3. Input-BS '!F76</f>
        <v>116554.796</v>
      </c>
      <c r="G74" s="264">
        <f>'3. Input-BS '!G76</f>
        <v>157875.20499999999</v>
      </c>
    </row>
    <row r="75" spans="3:28" x14ac:dyDescent="0.35">
      <c r="C75" s="261">
        <f>'3. Input-BS '!C77</f>
        <v>25</v>
      </c>
      <c r="D75" s="262" t="str">
        <f>'3. Input-BS '!D77</f>
        <v>Deferred Tax Liability</v>
      </c>
      <c r="E75" s="263">
        <f>'3. Input-BS '!E77</f>
        <v>0</v>
      </c>
      <c r="F75" s="263">
        <f>'3. Input-BS '!F77</f>
        <v>0</v>
      </c>
      <c r="G75" s="264">
        <f>'3. Input-BS '!G77</f>
        <v>0</v>
      </c>
    </row>
    <row r="76" spans="3:28" x14ac:dyDescent="0.35">
      <c r="C76" s="261">
        <f>'3. Input-BS '!C78</f>
        <v>26</v>
      </c>
      <c r="D76" s="262" t="str">
        <f>'3. Input-BS '!D78</f>
        <v>Provision for Employee Benefits (Gratuity)</v>
      </c>
      <c r="E76" s="263">
        <f>'3. Input-BS '!E78</f>
        <v>0</v>
      </c>
      <c r="F76" s="263">
        <f>'3. Input-BS '!F78</f>
        <v>0</v>
      </c>
      <c r="G76" s="264">
        <f>'3. Input-BS '!G78</f>
        <v>0</v>
      </c>
    </row>
    <row r="77" spans="3:28" x14ac:dyDescent="0.35">
      <c r="C77" s="261">
        <f>'3. Input-BS '!C79</f>
        <v>27</v>
      </c>
      <c r="D77" s="262" t="str">
        <f>'3. Input-BS '!D79</f>
        <v>Bond/ Preference Shares</v>
      </c>
      <c r="E77" s="263">
        <f>'3. Input-BS '!E79</f>
        <v>0</v>
      </c>
      <c r="F77" s="263">
        <f>'3. Input-BS '!F79</f>
        <v>0</v>
      </c>
      <c r="G77" s="264">
        <f>'3. Input-BS '!G79</f>
        <v>0</v>
      </c>
    </row>
    <row r="78" spans="3:28" x14ac:dyDescent="0.35">
      <c r="C78" s="261">
        <f>'3. Input-BS '!C80</f>
        <v>28</v>
      </c>
      <c r="D78" s="262" t="str">
        <f>'3. Input-BS '!D80</f>
        <v>Long Term Lease</v>
      </c>
      <c r="E78" s="263">
        <f>'3. Input-BS '!E80</f>
        <v>0</v>
      </c>
      <c r="F78" s="263">
        <f>'3. Input-BS '!F80</f>
        <v>0</v>
      </c>
      <c r="G78" s="264">
        <f>'3. Input-BS '!G80</f>
        <v>0</v>
      </c>
    </row>
    <row r="79" spans="3:28" x14ac:dyDescent="0.35">
      <c r="C79" s="261">
        <f>'3. Input-BS '!C81</f>
        <v>29</v>
      </c>
      <c r="D79" s="262" t="str">
        <f>'3. Input-BS '!D81</f>
        <v>Intercompany Loan</v>
      </c>
      <c r="E79" s="263">
        <f>'3. Input-BS '!E81</f>
        <v>0</v>
      </c>
      <c r="F79" s="263">
        <f>'3. Input-BS '!F81</f>
        <v>0</v>
      </c>
      <c r="G79" s="264">
        <f>'3. Input-BS '!G81</f>
        <v>0</v>
      </c>
    </row>
    <row r="80" spans="3:28" x14ac:dyDescent="0.35">
      <c r="C80" s="261">
        <f>'3. Input-BS '!C82</f>
        <v>30</v>
      </c>
      <c r="D80" s="262" t="str">
        <f>'3. Input-BS '!D82</f>
        <v>Product Warranties</v>
      </c>
      <c r="E80" s="263">
        <f>'3. Input-BS '!E82</f>
        <v>0</v>
      </c>
      <c r="F80" s="263">
        <f>'3. Input-BS '!F82</f>
        <v>0</v>
      </c>
      <c r="G80" s="264">
        <f>'3. Input-BS '!G82</f>
        <v>0</v>
      </c>
    </row>
    <row r="81" spans="3:28" x14ac:dyDescent="0.35">
      <c r="C81" s="261">
        <f>'3. Input-BS '!C83</f>
        <v>31</v>
      </c>
      <c r="D81" s="262" t="str">
        <f>'3. Input-BS '!D83</f>
        <v>Deferred Liability</v>
      </c>
      <c r="E81" s="263">
        <f>'3. Input-BS '!E83</f>
        <v>0</v>
      </c>
      <c r="F81" s="263">
        <f>'3. Input-BS '!F83</f>
        <v>0</v>
      </c>
      <c r="G81" s="264">
        <f>'3. Input-BS '!G83</f>
        <v>0</v>
      </c>
    </row>
    <row r="82" spans="3:28" s="265" customFormat="1" x14ac:dyDescent="0.35">
      <c r="C82" s="261">
        <f>'3. Input-BS '!C84</f>
        <v>32</v>
      </c>
      <c r="D82" s="262" t="str">
        <f>'3. Input-BS '!D84</f>
        <v>Other Non-Current Liabilities</v>
      </c>
      <c r="E82" s="263">
        <f>'3. Input-BS '!E84</f>
        <v>0</v>
      </c>
      <c r="F82" s="263">
        <f>'3. Input-BS '!F84</f>
        <v>0</v>
      </c>
      <c r="G82" s="264">
        <f>'3. Input-BS '!G84</f>
        <v>0</v>
      </c>
      <c r="H82" s="271"/>
      <c r="I82" s="271"/>
      <c r="J82" s="271"/>
      <c r="K82" s="271"/>
      <c r="L82" s="268"/>
      <c r="M82" s="268"/>
      <c r="N82" s="268"/>
      <c r="O82" s="268"/>
      <c r="P82" s="268"/>
      <c r="Q82" s="268"/>
      <c r="R82" s="268"/>
      <c r="S82" s="268"/>
      <c r="T82" s="268"/>
      <c r="U82" s="268"/>
      <c r="V82" s="268"/>
      <c r="W82" s="268"/>
      <c r="X82" s="268"/>
      <c r="Y82" s="268"/>
      <c r="Z82" s="268"/>
      <c r="AA82" s="268"/>
      <c r="AB82" s="268"/>
    </row>
    <row r="83" spans="3:28" s="265" customFormat="1" x14ac:dyDescent="0.35">
      <c r="C83" s="308"/>
      <c r="D83" s="309" t="str">
        <f>'3. Input-BS '!D85</f>
        <v>Total Non-Current Liabilities</v>
      </c>
      <c r="E83" s="306">
        <f>'3. Input-BS '!E85</f>
        <v>128649.68</v>
      </c>
      <c r="F83" s="306">
        <f>'3. Input-BS '!F85</f>
        <v>116554.796</v>
      </c>
      <c r="G83" s="307">
        <f>'3. Input-BS '!G85</f>
        <v>157875.20499999999</v>
      </c>
      <c r="H83" s="271"/>
      <c r="I83" s="271"/>
      <c r="J83" s="271"/>
      <c r="K83" s="271"/>
      <c r="L83" s="268"/>
      <c r="M83" s="268"/>
      <c r="N83" s="268"/>
      <c r="O83" s="268"/>
      <c r="P83" s="268"/>
      <c r="Q83" s="268"/>
      <c r="R83" s="268"/>
      <c r="S83" s="268"/>
      <c r="T83" s="268"/>
      <c r="U83" s="268"/>
      <c r="V83" s="268"/>
      <c r="W83" s="268"/>
      <c r="X83" s="268"/>
      <c r="Y83" s="268"/>
      <c r="Z83" s="268"/>
      <c r="AA83" s="268"/>
      <c r="AB83" s="268"/>
    </row>
    <row r="84" spans="3:28" s="265" customFormat="1" x14ac:dyDescent="0.35">
      <c r="C84" s="308"/>
      <c r="D84" s="309" t="str">
        <f>'3. Input-BS '!D86</f>
        <v>Total Liabilities</v>
      </c>
      <c r="E84" s="306">
        <f>'3. Input-BS '!E86</f>
        <v>3193657.7310000006</v>
      </c>
      <c r="F84" s="306">
        <f>'3. Input-BS '!F86</f>
        <v>2678169.3190000001</v>
      </c>
      <c r="G84" s="307">
        <f>'3. Input-BS '!G86</f>
        <v>2249590.611</v>
      </c>
      <c r="H84" s="271"/>
      <c r="I84" s="271"/>
      <c r="J84" s="271"/>
      <c r="K84" s="271"/>
      <c r="L84" s="268"/>
      <c r="M84" s="268"/>
      <c r="N84" s="268"/>
      <c r="O84" s="268"/>
      <c r="P84" s="268"/>
      <c r="Q84" s="268"/>
      <c r="R84" s="268"/>
      <c r="S84" s="268"/>
      <c r="T84" s="268"/>
      <c r="U84" s="268"/>
      <c r="V84" s="268"/>
      <c r="W84" s="268"/>
      <c r="X84" s="268"/>
      <c r="Y84" s="268"/>
      <c r="Z84" s="268"/>
      <c r="AA84" s="268"/>
      <c r="AB84" s="268"/>
    </row>
    <row r="85" spans="3:28" s="277" customFormat="1" x14ac:dyDescent="0.35">
      <c r="C85" s="278"/>
      <c r="D85" s="275" t="str">
        <f>'3. Input-BS '!D87</f>
        <v>Equities</v>
      </c>
      <c r="E85" s="269"/>
      <c r="F85" s="269"/>
      <c r="G85" s="270"/>
      <c r="H85" s="279"/>
      <c r="I85" s="279"/>
      <c r="J85" s="279"/>
      <c r="K85" s="279"/>
    </row>
    <row r="86" spans="3:28" x14ac:dyDescent="0.35">
      <c r="C86" s="261">
        <f>'3. Input-BS '!C88</f>
        <v>36</v>
      </c>
      <c r="D86" s="262" t="str">
        <f>'3. Input-BS '!D88</f>
        <v>Paid-Up Capital/ Share Capital</v>
      </c>
      <c r="E86" s="263">
        <f>'3. Input-BS '!E88</f>
        <v>184000</v>
      </c>
      <c r="F86" s="263">
        <f>'3. Input-BS '!F88</f>
        <v>184000</v>
      </c>
      <c r="G86" s="264">
        <f>'3. Input-BS '!G88</f>
        <v>173200</v>
      </c>
    </row>
    <row r="87" spans="3:28" x14ac:dyDescent="0.35">
      <c r="C87" s="261">
        <f>'3. Input-BS '!C89</f>
        <v>37</v>
      </c>
      <c r="D87" s="262" t="str">
        <f>'3. Input-BS '!D89</f>
        <v>Share Premium Account</v>
      </c>
      <c r="E87" s="263">
        <f>'3. Input-BS '!E89</f>
        <v>0</v>
      </c>
      <c r="F87" s="263">
        <f>'3. Input-BS '!F89</f>
        <v>0</v>
      </c>
      <c r="G87" s="264">
        <f>'3. Input-BS '!G89</f>
        <v>0</v>
      </c>
    </row>
    <row r="88" spans="3:28" x14ac:dyDescent="0.35">
      <c r="C88" s="261">
        <f>'3. Input-BS '!C90</f>
        <v>38</v>
      </c>
      <c r="D88" s="262" t="str">
        <f>'3. Input-BS '!D90</f>
        <v>Retained Earnings</v>
      </c>
      <c r="E88" s="263">
        <f>'3. Input-BS '!E96</f>
        <v>0</v>
      </c>
      <c r="F88" s="263">
        <f>'3. Input-BS '!F90</f>
        <v>537159.93900000001</v>
      </c>
      <c r="G88" s="264">
        <f>'3. Input-BS '!G90</f>
        <v>467624.14199999999</v>
      </c>
    </row>
    <row r="89" spans="3:28" ht="28" x14ac:dyDescent="0.35">
      <c r="C89" s="261">
        <f>'3. Input-BS '!C91</f>
        <v>39</v>
      </c>
      <c r="D89" s="262" t="str">
        <f>'3. Input-BS '!D91</f>
        <v>Fair Value Gain on Investment/ Unrealised gain from available for sale investments</v>
      </c>
      <c r="E89" s="263">
        <f>'3. Input-BS '!E95</f>
        <v>0</v>
      </c>
      <c r="F89" s="263">
        <f>'3. Input-BS '!F91</f>
        <v>0</v>
      </c>
      <c r="G89" s="264">
        <f>'3. Input-BS '!G91</f>
        <v>0</v>
      </c>
    </row>
    <row r="90" spans="3:28" x14ac:dyDescent="0.35">
      <c r="C90" s="261">
        <f>'3. Input-BS '!C92</f>
        <v>40</v>
      </c>
      <c r="D90" s="262" t="str">
        <f>'3. Input-BS '!D92</f>
        <v>Share Money Deposit</v>
      </c>
      <c r="E90" s="263">
        <f>'3. Input-BS '!E92</f>
        <v>0</v>
      </c>
      <c r="F90" s="263">
        <f>'3. Input-BS '!F92</f>
        <v>0</v>
      </c>
      <c r="G90" s="264">
        <f>'3. Input-BS '!G92</f>
        <v>0</v>
      </c>
    </row>
    <row r="91" spans="3:28" x14ac:dyDescent="0.35">
      <c r="C91" s="261">
        <f>'3. Input-BS '!C93</f>
        <v>41</v>
      </c>
      <c r="D91" s="262" t="str">
        <f>'3. Input-BS '!D93</f>
        <v>Tax Holiday Reserve</v>
      </c>
      <c r="E91" s="263">
        <f>'3. Input-BS '!E93</f>
        <v>0</v>
      </c>
      <c r="F91" s="263">
        <f>'3. Input-BS '!F93</f>
        <v>0</v>
      </c>
      <c r="G91" s="264">
        <f>'3. Input-BS '!G93</f>
        <v>0</v>
      </c>
    </row>
    <row r="92" spans="3:28" s="265" customFormat="1" x14ac:dyDescent="0.35">
      <c r="C92" s="261">
        <f>'3. Input-BS '!C94</f>
        <v>42</v>
      </c>
      <c r="D92" s="262" t="str">
        <f>'3. Input-BS '!D94</f>
        <v>General Reserve</v>
      </c>
      <c r="E92" s="263">
        <f>'3. Input-BS '!E94</f>
        <v>0</v>
      </c>
      <c r="F92" s="263">
        <f>'3. Input-BS '!F94</f>
        <v>0</v>
      </c>
      <c r="G92" s="264">
        <f>'3. Input-BS '!G94</f>
        <v>0</v>
      </c>
      <c r="H92" s="271"/>
      <c r="I92" s="271"/>
      <c r="J92" s="271"/>
      <c r="K92" s="271"/>
      <c r="L92" s="268"/>
      <c r="M92" s="268"/>
      <c r="N92" s="268"/>
      <c r="O92" s="268"/>
      <c r="P92" s="268"/>
      <c r="Q92" s="268"/>
      <c r="R92" s="268"/>
      <c r="S92" s="268"/>
      <c r="T92" s="268"/>
      <c r="U92" s="268"/>
      <c r="V92" s="268"/>
      <c r="W92" s="268"/>
      <c r="X92" s="268"/>
      <c r="Y92" s="268"/>
      <c r="Z92" s="268"/>
      <c r="AA92" s="268"/>
      <c r="AB92" s="268"/>
    </row>
    <row r="93" spans="3:28" s="265" customFormat="1" x14ac:dyDescent="0.35">
      <c r="C93" s="261">
        <f>'3. Input-BS '!C95</f>
        <v>43</v>
      </c>
      <c r="D93" s="262" t="str">
        <f>'3. Input-BS '!D95</f>
        <v>Revaluation Reserve</v>
      </c>
      <c r="E93" s="263">
        <f>'3. Input-BS '!E95</f>
        <v>0</v>
      </c>
      <c r="F93" s="263">
        <f>'3. Input-BS '!F95</f>
        <v>0</v>
      </c>
      <c r="G93" s="264">
        <f>'3. Input-BS '!G95</f>
        <v>0</v>
      </c>
      <c r="H93" s="271"/>
      <c r="I93" s="271"/>
      <c r="J93" s="271"/>
      <c r="K93" s="271"/>
      <c r="L93" s="268"/>
      <c r="M93" s="268"/>
      <c r="N93" s="268"/>
      <c r="O93" s="268"/>
      <c r="P93" s="268"/>
      <c r="Q93" s="268"/>
      <c r="R93" s="268"/>
      <c r="S93" s="268"/>
      <c r="T93" s="268"/>
      <c r="U93" s="268"/>
      <c r="V93" s="268"/>
      <c r="W93" s="268"/>
      <c r="X93" s="268"/>
      <c r="Y93" s="268"/>
      <c r="Z93" s="268"/>
      <c r="AA93" s="268"/>
      <c r="AB93" s="268"/>
    </row>
    <row r="94" spans="3:28" s="265" customFormat="1" x14ac:dyDescent="0.35">
      <c r="C94" s="261">
        <f>'3. Input-BS '!C96</f>
        <v>44</v>
      </c>
      <c r="D94" s="262" t="str">
        <f>'3. Input-BS '!D96</f>
        <v>Dividend Equalization Reserve</v>
      </c>
      <c r="E94" s="263">
        <f>'3. Input-BS '!E96</f>
        <v>0</v>
      </c>
      <c r="F94" s="263">
        <f>'3. Input-BS '!F96</f>
        <v>0</v>
      </c>
      <c r="G94" s="264">
        <f>'3. Input-BS '!G96</f>
        <v>0</v>
      </c>
      <c r="H94" s="271"/>
      <c r="I94" s="271"/>
      <c r="J94" s="271"/>
      <c r="K94" s="271"/>
      <c r="L94" s="268"/>
      <c r="M94" s="268"/>
      <c r="N94" s="268"/>
      <c r="O94" s="268"/>
      <c r="P94" s="268"/>
      <c r="Q94" s="268"/>
      <c r="R94" s="268"/>
      <c r="S94" s="268"/>
      <c r="T94" s="268"/>
      <c r="U94" s="268"/>
      <c r="V94" s="268"/>
      <c r="W94" s="268"/>
      <c r="X94" s="268"/>
      <c r="Y94" s="268"/>
      <c r="Z94" s="268"/>
      <c r="AA94" s="268"/>
      <c r="AB94" s="268"/>
    </row>
    <row r="95" spans="3:28" x14ac:dyDescent="0.35">
      <c r="C95" s="261">
        <f>'3. Input-BS '!C97</f>
        <v>45</v>
      </c>
      <c r="D95" s="262" t="str">
        <f>'3. Input-BS '!D97</f>
        <v>Other Reserves</v>
      </c>
      <c r="E95" s="263">
        <f>'3. Input-BS '!E97</f>
        <v>0</v>
      </c>
      <c r="F95" s="263">
        <f>'3. Input-BS '!F97</f>
        <v>0</v>
      </c>
      <c r="G95" s="264">
        <f>'3. Input-BS '!G97</f>
        <v>0</v>
      </c>
    </row>
    <row r="96" spans="3:28" x14ac:dyDescent="0.35">
      <c r="C96" s="261">
        <f>'3. Input-BS '!C98</f>
        <v>46</v>
      </c>
      <c r="D96" s="262" t="str">
        <f>'3. Input-BS '!D98</f>
        <v>Other Equity Items</v>
      </c>
      <c r="E96" s="263">
        <f>'3. Input-BS '!E98</f>
        <v>0</v>
      </c>
      <c r="F96" s="263">
        <f>'3. Input-BS '!F98</f>
        <v>0</v>
      </c>
      <c r="G96" s="264">
        <f>'3. Input-BS '!G98</f>
        <v>0</v>
      </c>
    </row>
    <row r="97" spans="3:28" s="265" customFormat="1" x14ac:dyDescent="0.35">
      <c r="C97" s="308"/>
      <c r="D97" s="309" t="str">
        <f>'3. Input-BS '!D99</f>
        <v>Total Equity</v>
      </c>
      <c r="E97" s="306">
        <f>'3. Input-BS '!E99</f>
        <v>798716.23899999994</v>
      </c>
      <c r="F97" s="306">
        <f>'3. Input-BS '!F99</f>
        <v>721159.93900000001</v>
      </c>
      <c r="G97" s="307">
        <f>'3. Input-BS '!G99</f>
        <v>640824.14199999999</v>
      </c>
      <c r="H97" s="271"/>
      <c r="I97" s="271"/>
      <c r="J97" s="271"/>
      <c r="K97" s="271"/>
      <c r="L97" s="268"/>
      <c r="M97" s="268"/>
      <c r="N97" s="268"/>
      <c r="O97" s="268"/>
      <c r="P97" s="268"/>
      <c r="Q97" s="268"/>
      <c r="R97" s="268"/>
      <c r="S97" s="268"/>
      <c r="T97" s="268"/>
      <c r="U97" s="268"/>
      <c r="V97" s="268"/>
      <c r="W97" s="268"/>
      <c r="X97" s="268"/>
      <c r="Y97" s="268"/>
      <c r="Z97" s="268"/>
      <c r="AA97" s="268"/>
      <c r="AB97" s="268"/>
    </row>
    <row r="98" spans="3:28" x14ac:dyDescent="0.35">
      <c r="C98" s="261">
        <f>'3. Input-BS '!C100</f>
        <v>48</v>
      </c>
      <c r="D98" s="262" t="str">
        <f>'3. Input-BS '!D100</f>
        <v>Minority Interest</v>
      </c>
      <c r="E98" s="263">
        <f>'3. Input-BS '!E100</f>
        <v>0</v>
      </c>
      <c r="F98" s="263">
        <f>'3. Input-BS '!F100</f>
        <v>0</v>
      </c>
      <c r="G98" s="264">
        <f>'3. Input-BS '!G100</f>
        <v>0</v>
      </c>
    </row>
    <row r="99" spans="3:28" s="280" customFormat="1" x14ac:dyDescent="0.35">
      <c r="C99" s="308"/>
      <c r="D99" s="305" t="str">
        <f>'3. Input-BS '!D101</f>
        <v>Total Equity &amp; Liabilities</v>
      </c>
      <c r="E99" s="306">
        <f>'3. Input-BS '!E101</f>
        <v>3992373.9700000007</v>
      </c>
      <c r="F99" s="306">
        <f>'3. Input-BS '!F101</f>
        <v>3399329.2580000004</v>
      </c>
      <c r="G99" s="307">
        <f>'3. Input-BS '!G101</f>
        <v>2890414.753</v>
      </c>
      <c r="H99" s="480"/>
      <c r="I99" s="480"/>
      <c r="J99" s="480"/>
      <c r="K99" s="480"/>
      <c r="L99" s="481"/>
      <c r="M99" s="481"/>
      <c r="N99" s="481"/>
      <c r="O99" s="481"/>
      <c r="P99" s="481"/>
      <c r="Q99" s="481"/>
      <c r="R99" s="481"/>
      <c r="S99" s="481"/>
      <c r="T99" s="481"/>
      <c r="U99" s="481"/>
      <c r="V99" s="481"/>
      <c r="W99" s="481"/>
      <c r="X99" s="481"/>
      <c r="Y99" s="481"/>
      <c r="Z99" s="481"/>
      <c r="AA99" s="481"/>
      <c r="AB99" s="481"/>
    </row>
    <row r="100" spans="3:28" ht="14.5" thickBot="1" x14ac:dyDescent="0.4">
      <c r="C100" s="281"/>
      <c r="D100" s="282" t="s">
        <v>437</v>
      </c>
      <c r="E100" s="283" t="b">
        <f>'3. Input-BS '!E102</f>
        <v>1</v>
      </c>
      <c r="F100" s="283" t="b">
        <f>'3. Input-BS '!F102</f>
        <v>1</v>
      </c>
      <c r="G100" s="284" t="b">
        <f>'3. Input-BS '!G102</f>
        <v>1</v>
      </c>
    </row>
    <row r="101" spans="3:28" s="273" customFormat="1" x14ac:dyDescent="0.35">
      <c r="C101" s="482"/>
      <c r="D101" s="483"/>
      <c r="E101" s="484"/>
      <c r="F101" s="482"/>
      <c r="G101" s="482"/>
      <c r="H101" s="276"/>
      <c r="I101" s="276"/>
      <c r="J101" s="276"/>
      <c r="K101" s="276"/>
    </row>
    <row r="102" spans="3:28" s="273" customFormat="1" x14ac:dyDescent="0.35">
      <c r="C102" s="482"/>
      <c r="D102" s="483"/>
      <c r="E102" s="484"/>
      <c r="F102" s="482"/>
      <c r="G102" s="482"/>
      <c r="H102" s="276"/>
      <c r="I102" s="276"/>
      <c r="J102" s="276"/>
      <c r="K102" s="276"/>
    </row>
    <row r="103" spans="3:28" s="273" customFormat="1" x14ac:dyDescent="0.35">
      <c r="C103" s="482"/>
      <c r="D103" s="483"/>
      <c r="E103" s="484"/>
      <c r="F103" s="482"/>
      <c r="G103" s="482"/>
      <c r="H103" s="276"/>
      <c r="I103" s="276"/>
      <c r="J103" s="276"/>
      <c r="K103" s="276"/>
    </row>
    <row r="104" spans="3:28" s="273" customFormat="1" x14ac:dyDescent="0.35">
      <c r="C104" s="482"/>
      <c r="D104" s="483"/>
      <c r="E104" s="484"/>
      <c r="F104" s="482"/>
      <c r="G104" s="482"/>
      <c r="H104" s="276"/>
      <c r="I104" s="276"/>
      <c r="J104" s="276"/>
      <c r="K104" s="276"/>
    </row>
    <row r="105" spans="3:28" s="273" customFormat="1" x14ac:dyDescent="0.35">
      <c r="C105" s="482"/>
      <c r="D105" s="483"/>
      <c r="E105" s="484"/>
      <c r="F105" s="482"/>
      <c r="G105" s="482"/>
      <c r="H105" s="276"/>
      <c r="I105" s="276"/>
      <c r="J105" s="276"/>
      <c r="K105" s="276"/>
    </row>
    <row r="106" spans="3:28" s="273" customFormat="1" x14ac:dyDescent="0.35">
      <c r="C106" s="482"/>
      <c r="D106" s="483"/>
      <c r="E106" s="484"/>
      <c r="F106" s="482"/>
      <c r="G106" s="482"/>
      <c r="H106" s="276"/>
      <c r="I106" s="276"/>
      <c r="J106" s="276"/>
      <c r="K106" s="276"/>
    </row>
    <row r="107" spans="3:28" s="273" customFormat="1" x14ac:dyDescent="0.35">
      <c r="C107" s="482"/>
      <c r="D107" s="483"/>
      <c r="E107" s="484"/>
      <c r="F107" s="482"/>
      <c r="G107" s="482"/>
      <c r="H107" s="276"/>
      <c r="I107" s="276"/>
      <c r="J107" s="276"/>
      <c r="K107" s="276"/>
    </row>
    <row r="108" spans="3:28" s="273" customFormat="1" x14ac:dyDescent="0.35">
      <c r="C108" s="482"/>
      <c r="D108" s="483"/>
      <c r="E108" s="484"/>
      <c r="F108" s="482"/>
      <c r="G108" s="482"/>
      <c r="H108" s="276"/>
      <c r="I108" s="276"/>
      <c r="J108" s="276"/>
      <c r="K108" s="276"/>
    </row>
    <row r="109" spans="3:28" s="273" customFormat="1" x14ac:dyDescent="0.35">
      <c r="C109" s="482"/>
      <c r="D109" s="483"/>
      <c r="E109" s="484"/>
      <c r="F109" s="482"/>
      <c r="G109" s="482"/>
      <c r="H109" s="276"/>
      <c r="I109" s="276"/>
      <c r="J109" s="276"/>
      <c r="K109" s="276"/>
    </row>
    <row r="110" spans="3:28" s="273" customFormat="1" x14ac:dyDescent="0.35">
      <c r="C110" s="482"/>
      <c r="D110" s="483"/>
      <c r="E110" s="484"/>
      <c r="F110" s="482"/>
      <c r="G110" s="482"/>
      <c r="H110" s="276"/>
      <c r="I110" s="276"/>
      <c r="J110" s="276"/>
      <c r="K110" s="276"/>
    </row>
    <row r="111" spans="3:28" s="273" customFormat="1" x14ac:dyDescent="0.35">
      <c r="C111" s="482"/>
      <c r="D111" s="483"/>
      <c r="E111" s="484"/>
      <c r="F111" s="482"/>
      <c r="G111" s="482"/>
      <c r="H111" s="276"/>
      <c r="I111" s="276"/>
      <c r="J111" s="276"/>
      <c r="K111" s="276"/>
    </row>
    <row r="112" spans="3:28" s="273" customFormat="1" x14ac:dyDescent="0.35">
      <c r="C112" s="482"/>
      <c r="D112" s="483"/>
      <c r="E112" s="484"/>
      <c r="F112" s="482"/>
      <c r="G112" s="482"/>
      <c r="H112" s="276"/>
      <c r="I112" s="276"/>
      <c r="J112" s="276"/>
      <c r="K112" s="276"/>
    </row>
    <row r="113" spans="3:11" s="273" customFormat="1" x14ac:dyDescent="0.35">
      <c r="C113" s="482"/>
      <c r="D113" s="483"/>
      <c r="E113" s="484"/>
      <c r="F113" s="482"/>
      <c r="G113" s="482"/>
      <c r="H113" s="276"/>
      <c r="I113" s="276"/>
      <c r="J113" s="276"/>
      <c r="K113" s="276"/>
    </row>
    <row r="114" spans="3:11" s="273" customFormat="1" x14ac:dyDescent="0.35">
      <c r="C114" s="482"/>
      <c r="D114" s="483"/>
      <c r="E114" s="484"/>
      <c r="F114" s="482"/>
      <c r="G114" s="482"/>
      <c r="H114" s="276"/>
      <c r="I114" s="276"/>
      <c r="J114" s="276"/>
      <c r="K114" s="276"/>
    </row>
    <row r="115" spans="3:11" s="273" customFormat="1" x14ac:dyDescent="0.35">
      <c r="C115" s="482"/>
      <c r="D115" s="483"/>
      <c r="E115" s="484"/>
      <c r="F115" s="482"/>
      <c r="G115" s="482"/>
      <c r="H115" s="276"/>
      <c r="I115" s="276"/>
      <c r="J115" s="276"/>
      <c r="K115" s="276"/>
    </row>
    <row r="116" spans="3:11" s="273" customFormat="1" x14ac:dyDescent="0.35">
      <c r="C116" s="482"/>
      <c r="D116" s="483"/>
      <c r="E116" s="484"/>
      <c r="F116" s="482"/>
      <c r="G116" s="482"/>
      <c r="H116" s="276"/>
      <c r="I116" s="276"/>
      <c r="J116" s="276"/>
      <c r="K116" s="276"/>
    </row>
    <row r="117" spans="3:11" s="273" customFormat="1" x14ac:dyDescent="0.35">
      <c r="C117" s="482"/>
      <c r="D117" s="483"/>
      <c r="E117" s="484"/>
      <c r="F117" s="482"/>
      <c r="G117" s="482"/>
      <c r="H117" s="276"/>
      <c r="I117" s="276"/>
      <c r="J117" s="276"/>
      <c r="K117" s="276"/>
    </row>
    <row r="118" spans="3:11" s="273" customFormat="1" x14ac:dyDescent="0.35">
      <c r="C118" s="482"/>
      <c r="D118" s="483"/>
      <c r="E118" s="484"/>
      <c r="F118" s="482"/>
      <c r="G118" s="482"/>
      <c r="H118" s="276"/>
      <c r="I118" s="276"/>
      <c r="J118" s="276"/>
      <c r="K118" s="276"/>
    </row>
    <row r="119" spans="3:11" s="273" customFormat="1" x14ac:dyDescent="0.35">
      <c r="C119" s="482"/>
      <c r="D119" s="483"/>
      <c r="E119" s="484"/>
      <c r="F119" s="482"/>
      <c r="G119" s="482"/>
      <c r="H119" s="276"/>
      <c r="I119" s="276"/>
      <c r="J119" s="276"/>
      <c r="K119" s="276"/>
    </row>
    <row r="120" spans="3:11" s="273" customFormat="1" x14ac:dyDescent="0.35">
      <c r="C120" s="482"/>
      <c r="D120" s="483"/>
      <c r="E120" s="484"/>
      <c r="F120" s="482"/>
      <c r="G120" s="482"/>
      <c r="H120" s="276"/>
      <c r="I120" s="276"/>
      <c r="J120" s="276"/>
      <c r="K120" s="276"/>
    </row>
    <row r="121" spans="3:11" s="273" customFormat="1" x14ac:dyDescent="0.35">
      <c r="C121" s="482"/>
      <c r="D121" s="483"/>
      <c r="E121" s="484"/>
      <c r="F121" s="482"/>
      <c r="G121" s="482"/>
      <c r="H121" s="276"/>
      <c r="I121" s="276"/>
      <c r="J121" s="276"/>
      <c r="K121" s="276"/>
    </row>
    <row r="122" spans="3:11" s="273" customFormat="1" x14ac:dyDescent="0.35">
      <c r="C122" s="482"/>
      <c r="D122" s="483"/>
      <c r="E122" s="484"/>
      <c r="F122" s="482"/>
      <c r="G122" s="482"/>
      <c r="H122" s="276"/>
      <c r="I122" s="276"/>
      <c r="J122" s="276"/>
      <c r="K122" s="276"/>
    </row>
    <row r="123" spans="3:11" s="273" customFormat="1" x14ac:dyDescent="0.35">
      <c r="C123" s="482"/>
      <c r="D123" s="483"/>
      <c r="E123" s="484"/>
      <c r="F123" s="482"/>
      <c r="G123" s="482"/>
      <c r="H123" s="276"/>
      <c r="I123" s="276"/>
      <c r="J123" s="276"/>
      <c r="K123" s="276"/>
    </row>
    <row r="124" spans="3:11" s="273" customFormat="1" x14ac:dyDescent="0.35">
      <c r="C124" s="482"/>
      <c r="D124" s="483"/>
      <c r="E124" s="484"/>
      <c r="F124" s="482"/>
      <c r="G124" s="482"/>
      <c r="H124" s="276"/>
      <c r="I124" s="276"/>
      <c r="J124" s="276"/>
      <c r="K124" s="276"/>
    </row>
    <row r="125" spans="3:11" s="273" customFormat="1" x14ac:dyDescent="0.35">
      <c r="C125" s="482"/>
      <c r="D125" s="483"/>
      <c r="E125" s="484"/>
      <c r="F125" s="482"/>
      <c r="G125" s="482"/>
      <c r="H125" s="276"/>
      <c r="I125" s="276"/>
      <c r="J125" s="276"/>
      <c r="K125" s="276"/>
    </row>
    <row r="126" spans="3:11" s="273" customFormat="1" x14ac:dyDescent="0.35">
      <c r="C126" s="482"/>
      <c r="D126" s="483"/>
      <c r="E126" s="484"/>
      <c r="F126" s="482"/>
      <c r="G126" s="482"/>
      <c r="H126" s="276"/>
      <c r="I126" s="276"/>
      <c r="J126" s="276"/>
      <c r="K126" s="276"/>
    </row>
    <row r="127" spans="3:11" s="273" customFormat="1" x14ac:dyDescent="0.35">
      <c r="C127" s="482"/>
      <c r="D127" s="483"/>
      <c r="E127" s="484"/>
      <c r="F127" s="482"/>
      <c r="G127" s="482"/>
      <c r="H127" s="276"/>
      <c r="I127" s="276"/>
      <c r="J127" s="276"/>
      <c r="K127" s="276"/>
    </row>
    <row r="128" spans="3:11" s="273" customFormat="1" x14ac:dyDescent="0.35">
      <c r="C128" s="482"/>
      <c r="D128" s="483"/>
      <c r="E128" s="484"/>
      <c r="F128" s="482"/>
      <c r="G128" s="482"/>
      <c r="H128" s="276"/>
      <c r="I128" s="276"/>
      <c r="J128" s="276"/>
      <c r="K128" s="276"/>
    </row>
    <row r="129" spans="3:11" s="273" customFormat="1" x14ac:dyDescent="0.35">
      <c r="C129" s="482"/>
      <c r="D129" s="483"/>
      <c r="E129" s="484"/>
      <c r="F129" s="482"/>
      <c r="G129" s="482"/>
      <c r="H129" s="276"/>
      <c r="I129" s="276"/>
      <c r="J129" s="276"/>
      <c r="K129" s="276"/>
    </row>
    <row r="130" spans="3:11" s="273" customFormat="1" x14ac:dyDescent="0.35">
      <c r="C130" s="482"/>
      <c r="D130" s="483"/>
      <c r="E130" s="484"/>
      <c r="F130" s="482"/>
      <c r="G130" s="482"/>
      <c r="H130" s="276"/>
      <c r="I130" s="276"/>
      <c r="J130" s="276"/>
      <c r="K130" s="276"/>
    </row>
    <row r="131" spans="3:11" s="273" customFormat="1" x14ac:dyDescent="0.35">
      <c r="C131" s="482"/>
      <c r="D131" s="483"/>
      <c r="E131" s="484"/>
      <c r="F131" s="482"/>
      <c r="G131" s="482"/>
      <c r="H131" s="276"/>
      <c r="I131" s="276"/>
      <c r="J131" s="276"/>
      <c r="K131" s="276"/>
    </row>
    <row r="132" spans="3:11" s="273" customFormat="1" x14ac:dyDescent="0.35">
      <c r="C132" s="482"/>
      <c r="D132" s="483"/>
      <c r="E132" s="484"/>
      <c r="F132" s="482"/>
      <c r="G132" s="482"/>
      <c r="H132" s="276"/>
      <c r="I132" s="276"/>
      <c r="J132" s="276"/>
      <c r="K132" s="276"/>
    </row>
    <row r="133" spans="3:11" s="273" customFormat="1" x14ac:dyDescent="0.35">
      <c r="C133" s="482"/>
      <c r="D133" s="483"/>
      <c r="E133" s="484"/>
      <c r="F133" s="482"/>
      <c r="G133" s="482"/>
      <c r="H133" s="276"/>
      <c r="I133" s="276"/>
      <c r="J133" s="276"/>
      <c r="K133" s="276"/>
    </row>
    <row r="134" spans="3:11" s="273" customFormat="1" x14ac:dyDescent="0.35">
      <c r="C134" s="482"/>
      <c r="D134" s="483"/>
      <c r="E134" s="484"/>
      <c r="F134" s="482"/>
      <c r="G134" s="482"/>
      <c r="H134" s="276"/>
      <c r="I134" s="276"/>
      <c r="J134" s="276"/>
      <c r="K134" s="276"/>
    </row>
    <row r="135" spans="3:11" s="273" customFormat="1" x14ac:dyDescent="0.35">
      <c r="C135" s="482"/>
      <c r="D135" s="483"/>
      <c r="E135" s="484"/>
      <c r="F135" s="482"/>
      <c r="G135" s="482"/>
      <c r="H135" s="276"/>
      <c r="I135" s="276"/>
      <c r="J135" s="276"/>
      <c r="K135" s="276"/>
    </row>
    <row r="136" spans="3:11" s="273" customFormat="1" x14ac:dyDescent="0.35">
      <c r="C136" s="482"/>
      <c r="D136" s="483"/>
      <c r="E136" s="484"/>
      <c r="F136" s="482"/>
      <c r="G136" s="482"/>
      <c r="H136" s="276"/>
      <c r="I136" s="276"/>
      <c r="J136" s="276"/>
      <c r="K136" s="276"/>
    </row>
    <row r="137" spans="3:11" s="273" customFormat="1" x14ac:dyDescent="0.35">
      <c r="C137" s="482"/>
      <c r="D137" s="483"/>
      <c r="E137" s="484"/>
      <c r="F137" s="482"/>
      <c r="G137" s="482"/>
      <c r="H137" s="276"/>
      <c r="I137" s="276"/>
      <c r="J137" s="276"/>
      <c r="K137" s="276"/>
    </row>
  </sheetData>
  <sheetProtection password="C527" sheet="1" objects="1" scenarios="1" selectLockedCells="1" selectUnlockedCells="1"/>
  <mergeCells count="12">
    <mergeCell ref="C50:D50"/>
    <mergeCell ref="C11:D11"/>
    <mergeCell ref="C8:D8"/>
    <mergeCell ref="C9:D9"/>
    <mergeCell ref="C2:G2"/>
    <mergeCell ref="C3:G3"/>
    <mergeCell ref="C4:D4"/>
    <mergeCell ref="E4:G4"/>
    <mergeCell ref="C5:D5"/>
    <mergeCell ref="E5:G5"/>
    <mergeCell ref="C7:D7"/>
    <mergeCell ref="C6:D6"/>
  </mergeCells>
  <printOptions horizontalCentered="1"/>
  <pageMargins left="0.25" right="0.25" top="0.8529411764705882" bottom="0.75" header="0.3" footer="0.3"/>
  <pageSetup paperSize="9" scale="80" orientation="portrait" r:id="rId1"/>
  <headerFooter>
    <oddHeader>&amp;C&amp;"+,Bold"&amp;14Internal Credit Risk Scoring System &amp;12(Output Balance Sheet)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R75"/>
  <sheetViews>
    <sheetView showGridLines="0" topLeftCell="B34" zoomScaleSheetLayoutView="100" workbookViewId="0">
      <selection activeCell="C1" sqref="C1:G46"/>
    </sheetView>
  </sheetViews>
  <sheetFormatPr defaultColWidth="9.1796875" defaultRowHeight="15" x14ac:dyDescent="0.3"/>
  <cols>
    <col min="1" max="1" width="4.26953125" style="30" hidden="1" customWidth="1"/>
    <col min="2" max="2" width="1" style="30" customWidth="1"/>
    <col min="3" max="3" width="7.54296875" style="30" customWidth="1"/>
    <col min="4" max="4" width="41.1796875" style="32" customWidth="1"/>
    <col min="5" max="5" width="25.26953125" style="30" customWidth="1"/>
    <col min="6" max="6" width="24.81640625" style="30" customWidth="1"/>
    <col min="7" max="7" width="21.81640625" style="30" customWidth="1"/>
    <col min="8" max="18" width="9.1796875" style="485"/>
    <col min="19" max="16384" width="9.1796875" style="30"/>
  </cols>
  <sheetData>
    <row r="1" spans="3:18" ht="12" customHeight="1" thickBot="1" x14ac:dyDescent="0.35"/>
    <row r="2" spans="3:18" ht="26.25" customHeight="1" thickBot="1" x14ac:dyDescent="0.35">
      <c r="C2" s="970" t="str">
        <f>'4. Input P&amp;L'!C2:G2</f>
        <v>Outpace Spinning Mills Ltd</v>
      </c>
      <c r="D2" s="971"/>
      <c r="E2" s="971"/>
      <c r="F2" s="971"/>
      <c r="G2" s="972"/>
    </row>
    <row r="3" spans="3:18" ht="18" thickBot="1" x14ac:dyDescent="0.35">
      <c r="C3" s="985" t="str">
        <f>'4. Input P&amp;L'!C3:G3</f>
        <v>Profit &amp; Loss Statement</v>
      </c>
      <c r="D3" s="986"/>
      <c r="E3" s="986"/>
      <c r="F3" s="986"/>
      <c r="G3" s="987"/>
    </row>
    <row r="4" spans="3:18" x14ac:dyDescent="0.3">
      <c r="C4" s="988" t="str">
        <f>'4. Input P&amp;L'!C4:D4</f>
        <v>Analyst</v>
      </c>
      <c r="D4" s="989"/>
      <c r="E4" s="990" t="str">
        <f>'4. Input P&amp;L'!E4:G4</f>
        <v>Md. Matiur Rahman, SRM</v>
      </c>
      <c r="F4" s="990"/>
      <c r="G4" s="991"/>
    </row>
    <row r="5" spans="3:18" x14ac:dyDescent="0.3">
      <c r="C5" s="992" t="str">
        <f>'4. Input P&amp;L'!C5:D5</f>
        <v>Verifier</v>
      </c>
      <c r="D5" s="993"/>
      <c r="E5" s="994" t="str">
        <f>'4. Input P&amp;L'!E5:G5</f>
        <v>Farhana Afrin, SM</v>
      </c>
      <c r="F5" s="994"/>
      <c r="G5" s="995"/>
    </row>
    <row r="6" spans="3:18" x14ac:dyDescent="0.3">
      <c r="C6" s="992" t="str">
        <f>'4. Input P&amp;L'!C6:D6</f>
        <v>Name of Audit Farm</v>
      </c>
      <c r="D6" s="993"/>
      <c r="E6" s="285" t="str">
        <f>'4. Input P&amp;L'!E6</f>
        <v>Deawn Nazrul Islam &amp; Co</v>
      </c>
      <c r="F6" s="285" t="str">
        <f>'4. Input P&amp;L'!F6</f>
        <v>Deawn Nazrul Islam &amp; Co</v>
      </c>
      <c r="G6" s="286" t="str">
        <f>'4. Input P&amp;L'!G6</f>
        <v>Rahman Mustafiz Haw &amp; Co.</v>
      </c>
    </row>
    <row r="7" spans="3:18" x14ac:dyDescent="0.3">
      <c r="C7" s="992" t="str">
        <f>'4. Input P&amp;L'!C7:D7</f>
        <v>Period (months)</v>
      </c>
      <c r="D7" s="993"/>
      <c r="E7" s="287">
        <f>'4. Input P&amp;L'!E7</f>
        <v>12</v>
      </c>
      <c r="F7" s="287">
        <f>'4. Input P&amp;L'!F7</f>
        <v>12</v>
      </c>
      <c r="G7" s="288">
        <f>'4. Input P&amp;L'!G7</f>
        <v>12</v>
      </c>
    </row>
    <row r="8" spans="3:18" x14ac:dyDescent="0.3">
      <c r="C8" s="992" t="str">
        <f>'4. Input P&amp;L'!C8:D8</f>
        <v>Amount in thousand</v>
      </c>
      <c r="D8" s="993"/>
      <c r="E8" s="289" t="s">
        <v>88</v>
      </c>
      <c r="F8" s="289" t="s">
        <v>88</v>
      </c>
      <c r="G8" s="290" t="s">
        <v>88</v>
      </c>
    </row>
    <row r="9" spans="3:18" ht="15.5" thickBot="1" x14ac:dyDescent="0.35">
      <c r="C9" s="983" t="str">
        <f>'4. Input P&amp;L'!C9:D9</f>
        <v>Statement Year</v>
      </c>
      <c r="D9" s="984"/>
      <c r="E9" s="291">
        <f>'4. Input P&amp;L'!E9</f>
        <v>2025</v>
      </c>
      <c r="F9" s="291">
        <f>'4. Input P&amp;L'!F9</f>
        <v>2024</v>
      </c>
      <c r="G9" s="292">
        <f>'4. Input P&amp;L'!G9</f>
        <v>2023</v>
      </c>
    </row>
    <row r="10" spans="3:18" ht="14.25" customHeight="1" thickBot="1" x14ac:dyDescent="0.35">
      <c r="C10" s="982"/>
      <c r="D10" s="982"/>
      <c r="E10" s="982"/>
      <c r="F10" s="982"/>
      <c r="G10" s="982"/>
    </row>
    <row r="11" spans="3:18" x14ac:dyDescent="0.3">
      <c r="C11" s="293">
        <f>'4. Input P&amp;L'!C11</f>
        <v>1</v>
      </c>
      <c r="D11" s="294" t="str">
        <f>'4. Input P&amp;L'!D11</f>
        <v>Sales /Revenue/Turnover</v>
      </c>
      <c r="E11" s="295">
        <f>'4. Input P&amp;L'!E11</f>
        <v>1412760.5589999999</v>
      </c>
      <c r="F11" s="295">
        <f>'4. Input P&amp;L'!F11</f>
        <v>1736066.436</v>
      </c>
      <c r="G11" s="296">
        <f>'4. Input P&amp;L'!G11</f>
        <v>1396131.3219999999</v>
      </c>
    </row>
    <row r="12" spans="3:18" x14ac:dyDescent="0.3">
      <c r="C12" s="258">
        <f>'4. Input P&amp;L'!C12</f>
        <v>2</v>
      </c>
      <c r="D12" s="297" t="str">
        <f>'4. Input P&amp;L'!D12</f>
        <v>VAT &amp; Supplementary Duty</v>
      </c>
      <c r="E12" s="298">
        <f>'4. Input P&amp;L'!E12</f>
        <v>0</v>
      </c>
      <c r="F12" s="298">
        <f>'4. Input P&amp;L'!F12</f>
        <v>0</v>
      </c>
      <c r="G12" s="299">
        <f>'4. Input P&amp;L'!G12</f>
        <v>0</v>
      </c>
    </row>
    <row r="13" spans="3:18" s="31" customFormat="1" x14ac:dyDescent="0.3">
      <c r="C13" s="300">
        <f>'4. Input P&amp;L'!C13</f>
        <v>3</v>
      </c>
      <c r="D13" s="301" t="str">
        <f>'4. Input P&amp;L'!D13</f>
        <v>Net Sales/Revenue</v>
      </c>
      <c r="E13" s="302">
        <f>'4. Input P&amp;L'!E13</f>
        <v>1412760.5589999999</v>
      </c>
      <c r="F13" s="302">
        <f>'4. Input P&amp;L'!F13</f>
        <v>1736066.436</v>
      </c>
      <c r="G13" s="303">
        <f>'4. Input P&amp;L'!G13</f>
        <v>1396131.3219999999</v>
      </c>
      <c r="H13" s="486"/>
      <c r="I13" s="486"/>
      <c r="J13" s="486"/>
      <c r="K13" s="486"/>
      <c r="L13" s="486"/>
      <c r="M13" s="486"/>
      <c r="N13" s="486"/>
      <c r="O13" s="486"/>
      <c r="P13" s="486"/>
      <c r="Q13" s="486"/>
      <c r="R13" s="486"/>
    </row>
    <row r="14" spans="3:18" x14ac:dyDescent="0.3">
      <c r="C14" s="258">
        <f>'4. Input P&amp;L'!C14</f>
        <v>4</v>
      </c>
      <c r="D14" s="297" t="str">
        <f>'4. Input P&amp;L'!D14</f>
        <v>Cost of Goods/Service Sold</v>
      </c>
      <c r="E14" s="298">
        <f>'4. Input P&amp;L'!E14</f>
        <v>1187045.483</v>
      </c>
      <c r="F14" s="298">
        <f>'4. Input P&amp;L'!F14</f>
        <v>1473623.882</v>
      </c>
      <c r="G14" s="299">
        <f>'4. Input P&amp;L'!G14</f>
        <v>1144305.49</v>
      </c>
    </row>
    <row r="15" spans="3:18" s="31" customFormat="1" x14ac:dyDescent="0.3">
      <c r="C15" s="300">
        <f>'4. Input P&amp;L'!C15</f>
        <v>5</v>
      </c>
      <c r="D15" s="301" t="str">
        <f>'4. Input P&amp;L'!D15</f>
        <v>Gross Profit</v>
      </c>
      <c r="E15" s="302">
        <f>'4. Input P&amp;L'!E15</f>
        <v>225715.07599999988</v>
      </c>
      <c r="F15" s="302">
        <f>'4. Input P&amp;L'!F15</f>
        <v>262442.554</v>
      </c>
      <c r="G15" s="303">
        <f>'4. Input P&amp;L'!G15</f>
        <v>251825.83199999994</v>
      </c>
      <c r="H15" s="486"/>
      <c r="I15" s="486"/>
      <c r="J15" s="486"/>
      <c r="K15" s="486"/>
      <c r="L15" s="486"/>
      <c r="M15" s="486"/>
      <c r="N15" s="486"/>
      <c r="O15" s="486"/>
      <c r="P15" s="486"/>
      <c r="Q15" s="486"/>
      <c r="R15" s="486"/>
    </row>
    <row r="16" spans="3:18" x14ac:dyDescent="0.3">
      <c r="C16" s="258">
        <f>'4. Input P&amp;L'!C16</f>
        <v>6</v>
      </c>
      <c r="D16" s="297" t="str">
        <f>'4. Input P&amp;L'!D16</f>
        <v>Salaries</v>
      </c>
      <c r="E16" s="298">
        <f>'4. Input P&amp;L'!E16</f>
        <v>0</v>
      </c>
      <c r="F16" s="298">
        <f>'4. Input P&amp;L'!F16</f>
        <v>0</v>
      </c>
      <c r="G16" s="299">
        <f>'4. Input P&amp;L'!G16</f>
        <v>0</v>
      </c>
    </row>
    <row r="17" spans="3:18" x14ac:dyDescent="0.3">
      <c r="C17" s="258">
        <f>'4. Input P&amp;L'!C17</f>
        <v>7</v>
      </c>
      <c r="D17" s="297" t="str">
        <f>'4. Input P&amp;L'!D17</f>
        <v>Marketing, Selling &amp; Distribution Expenses</v>
      </c>
      <c r="E17" s="298">
        <f>'4. Input P&amp;L'!E17</f>
        <v>3381.1750000000002</v>
      </c>
      <c r="F17" s="298">
        <f>'4. Input P&amp;L'!F17</f>
        <v>4765.7700000000004</v>
      </c>
      <c r="G17" s="299">
        <f>'4. Input P&amp;L'!G17</f>
        <v>34597.824000000001</v>
      </c>
    </row>
    <row r="18" spans="3:18" x14ac:dyDescent="0.3">
      <c r="C18" s="258">
        <f>'4. Input P&amp;L'!C18</f>
        <v>8</v>
      </c>
      <c r="D18" s="297" t="str">
        <f>'4. Input P&amp;L'!D18</f>
        <v>Administrative Expenses</v>
      </c>
      <c r="E18" s="298">
        <f>'4. Input P&amp;L'!E18</f>
        <v>29692.632000000001</v>
      </c>
      <c r="F18" s="298">
        <f>'4. Input P&amp;L'!F18</f>
        <v>41358.161</v>
      </c>
      <c r="G18" s="299">
        <f>'4. Input P&amp;L'!G18</f>
        <v>4194.973</v>
      </c>
    </row>
    <row r="19" spans="3:18" x14ac:dyDescent="0.3">
      <c r="C19" s="258">
        <f>'4. Input P&amp;L'!C19</f>
        <v>9</v>
      </c>
      <c r="D19" s="297" t="str">
        <f>'4. Input P&amp;L'!D19</f>
        <v>Depreciation/ Amortization</v>
      </c>
      <c r="E19" s="298">
        <f>'4. Input P&amp;L'!E19</f>
        <v>20870.038</v>
      </c>
      <c r="F19" s="298">
        <f>'4. Input P&amp;L'!F19</f>
        <v>19390.316999999999</v>
      </c>
      <c r="G19" s="299">
        <f>'4. Input P&amp;L'!G19</f>
        <v>13328.984</v>
      </c>
    </row>
    <row r="20" spans="3:18" x14ac:dyDescent="0.3">
      <c r="C20" s="258">
        <f>'4. Input P&amp;L'!C20</f>
        <v>10</v>
      </c>
      <c r="D20" s="297" t="str">
        <f>'4. Input P&amp;L'!D20</f>
        <v>Other Operating Expense</v>
      </c>
      <c r="E20" s="298">
        <f>'4. Input P&amp;L'!E20</f>
        <v>0</v>
      </c>
      <c r="F20" s="298">
        <f>'4. Input P&amp;L'!F20</f>
        <v>0</v>
      </c>
      <c r="G20" s="299">
        <f>'4. Input P&amp;L'!G20</f>
        <v>0</v>
      </c>
    </row>
    <row r="21" spans="3:18" s="31" customFormat="1" x14ac:dyDescent="0.3">
      <c r="C21" s="300">
        <f>'4. Input P&amp;L'!C21</f>
        <v>11</v>
      </c>
      <c r="D21" s="301" t="str">
        <f>'4. Input P&amp;L'!D21</f>
        <v>Total Operating Expenses</v>
      </c>
      <c r="E21" s="302">
        <f>'4. Input P&amp;L'!E21</f>
        <v>53943.845000000001</v>
      </c>
      <c r="F21" s="302">
        <f>'4. Input P&amp;L'!F21</f>
        <v>65514.247999999992</v>
      </c>
      <c r="G21" s="303">
        <f>'4. Input P&amp;L'!G21</f>
        <v>52121.781000000003</v>
      </c>
      <c r="H21" s="486"/>
      <c r="I21" s="486"/>
      <c r="J21" s="486"/>
      <c r="K21" s="486"/>
      <c r="L21" s="486"/>
      <c r="M21" s="486"/>
      <c r="N21" s="486"/>
      <c r="O21" s="486"/>
      <c r="P21" s="486"/>
      <c r="Q21" s="486"/>
      <c r="R21" s="486"/>
    </row>
    <row r="22" spans="3:18" x14ac:dyDescent="0.3">
      <c r="C22" s="258">
        <f>'4. Input P&amp;L'!C22</f>
        <v>12</v>
      </c>
      <c r="D22" s="297" t="str">
        <f>'4. Input P&amp;L'!D22</f>
        <v>Other Operating Income</v>
      </c>
      <c r="E22" s="298">
        <f>'4. Input P&amp;L'!E22</f>
        <v>0</v>
      </c>
      <c r="F22" s="298">
        <f>'4. Input P&amp;L'!F22</f>
        <v>0</v>
      </c>
      <c r="G22" s="299">
        <f>'4. Input P&amp;L'!G22</f>
        <v>0</v>
      </c>
    </row>
    <row r="23" spans="3:18" s="31" customFormat="1" x14ac:dyDescent="0.3">
      <c r="C23" s="300">
        <f>'4. Input P&amp;L'!C23</f>
        <v>13</v>
      </c>
      <c r="D23" s="301" t="str">
        <f>'4. Input P&amp;L'!D23</f>
        <v xml:space="preserve">Operating Profit </v>
      </c>
      <c r="E23" s="302">
        <f>'4. Input P&amp;L'!E23</f>
        <v>171771.23099999988</v>
      </c>
      <c r="F23" s="302">
        <f>'4. Input P&amp;L'!F23</f>
        <v>196928.30600000001</v>
      </c>
      <c r="G23" s="303">
        <f>'4. Input P&amp;L'!G23</f>
        <v>199704.05099999992</v>
      </c>
      <c r="H23" s="486"/>
      <c r="I23" s="486"/>
      <c r="J23" s="486"/>
      <c r="K23" s="486"/>
      <c r="L23" s="486"/>
      <c r="M23" s="486"/>
      <c r="N23" s="486"/>
      <c r="O23" s="486"/>
      <c r="P23" s="486"/>
      <c r="Q23" s="486"/>
      <c r="R23" s="486"/>
    </row>
    <row r="24" spans="3:18" x14ac:dyDescent="0.3">
      <c r="C24" s="258">
        <f>'4. Input P&amp;L'!C24</f>
        <v>14</v>
      </c>
      <c r="D24" s="297" t="str">
        <f>'4. Input P&amp;L'!D24</f>
        <v>Exchange Gain</v>
      </c>
      <c r="E24" s="298">
        <f>'4. Input P&amp;L'!E24</f>
        <v>0</v>
      </c>
      <c r="F24" s="298">
        <f>'4. Input P&amp;L'!F24</f>
        <v>0</v>
      </c>
      <c r="G24" s="299">
        <f>'4. Input P&amp;L'!G24</f>
        <v>0</v>
      </c>
    </row>
    <row r="25" spans="3:18" s="31" customFormat="1" x14ac:dyDescent="0.3">
      <c r="C25" s="258">
        <f>'4. Input P&amp;L'!C25</f>
        <v>15</v>
      </c>
      <c r="D25" s="297" t="str">
        <f>'4. Input P&amp;L'!D25</f>
        <v>Exchang Loss</v>
      </c>
      <c r="E25" s="298">
        <f>'4. Input P&amp;L'!E25</f>
        <v>0</v>
      </c>
      <c r="F25" s="298">
        <f>'4. Input P&amp;L'!F25</f>
        <v>0</v>
      </c>
      <c r="G25" s="299">
        <f>'4. Input P&amp;L'!G25</f>
        <v>0</v>
      </c>
      <c r="H25" s="486"/>
      <c r="I25" s="486"/>
      <c r="J25" s="486"/>
      <c r="K25" s="486"/>
      <c r="L25" s="486"/>
      <c r="M25" s="486"/>
      <c r="N25" s="486"/>
      <c r="O25" s="486"/>
      <c r="P25" s="486"/>
      <c r="Q25" s="486"/>
      <c r="R25" s="486"/>
    </row>
    <row r="26" spans="3:18" x14ac:dyDescent="0.3">
      <c r="C26" s="258">
        <f>'4. Input P&amp;L'!C26</f>
        <v>16</v>
      </c>
      <c r="D26" s="297" t="str">
        <f>'4. Input P&amp;L'!D26</f>
        <v>Investment/Interest Income</v>
      </c>
      <c r="E26" s="298">
        <f>'4. Input P&amp;L'!E26</f>
        <v>0</v>
      </c>
      <c r="F26" s="298">
        <f>'4. Input P&amp;L'!F26</f>
        <v>0</v>
      </c>
      <c r="G26" s="299">
        <f>'4. Input P&amp;L'!G26</f>
        <v>0</v>
      </c>
    </row>
    <row r="27" spans="3:18" s="31" customFormat="1" x14ac:dyDescent="0.3">
      <c r="C27" s="258">
        <f>'4. Input P&amp;L'!C27</f>
        <v>17</v>
      </c>
      <c r="D27" s="297" t="str">
        <f>'4. Input P&amp;L'!D27</f>
        <v>Rental Income</v>
      </c>
      <c r="E27" s="298">
        <f>'4. Input P&amp;L'!E27</f>
        <v>0</v>
      </c>
      <c r="F27" s="298">
        <f>'4. Input P&amp;L'!F27</f>
        <v>0</v>
      </c>
      <c r="G27" s="299">
        <f>'4. Input P&amp;L'!G27</f>
        <v>0</v>
      </c>
      <c r="H27" s="486"/>
      <c r="I27" s="486"/>
      <c r="J27" s="486"/>
      <c r="K27" s="486"/>
      <c r="L27" s="486"/>
      <c r="M27" s="486"/>
      <c r="N27" s="486"/>
      <c r="O27" s="486"/>
      <c r="P27" s="486"/>
      <c r="Q27" s="486"/>
      <c r="R27" s="486"/>
    </row>
    <row r="28" spans="3:18" x14ac:dyDescent="0.3">
      <c r="C28" s="258">
        <f>'4. Input P&amp;L'!C28</f>
        <v>18</v>
      </c>
      <c r="D28" s="297" t="str">
        <f>'4. Input P&amp;L'!D28</f>
        <v>Gain on Disposals of Fixed Assets</v>
      </c>
      <c r="E28" s="298">
        <f>'4. Input P&amp;L'!E28</f>
        <v>0</v>
      </c>
      <c r="F28" s="298">
        <f>'4. Input P&amp;L'!F28</f>
        <v>0</v>
      </c>
      <c r="G28" s="299">
        <f>'4. Input P&amp;L'!G28</f>
        <v>0</v>
      </c>
    </row>
    <row r="29" spans="3:18" x14ac:dyDescent="0.3">
      <c r="C29" s="258">
        <f>'4. Input P&amp;L'!C29</f>
        <v>19</v>
      </c>
      <c r="D29" s="297" t="str">
        <f>'4. Input P&amp;L'!D29</f>
        <v>Loss on Disposals of Fixed Assets</v>
      </c>
      <c r="E29" s="298">
        <f>'4. Input P&amp;L'!E29</f>
        <v>0</v>
      </c>
      <c r="F29" s="298">
        <f>'4. Input P&amp;L'!F29</f>
        <v>0</v>
      </c>
      <c r="G29" s="299">
        <f>'4. Input P&amp;L'!G29</f>
        <v>0</v>
      </c>
    </row>
    <row r="30" spans="3:18" x14ac:dyDescent="0.3">
      <c r="C30" s="258">
        <f>'4. Input P&amp;L'!C30</f>
        <v>20</v>
      </c>
      <c r="D30" s="297" t="str">
        <f>'4. Input P&amp;L'!D30</f>
        <v>Surplus on Revaluation of Property</v>
      </c>
      <c r="E30" s="298">
        <f>'4. Input P&amp;L'!E30</f>
        <v>0</v>
      </c>
      <c r="F30" s="298">
        <f>'4. Input P&amp;L'!F30</f>
        <v>0</v>
      </c>
      <c r="G30" s="299">
        <f>'4. Input P&amp;L'!G30</f>
        <v>0</v>
      </c>
    </row>
    <row r="31" spans="3:18" x14ac:dyDescent="0.3">
      <c r="C31" s="258">
        <f>'4. Input P&amp;L'!C31</f>
        <v>21</v>
      </c>
      <c r="D31" s="297" t="str">
        <f>'4. Input P&amp;L'!D31</f>
        <v>Deficit on Revaluation of Property</v>
      </c>
      <c r="E31" s="298">
        <f>'4. Input P&amp;L'!E31</f>
        <v>0</v>
      </c>
      <c r="F31" s="298">
        <f>'4. Input P&amp;L'!F31</f>
        <v>0</v>
      </c>
      <c r="G31" s="299">
        <f>'4. Input P&amp;L'!G31</f>
        <v>0</v>
      </c>
    </row>
    <row r="32" spans="3:18" x14ac:dyDescent="0.3">
      <c r="C32" s="258">
        <f>'4. Input P&amp;L'!C32</f>
        <v>22</v>
      </c>
      <c r="D32" s="297" t="str">
        <f>'4. Input P&amp;L'!D32</f>
        <v>Other Income</v>
      </c>
      <c r="E32" s="298">
        <f>'4. Input P&amp;L'!E32</f>
        <v>1975.0129999999999</v>
      </c>
      <c r="F32" s="298">
        <f>'4. Input P&amp;L'!F32</f>
        <v>2785.6129999999998</v>
      </c>
      <c r="G32" s="299">
        <f>'4. Input P&amp;L'!G32</f>
        <v>738.38400000000001</v>
      </c>
    </row>
    <row r="33" spans="3:18" x14ac:dyDescent="0.3">
      <c r="C33" s="258">
        <f>'4. Input P&amp;L'!C33</f>
        <v>23</v>
      </c>
      <c r="D33" s="297" t="str">
        <f>'4. Input P&amp;L'!D33</f>
        <v>Other Expenses</v>
      </c>
      <c r="E33" s="298">
        <f>'4. Input P&amp;L'!E33</f>
        <v>0</v>
      </c>
      <c r="F33" s="298">
        <f>'4. Input P&amp;L'!F33</f>
        <v>0</v>
      </c>
      <c r="G33" s="299">
        <f>'4. Input P&amp;L'!G33</f>
        <v>0</v>
      </c>
    </row>
    <row r="34" spans="3:18" ht="28" x14ac:dyDescent="0.3">
      <c r="C34" s="258">
        <f>'4. Input P&amp;L'!C34</f>
        <v>24</v>
      </c>
      <c r="D34" s="297" t="str">
        <f>'4. Input P&amp;L'!D34</f>
        <v>Provision For Welfare and profit participation fund</v>
      </c>
      <c r="E34" s="298">
        <f>'4. Input P&amp;L'!E34</f>
        <v>0</v>
      </c>
      <c r="F34" s="298">
        <f>'4. Input P&amp;L'!F34</f>
        <v>0</v>
      </c>
      <c r="G34" s="299">
        <f>'4. Input P&amp;L'!G34</f>
        <v>0</v>
      </c>
    </row>
    <row r="35" spans="3:18" x14ac:dyDescent="0.3">
      <c r="C35" s="258">
        <f>'4. Input P&amp;L'!C35</f>
        <v>25</v>
      </c>
      <c r="D35" s="297" t="str">
        <f>'4. Input P&amp;L'!D35</f>
        <v>Share of profit from associates</v>
      </c>
      <c r="E35" s="298">
        <f>'4. Input P&amp;L'!E35</f>
        <v>0</v>
      </c>
      <c r="F35" s="298">
        <f>'4. Input P&amp;L'!F35</f>
        <v>0</v>
      </c>
      <c r="G35" s="299">
        <f>'4. Input P&amp;L'!G35</f>
        <v>0</v>
      </c>
    </row>
    <row r="36" spans="3:18" s="31" customFormat="1" x14ac:dyDescent="0.3">
      <c r="C36" s="300">
        <f>'4. Input P&amp;L'!C37</f>
        <v>27</v>
      </c>
      <c r="D36" s="301" t="str">
        <f>'4. Input P&amp;L'!D37</f>
        <v xml:space="preserve">Earnings Before Interest and Tax (EBIT) </v>
      </c>
      <c r="E36" s="302">
        <f>'4. Input P&amp;L'!E37</f>
        <v>173746.24399999989</v>
      </c>
      <c r="F36" s="302">
        <f>'4. Input P&amp;L'!F37</f>
        <v>199713.91900000002</v>
      </c>
      <c r="G36" s="303">
        <f>'4. Input P&amp;L'!G37</f>
        <v>200442.43499999991</v>
      </c>
      <c r="H36" s="486"/>
      <c r="I36" s="486"/>
      <c r="J36" s="486"/>
      <c r="K36" s="486"/>
      <c r="L36" s="486"/>
      <c r="M36" s="486"/>
      <c r="N36" s="486"/>
      <c r="O36" s="486"/>
      <c r="P36" s="486"/>
      <c r="Q36" s="486"/>
      <c r="R36" s="486"/>
    </row>
    <row r="37" spans="3:18" s="31" customFormat="1" x14ac:dyDescent="0.3">
      <c r="C37" s="258">
        <f>'4. Input P&amp;L'!C38</f>
        <v>28</v>
      </c>
      <c r="D37" s="297" t="str">
        <f>'4. Input P&amp;L'!D38</f>
        <v>Financial/Interest Expenses</v>
      </c>
      <c r="E37" s="298">
        <f>'4. Input P&amp;L'!E38</f>
        <v>80287.596000000005</v>
      </c>
      <c r="F37" s="298">
        <f>'4. Input P&amp;L'!F38</f>
        <v>118784.15700000001</v>
      </c>
      <c r="G37" s="299">
        <f>'4. Input P&amp;L'!G38</f>
        <v>68706.248000000007</v>
      </c>
      <c r="H37" s="486"/>
      <c r="I37" s="486"/>
      <c r="J37" s="486"/>
      <c r="K37" s="486"/>
      <c r="L37" s="486"/>
      <c r="M37" s="486"/>
      <c r="N37" s="486"/>
      <c r="O37" s="486"/>
      <c r="P37" s="486"/>
      <c r="Q37" s="486"/>
      <c r="R37" s="486"/>
    </row>
    <row r="38" spans="3:18" s="31" customFormat="1" x14ac:dyDescent="0.3">
      <c r="C38" s="300">
        <f>'4. Input P&amp;L'!C39</f>
        <v>29</v>
      </c>
      <c r="D38" s="301" t="str">
        <f>'4. Input P&amp;L'!D39</f>
        <v>Earnings Before Tax (EBT)</v>
      </c>
      <c r="E38" s="302">
        <f>'4. Input P&amp;L'!E39</f>
        <v>93458.647999999885</v>
      </c>
      <c r="F38" s="302">
        <f>'4. Input P&amp;L'!F39</f>
        <v>80929.762000000017</v>
      </c>
      <c r="G38" s="303">
        <f>'4. Input P&amp;L'!G39</f>
        <v>131736.18699999992</v>
      </c>
      <c r="H38" s="486"/>
      <c r="I38" s="486"/>
      <c r="J38" s="486"/>
      <c r="K38" s="486"/>
      <c r="L38" s="486"/>
      <c r="M38" s="486"/>
      <c r="N38" s="486"/>
      <c r="O38" s="486"/>
      <c r="P38" s="486"/>
      <c r="Q38" s="486"/>
      <c r="R38" s="486"/>
    </row>
    <row r="39" spans="3:18" s="31" customFormat="1" x14ac:dyDescent="0.3">
      <c r="C39" s="258">
        <f>'4. Input P&amp;L'!C40</f>
        <v>30</v>
      </c>
      <c r="D39" s="297" t="str">
        <f>'4. Input P&amp;L'!D40</f>
        <v>Current Tax</v>
      </c>
      <c r="E39" s="298">
        <f>'4. Input P&amp;L'!E40</f>
        <v>15902.348</v>
      </c>
      <c r="F39" s="298">
        <f>'4. Input P&amp;L'!F40</f>
        <v>11393.965</v>
      </c>
      <c r="G39" s="299">
        <f>'4. Input P&amp;L'!G40</f>
        <v>19760.428</v>
      </c>
      <c r="H39" s="486"/>
      <c r="I39" s="486"/>
      <c r="J39" s="486"/>
      <c r="K39" s="486"/>
      <c r="L39" s="486"/>
      <c r="M39" s="486"/>
      <c r="N39" s="486"/>
      <c r="O39" s="486"/>
      <c r="P39" s="486"/>
      <c r="Q39" s="486"/>
      <c r="R39" s="486"/>
    </row>
    <row r="40" spans="3:18" x14ac:dyDescent="0.3">
      <c r="C40" s="258">
        <f>'4. Input P&amp;L'!C41</f>
        <v>31</v>
      </c>
      <c r="D40" s="297" t="str">
        <f>'4. Input P&amp;L'!D41</f>
        <v>Deferred Tax/ Advance Tax Expense</v>
      </c>
      <c r="E40" s="298">
        <f>'4. Input P&amp;L'!E41</f>
        <v>0</v>
      </c>
      <c r="F40" s="298">
        <f>'4. Input P&amp;L'!F41</f>
        <v>0</v>
      </c>
      <c r="G40" s="299">
        <f>'4. Input P&amp;L'!G41</f>
        <v>0</v>
      </c>
    </row>
    <row r="41" spans="3:18" x14ac:dyDescent="0.3">
      <c r="C41" s="258">
        <f>'4. Input P&amp;L'!C42</f>
        <v>32</v>
      </c>
      <c r="D41" s="297" t="str">
        <f>'4. Input P&amp;L'!D42</f>
        <v>Deferred Tax/Advance Tax Income</v>
      </c>
      <c r="E41" s="298">
        <f>'4. Input P&amp;L'!E42</f>
        <v>0</v>
      </c>
      <c r="F41" s="298">
        <f>'4. Input P&amp;L'!F42</f>
        <v>0</v>
      </c>
      <c r="G41" s="299">
        <f>'4. Input P&amp;L'!G42</f>
        <v>0</v>
      </c>
    </row>
    <row r="42" spans="3:18" s="31" customFormat="1" x14ac:dyDescent="0.3">
      <c r="C42" s="300">
        <f>'4. Input P&amp;L'!C43</f>
        <v>33</v>
      </c>
      <c r="D42" s="301" t="str">
        <f>'4. Input P&amp;L'!D43</f>
        <v xml:space="preserve">Total Tax </v>
      </c>
      <c r="E42" s="302">
        <f>'4. Input P&amp;L'!E43</f>
        <v>15902.348</v>
      </c>
      <c r="F42" s="302">
        <f>'4. Input P&amp;L'!F43</f>
        <v>11393.965</v>
      </c>
      <c r="G42" s="303">
        <f>'4. Input P&amp;L'!G43</f>
        <v>19760.428</v>
      </c>
      <c r="H42" s="486"/>
      <c r="I42" s="486"/>
      <c r="J42" s="486"/>
      <c r="K42" s="486"/>
      <c r="L42" s="486"/>
      <c r="M42" s="486"/>
      <c r="N42" s="486"/>
      <c r="O42" s="486"/>
      <c r="P42" s="486"/>
      <c r="Q42" s="486"/>
      <c r="R42" s="486"/>
    </row>
    <row r="43" spans="3:18" s="31" customFormat="1" x14ac:dyDescent="0.3">
      <c r="C43" s="300">
        <f>'4. Input P&amp;L'!C44</f>
        <v>34</v>
      </c>
      <c r="D43" s="301" t="str">
        <f>'4. Input P&amp;L'!D44</f>
        <v>Net Profit After Tax (NPAT)</v>
      </c>
      <c r="E43" s="302">
        <f>'4. Input P&amp;L'!E44</f>
        <v>77556.299999999886</v>
      </c>
      <c r="F43" s="302">
        <f>'4. Input P&amp;L'!F44</f>
        <v>69535.79700000002</v>
      </c>
      <c r="G43" s="303">
        <f>'4. Input P&amp;L'!G44</f>
        <v>111975.75899999992</v>
      </c>
      <c r="H43" s="486"/>
      <c r="I43" s="486"/>
      <c r="J43" s="486"/>
      <c r="K43" s="486"/>
      <c r="L43" s="486"/>
      <c r="M43" s="486"/>
      <c r="N43" s="486"/>
      <c r="O43" s="486"/>
      <c r="P43" s="486"/>
      <c r="Q43" s="486"/>
      <c r="R43" s="486"/>
    </row>
    <row r="44" spans="3:18" s="31" customFormat="1" ht="28" x14ac:dyDescent="0.3">
      <c r="C44" s="258">
        <f>'4. Input P&amp;L'!C45</f>
        <v>35</v>
      </c>
      <c r="D44" s="297" t="str">
        <f>'4. Input P&amp;L'!D45</f>
        <v>Extraordinary Income/ Other Comprehensive Income</v>
      </c>
      <c r="E44" s="298">
        <f>'4. Input P&amp;L'!E45</f>
        <v>0</v>
      </c>
      <c r="F44" s="298">
        <f>'4. Input P&amp;L'!F45</f>
        <v>0</v>
      </c>
      <c r="G44" s="299">
        <f>'4. Input P&amp;L'!G45</f>
        <v>0</v>
      </c>
      <c r="H44" s="486"/>
      <c r="I44" s="486"/>
      <c r="J44" s="486"/>
      <c r="K44" s="486"/>
      <c r="L44" s="486"/>
      <c r="M44" s="486"/>
      <c r="N44" s="486"/>
      <c r="O44" s="486"/>
      <c r="P44" s="486"/>
      <c r="Q44" s="486"/>
      <c r="R44" s="486"/>
    </row>
    <row r="45" spans="3:18" ht="28" x14ac:dyDescent="0.3">
      <c r="C45" s="258">
        <f>'4. Input P&amp;L'!C46</f>
        <v>36</v>
      </c>
      <c r="D45" s="297" t="str">
        <f>'4. Input P&amp;L'!D46</f>
        <v>Extraordinary Expenses/ Other Comprehensive Expense</v>
      </c>
      <c r="E45" s="298">
        <f>'4. Input P&amp;L'!E46</f>
        <v>0</v>
      </c>
      <c r="F45" s="298">
        <f>'4. Input P&amp;L'!F46</f>
        <v>0</v>
      </c>
      <c r="G45" s="299">
        <f>'4. Input P&amp;L'!G46</f>
        <v>0</v>
      </c>
    </row>
    <row r="46" spans="3:18" x14ac:dyDescent="0.3">
      <c r="C46" s="300">
        <f>'4. Input P&amp;L'!C47</f>
        <v>37</v>
      </c>
      <c r="D46" s="301" t="str">
        <f>'4. Input P&amp;L'!D47</f>
        <v>Total Comprehensive Income</v>
      </c>
      <c r="E46" s="302">
        <f>'4. Input P&amp;L'!E47</f>
        <v>77556.299999999886</v>
      </c>
      <c r="F46" s="302">
        <f>'4. Input P&amp;L'!F47</f>
        <v>69535.79700000002</v>
      </c>
      <c r="G46" s="303">
        <f>'4. Input P&amp;L'!G47</f>
        <v>111975.75899999992</v>
      </c>
    </row>
    <row r="47" spans="3:18" s="485" customFormat="1" x14ac:dyDescent="0.3">
      <c r="D47" s="487"/>
    </row>
    <row r="48" spans="3:18" s="485" customFormat="1" x14ac:dyDescent="0.3">
      <c r="D48" s="487"/>
    </row>
    <row r="49" spans="4:4" s="485" customFormat="1" x14ac:dyDescent="0.3">
      <c r="D49" s="487"/>
    </row>
    <row r="50" spans="4:4" s="485" customFormat="1" x14ac:dyDescent="0.3">
      <c r="D50" s="487"/>
    </row>
    <row r="51" spans="4:4" s="485" customFormat="1" x14ac:dyDescent="0.3">
      <c r="D51" s="487"/>
    </row>
    <row r="52" spans="4:4" s="485" customFormat="1" x14ac:dyDescent="0.3">
      <c r="D52" s="487"/>
    </row>
    <row r="53" spans="4:4" s="485" customFormat="1" x14ac:dyDescent="0.3">
      <c r="D53" s="487"/>
    </row>
    <row r="54" spans="4:4" s="485" customFormat="1" x14ac:dyDescent="0.3">
      <c r="D54" s="487"/>
    </row>
    <row r="55" spans="4:4" s="485" customFormat="1" x14ac:dyDescent="0.3">
      <c r="D55" s="487"/>
    </row>
    <row r="56" spans="4:4" s="485" customFormat="1" x14ac:dyDescent="0.3">
      <c r="D56" s="487"/>
    </row>
    <row r="57" spans="4:4" s="485" customFormat="1" x14ac:dyDescent="0.3">
      <c r="D57" s="487"/>
    </row>
    <row r="58" spans="4:4" s="485" customFormat="1" x14ac:dyDescent="0.3">
      <c r="D58" s="487"/>
    </row>
    <row r="59" spans="4:4" s="485" customFormat="1" x14ac:dyDescent="0.3">
      <c r="D59" s="487"/>
    </row>
    <row r="60" spans="4:4" s="485" customFormat="1" x14ac:dyDescent="0.3">
      <c r="D60" s="487"/>
    </row>
    <row r="61" spans="4:4" s="485" customFormat="1" x14ac:dyDescent="0.3">
      <c r="D61" s="487"/>
    </row>
    <row r="62" spans="4:4" s="485" customFormat="1" x14ac:dyDescent="0.3">
      <c r="D62" s="487"/>
    </row>
    <row r="63" spans="4:4" s="485" customFormat="1" x14ac:dyDescent="0.3">
      <c r="D63" s="487"/>
    </row>
    <row r="64" spans="4:4" s="485" customFormat="1" x14ac:dyDescent="0.3">
      <c r="D64" s="487"/>
    </row>
    <row r="65" spans="4:4" s="485" customFormat="1" x14ac:dyDescent="0.3">
      <c r="D65" s="487"/>
    </row>
    <row r="66" spans="4:4" s="485" customFormat="1" x14ac:dyDescent="0.3">
      <c r="D66" s="487"/>
    </row>
    <row r="67" spans="4:4" s="485" customFormat="1" x14ac:dyDescent="0.3">
      <c r="D67" s="487"/>
    </row>
    <row r="68" spans="4:4" s="485" customFormat="1" x14ac:dyDescent="0.3">
      <c r="D68" s="487"/>
    </row>
    <row r="69" spans="4:4" s="485" customFormat="1" x14ac:dyDescent="0.3">
      <c r="D69" s="487"/>
    </row>
    <row r="70" spans="4:4" s="485" customFormat="1" x14ac:dyDescent="0.3">
      <c r="D70" s="487"/>
    </row>
    <row r="71" spans="4:4" s="485" customFormat="1" x14ac:dyDescent="0.3">
      <c r="D71" s="487"/>
    </row>
    <row r="72" spans="4:4" s="485" customFormat="1" x14ac:dyDescent="0.3">
      <c r="D72" s="487"/>
    </row>
    <row r="73" spans="4:4" s="485" customFormat="1" x14ac:dyDescent="0.3">
      <c r="D73" s="487"/>
    </row>
    <row r="74" spans="4:4" s="485" customFormat="1" x14ac:dyDescent="0.3">
      <c r="D74" s="487"/>
    </row>
    <row r="75" spans="4:4" s="485" customFormat="1" x14ac:dyDescent="0.3">
      <c r="D75" s="487"/>
    </row>
  </sheetData>
  <sheetProtection password="F93C" sheet="1" objects="1" scenarios="1" selectLockedCells="1" selectUnlockedCells="1"/>
  <mergeCells count="11">
    <mergeCell ref="C2:G2"/>
    <mergeCell ref="C10:G10"/>
    <mergeCell ref="C9:D9"/>
    <mergeCell ref="C3:G3"/>
    <mergeCell ref="C4:D4"/>
    <mergeCell ref="E4:G4"/>
    <mergeCell ref="C8:D8"/>
    <mergeCell ref="C5:D5"/>
    <mergeCell ref="E5:G5"/>
    <mergeCell ref="C6:D6"/>
    <mergeCell ref="C7:D7"/>
  </mergeCells>
  <printOptions horizontalCentered="1"/>
  <pageMargins left="0.25" right="0.25" top="0.43333333333333335" bottom="0.75" header="0.3" footer="0.3"/>
  <pageSetup paperSize="9" scale="80" fitToWidth="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P41"/>
  <sheetViews>
    <sheetView showGridLines="0" topLeftCell="B1" zoomScaleSheetLayoutView="100" workbookViewId="0">
      <selection activeCell="L8" sqref="L8"/>
    </sheetView>
  </sheetViews>
  <sheetFormatPr defaultColWidth="9.1796875" defaultRowHeight="15" x14ac:dyDescent="0.3"/>
  <cols>
    <col min="1" max="1" width="9.1796875" style="30" hidden="1" customWidth="1"/>
    <col min="2" max="2" width="1.1796875" style="30" customWidth="1"/>
    <col min="3" max="3" width="4.453125" style="30" bestFit="1" customWidth="1"/>
    <col min="4" max="4" width="38.7265625" style="30" customWidth="1"/>
    <col min="5" max="5" width="23" style="30" customWidth="1"/>
    <col min="6" max="6" width="24.1796875" style="30" customWidth="1"/>
    <col min="7" max="7" width="18.26953125" style="30" customWidth="1"/>
    <col min="8" max="16" width="9.1796875" style="470"/>
    <col min="17" max="16384" width="9.1796875" style="30"/>
  </cols>
  <sheetData>
    <row r="1" spans="3:16" ht="15.5" thickBot="1" x14ac:dyDescent="0.35"/>
    <row r="2" spans="3:16" ht="29.25" customHeight="1" thickBot="1" x14ac:dyDescent="0.35">
      <c r="C2" s="970" t="str">
        <f>'2. Top Page'!D9</f>
        <v>Outpace Spinning Mills Ltd</v>
      </c>
      <c r="D2" s="971"/>
      <c r="E2" s="971"/>
      <c r="F2" s="971"/>
      <c r="G2" s="972"/>
    </row>
    <row r="3" spans="3:16" ht="18" thickBot="1" x14ac:dyDescent="0.35">
      <c r="C3" s="973" t="s">
        <v>90</v>
      </c>
      <c r="D3" s="974"/>
      <c r="E3" s="974"/>
      <c r="F3" s="974"/>
      <c r="G3" s="975"/>
    </row>
    <row r="4" spans="3:16" x14ac:dyDescent="0.3">
      <c r="C4" s="1002" t="str">
        <f>'5. Input-CF'!C4:D4</f>
        <v>Analyst</v>
      </c>
      <c r="D4" s="1003"/>
      <c r="E4" s="1004" t="str">
        <f>'2. Top Page'!D18</f>
        <v>Md. Matiur Rahman, SRM</v>
      </c>
      <c r="F4" s="1004"/>
      <c r="G4" s="1005"/>
    </row>
    <row r="5" spans="3:16" x14ac:dyDescent="0.3">
      <c r="C5" s="996" t="str">
        <f>'5. Input-CF'!C5:D5</f>
        <v>Verifier</v>
      </c>
      <c r="D5" s="997"/>
      <c r="E5" s="1006" t="str">
        <f>'2. Top Page'!D19</f>
        <v>Farhana Afrin, SM</v>
      </c>
      <c r="F5" s="1006"/>
      <c r="G5" s="1007"/>
    </row>
    <row r="6" spans="3:16" x14ac:dyDescent="0.3">
      <c r="C6" s="996" t="str">
        <f>'5. Input-CF'!C6:D6</f>
        <v>Name of the Audit Farm</v>
      </c>
      <c r="D6" s="997"/>
      <c r="E6" s="330" t="str">
        <f>'5. Input-CF'!E6</f>
        <v>Deawn Nazrul Islam &amp; Co</v>
      </c>
      <c r="F6" s="330" t="str">
        <f>'5. Input-CF'!F6</f>
        <v>Deawn Nazrul Islam &amp; Co</v>
      </c>
      <c r="G6" s="331" t="str">
        <f>'5. Input-CF'!G6</f>
        <v>Rahman Mustafiz Haw &amp; Co.</v>
      </c>
    </row>
    <row r="7" spans="3:16" x14ac:dyDescent="0.3">
      <c r="C7" s="996" t="str">
        <f>'5. Input-CF'!C7:D7</f>
        <v>Period (months)</v>
      </c>
      <c r="D7" s="997"/>
      <c r="E7" s="332">
        <f>'4. Input P&amp;L'!E7</f>
        <v>12</v>
      </c>
      <c r="F7" s="332">
        <f>'4. Input P&amp;L'!F7</f>
        <v>12</v>
      </c>
      <c r="G7" s="333">
        <f>'4. Input P&amp;L'!G7</f>
        <v>12</v>
      </c>
    </row>
    <row r="8" spans="3:16" ht="15.5" thickBot="1" x14ac:dyDescent="0.35">
      <c r="C8" s="998" t="str">
        <f>'5. Input-CF'!C8:D8</f>
        <v>Amount in thousand</v>
      </c>
      <c r="D8" s="999"/>
      <c r="E8" s="338" t="s">
        <v>88</v>
      </c>
      <c r="F8" s="338" t="s">
        <v>88</v>
      </c>
      <c r="G8" s="339" t="s">
        <v>88</v>
      </c>
    </row>
    <row r="9" spans="3:16" ht="13.5" customHeight="1" thickBot="1" x14ac:dyDescent="0.35">
      <c r="C9" s="1008"/>
      <c r="D9" s="1009"/>
      <c r="E9" s="1009"/>
      <c r="F9" s="1009"/>
      <c r="G9" s="1010"/>
    </row>
    <row r="10" spans="3:16" x14ac:dyDescent="0.3">
      <c r="C10" s="1000" t="s">
        <v>80</v>
      </c>
      <c r="D10" s="1001"/>
      <c r="E10" s="340">
        <f>'5. Input-CF'!E10</f>
        <v>2025</v>
      </c>
      <c r="F10" s="340">
        <f>'5. Input-CF'!F10</f>
        <v>2024</v>
      </c>
      <c r="G10" s="341">
        <f>'5. Input-CF'!G10</f>
        <v>2023</v>
      </c>
    </row>
    <row r="11" spans="3:16" x14ac:dyDescent="0.3">
      <c r="C11" s="334" t="str">
        <f>'5. Input-CF'!C11</f>
        <v xml:space="preserve">A. </v>
      </c>
      <c r="D11" s="335" t="str">
        <f>'5. Input-CF'!D11</f>
        <v>Net cash flows from operating activities</v>
      </c>
      <c r="E11" s="336">
        <f>'5. Input-CF'!E11</f>
        <v>105171.026</v>
      </c>
      <c r="F11" s="336">
        <f>'5. Input-CF'!F11</f>
        <v>398401.77399999998</v>
      </c>
      <c r="G11" s="337">
        <f>'5. Input-CF'!G11</f>
        <v>-723188.91899999999</v>
      </c>
    </row>
    <row r="12" spans="3:16" x14ac:dyDescent="0.3">
      <c r="C12" s="334" t="str">
        <f>'5. Input-CF'!C12</f>
        <v xml:space="preserve">B. </v>
      </c>
      <c r="D12" s="335" t="str">
        <f>'5. Input-CF'!D12</f>
        <v>Net cash flows from investing activities</v>
      </c>
      <c r="E12" s="336">
        <f>'5. Input-CF'!E12</f>
        <v>-56953.665000000001</v>
      </c>
      <c r="F12" s="336">
        <f>'5. Input-CF'!F12</f>
        <v>-165366.05300000001</v>
      </c>
      <c r="G12" s="337">
        <f>'5. Input-CF'!G12</f>
        <v>-20827.202000000001</v>
      </c>
    </row>
    <row r="13" spans="3:16" x14ac:dyDescent="0.3">
      <c r="C13" s="334" t="str">
        <f>'5. Input-CF'!C13</f>
        <v>C.</v>
      </c>
      <c r="D13" s="335" t="str">
        <f>'5. Input-CF'!D13</f>
        <v>Net cash flows from financing activities</v>
      </c>
      <c r="E13" s="336">
        <f>'5. Input-CF'!E13</f>
        <v>-66327.362999999998</v>
      </c>
      <c r="F13" s="336">
        <f>'5. Input-CF'!F13</f>
        <v>-213494.1</v>
      </c>
      <c r="G13" s="337">
        <f>'5. Input-CF'!G13</f>
        <v>748507.59199999995</v>
      </c>
    </row>
    <row r="14" spans="3:16" s="31" customFormat="1" x14ac:dyDescent="0.3">
      <c r="C14" s="342" t="str">
        <f>'5. Input-CF'!C14</f>
        <v>D.</v>
      </c>
      <c r="D14" s="343" t="str">
        <f>'5. Input-CF'!D14</f>
        <v>Net inflow of cash and cash equivalents</v>
      </c>
      <c r="E14" s="344">
        <f>'5. Input-CF'!E14</f>
        <v>-18110.002</v>
      </c>
      <c r="F14" s="344">
        <f>'5. Input-CF'!F14</f>
        <v>19541.620999999956</v>
      </c>
      <c r="G14" s="345">
        <f>'5. Input-CF'!G14</f>
        <v>4491.4709999999031</v>
      </c>
      <c r="H14" s="471"/>
      <c r="I14" s="471"/>
      <c r="J14" s="471"/>
      <c r="K14" s="471"/>
      <c r="L14" s="471"/>
      <c r="M14" s="471"/>
      <c r="N14" s="471"/>
      <c r="O14" s="471"/>
      <c r="P14" s="471"/>
    </row>
    <row r="15" spans="3:16" x14ac:dyDescent="0.3">
      <c r="C15" s="334" t="str">
        <f>'5. Input-CF'!C15</f>
        <v>E.</v>
      </c>
      <c r="D15" s="335" t="str">
        <f>'5. Input-CF'!D15</f>
        <v>Cash and cash equivalent at opening</v>
      </c>
      <c r="E15" s="336">
        <f>'5. Input-CF'!E15</f>
        <v>36951.324000000001</v>
      </c>
      <c r="F15" s="336">
        <f>'5. Input-CF'!F15</f>
        <v>17409.703000000001</v>
      </c>
      <c r="G15" s="336">
        <f>'5. Input-CF'!G15</f>
        <v>12918.232</v>
      </c>
    </row>
    <row r="16" spans="3:16" x14ac:dyDescent="0.3">
      <c r="C16" s="346" t="s">
        <v>60</v>
      </c>
      <c r="D16" s="347" t="s">
        <v>59</v>
      </c>
      <c r="E16" s="302">
        <f>SUM(E14:E15)</f>
        <v>18841.322</v>
      </c>
      <c r="F16" s="302">
        <f t="shared" ref="F16:G16" si="0">SUM(F14:F15)</f>
        <v>36951.323999999957</v>
      </c>
      <c r="G16" s="303">
        <f t="shared" si="0"/>
        <v>17409.702999999903</v>
      </c>
    </row>
    <row r="17" s="470" customFormat="1" x14ac:dyDescent="0.3"/>
    <row r="18" s="470" customFormat="1" x14ac:dyDescent="0.3"/>
    <row r="19" s="470" customFormat="1" x14ac:dyDescent="0.3"/>
    <row r="20" s="470" customFormat="1" x14ac:dyDescent="0.3"/>
    <row r="21" s="470" customFormat="1" x14ac:dyDescent="0.3"/>
    <row r="22" s="470" customFormat="1" x14ac:dyDescent="0.3"/>
    <row r="23" s="470" customFormat="1" x14ac:dyDescent="0.3"/>
    <row r="24" s="470" customFormat="1" x14ac:dyDescent="0.3"/>
    <row r="25" s="470" customFormat="1" x14ac:dyDescent="0.3"/>
    <row r="26" s="470" customFormat="1" x14ac:dyDescent="0.3"/>
    <row r="27" s="470" customFormat="1" x14ac:dyDescent="0.3"/>
    <row r="28" s="470" customFormat="1" x14ac:dyDescent="0.3"/>
    <row r="29" s="470" customFormat="1" x14ac:dyDescent="0.3"/>
    <row r="30" s="470" customFormat="1" x14ac:dyDescent="0.3"/>
    <row r="31" s="470" customFormat="1" x14ac:dyDescent="0.3"/>
    <row r="32" s="470" customFormat="1" x14ac:dyDescent="0.3"/>
    <row r="33" spans="4:4" s="470" customFormat="1" x14ac:dyDescent="0.3"/>
    <row r="34" spans="4:4" s="470" customFormat="1" x14ac:dyDescent="0.3"/>
    <row r="35" spans="4:4" s="470" customFormat="1" x14ac:dyDescent="0.3"/>
    <row r="36" spans="4:4" s="470" customFormat="1" x14ac:dyDescent="0.3"/>
    <row r="37" spans="4:4" s="470" customFormat="1" x14ac:dyDescent="0.3"/>
    <row r="38" spans="4:4" s="470" customFormat="1" x14ac:dyDescent="0.3"/>
    <row r="39" spans="4:4" s="470" customFormat="1" x14ac:dyDescent="0.3"/>
    <row r="40" spans="4:4" s="470" customFormat="1" x14ac:dyDescent="0.3"/>
    <row r="41" spans="4:4" s="470" customFormat="1" x14ac:dyDescent="0.3">
      <c r="D41" s="472"/>
    </row>
  </sheetData>
  <sheetProtection password="F93C" sheet="1" objects="1" scenarios="1" selectLockedCells="1" selectUnlockedCells="1"/>
  <mergeCells count="11">
    <mergeCell ref="C6:D6"/>
    <mergeCell ref="C7:D7"/>
    <mergeCell ref="C8:D8"/>
    <mergeCell ref="C10:D10"/>
    <mergeCell ref="C2:G2"/>
    <mergeCell ref="C3:G3"/>
    <mergeCell ref="C4:D4"/>
    <mergeCell ref="E4:G4"/>
    <mergeCell ref="C5:D5"/>
    <mergeCell ref="E5:G5"/>
    <mergeCell ref="C9:G9"/>
  </mergeCells>
  <printOptions horizontalCentered="1"/>
  <pageMargins left="0.25" right="0.25" top="0.29062500000000002" bottom="0.75" header="0.3" footer="0.3"/>
  <pageSetup paperSize="9" scale="9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58"/>
  <sheetViews>
    <sheetView showGridLines="0" zoomScale="84" zoomScaleNormal="84" zoomScalePageLayoutView="85" workbookViewId="0">
      <selection activeCell="A16" sqref="A16:XFD17"/>
    </sheetView>
  </sheetViews>
  <sheetFormatPr defaultColWidth="9.1796875" defaultRowHeight="14" x14ac:dyDescent="0.3"/>
  <cols>
    <col min="1" max="1" width="2.81640625" style="20" customWidth="1"/>
    <col min="2" max="2" width="7" style="27" customWidth="1"/>
    <col min="3" max="3" width="35.1796875" style="28" customWidth="1"/>
    <col min="4" max="4" width="27.54296875" style="27" hidden="1" customWidth="1"/>
    <col min="5" max="5" width="25.453125" style="27" hidden="1" customWidth="1"/>
    <col min="6" max="6" width="11.81640625" style="27" bestFit="1" customWidth="1"/>
    <col min="7" max="7" width="13.7265625" style="20" bestFit="1" customWidth="1"/>
    <col min="8" max="8" width="10.81640625" style="20" bestFit="1" customWidth="1"/>
    <col min="9" max="16384" width="9.1796875" style="20"/>
  </cols>
  <sheetData>
    <row r="1" spans="2:8" ht="15" customHeight="1" x14ac:dyDescent="0.3">
      <c r="C1" s="1011"/>
      <c r="D1" s="1011"/>
      <c r="E1" s="1011"/>
      <c r="F1" s="1011"/>
    </row>
    <row r="2" spans="2:8" ht="22.5" x14ac:dyDescent="0.45">
      <c r="B2" s="1012" t="s">
        <v>91</v>
      </c>
      <c r="C2" s="1012"/>
      <c r="D2" s="1012"/>
      <c r="E2" s="1012"/>
      <c r="F2" s="1012"/>
    </row>
    <row r="3" spans="2:8" x14ac:dyDescent="0.3">
      <c r="C3" s="404"/>
      <c r="D3" s="26">
        <f>'6. Output-BS'!E9</f>
        <v>2025</v>
      </c>
      <c r="E3" s="26">
        <f>'6. Output-BS'!F9</f>
        <v>2024</v>
      </c>
      <c r="F3" s="195">
        <f>'6. Output-BS'!G9</f>
        <v>2023</v>
      </c>
      <c r="G3" s="217">
        <f>E3</f>
        <v>2024</v>
      </c>
      <c r="H3" s="217">
        <f>D3</f>
        <v>2025</v>
      </c>
    </row>
    <row r="4" spans="2:8" ht="29.25" customHeight="1" x14ac:dyDescent="0.3">
      <c r="B4" s="58">
        <v>1</v>
      </c>
      <c r="C4" s="405" t="s">
        <v>583</v>
      </c>
      <c r="D4" s="415">
        <f>D5/D6</f>
        <v>3.9252586061418495</v>
      </c>
      <c r="E4" s="418">
        <f t="shared" ref="E4:F4" si="0">E5/E6</f>
        <v>3.49246800438259</v>
      </c>
      <c r="F4" s="415">
        <f t="shared" si="0"/>
        <v>3.199355260869682</v>
      </c>
      <c r="G4" s="194">
        <f t="shared" ref="G4:G58" si="1">E4</f>
        <v>3.49246800438259</v>
      </c>
      <c r="H4" s="194">
        <f t="shared" ref="H4:H57" si="2">D4</f>
        <v>3.9252586061418495</v>
      </c>
    </row>
    <row r="5" spans="2:8" hidden="1" x14ac:dyDescent="0.3">
      <c r="B5" s="33"/>
      <c r="C5" s="41" t="s">
        <v>553</v>
      </c>
      <c r="D5" s="416">
        <f>'6. Output-BS'!E51+'6. Output-BS'!E52+'6. Output-BS'!E53+'6. Output-BS'!E54+'6. Output-BS'!E55+'6. Output-BS'!E74+'6. Output-BS'!E78+'6. Output-BS'!E79+'6. Output-BS'!E77</f>
        <v>3135167.7910000002</v>
      </c>
      <c r="E5" s="419">
        <f>'6. Output-BS'!F51+'6. Output-BS'!F52+'6. Output-BS'!F53+'6. Output-BS'!F54+'6. Output-BS'!F55+'6. Output-BS'!F74+'6. Output-BS'!F78+'6. Output-BS'!F79+'6. Output-BS'!F77</f>
        <v>2518628.0130000003</v>
      </c>
      <c r="F5" s="416">
        <f>'6. Output-BS'!G51+'6. Output-BS'!G52+'6. Output-BS'!G53+'6. Output-BS'!G54+'6. Output-BS'!G55+'6. Output-BS'!G74+'6. Output-BS'!G78+'6. Output-BS'!G79+'6. Output-BS'!G77</f>
        <v>2050224.09</v>
      </c>
      <c r="G5" s="194">
        <f t="shared" si="1"/>
        <v>2518628.0130000003</v>
      </c>
      <c r="H5" s="194">
        <f t="shared" si="2"/>
        <v>3135167.7910000002</v>
      </c>
    </row>
    <row r="6" spans="2:8" hidden="1" x14ac:dyDescent="0.3">
      <c r="B6" s="33"/>
      <c r="C6" s="41" t="s">
        <v>67</v>
      </c>
      <c r="D6" s="416">
        <f>'6. Output-BS'!E97-'6. Output-BS'!E33-'6. Output-BS'!E34-'6. Output-BS'!E35-('6. Output-BS'!E93*0.25)</f>
        <v>798716.23899999994</v>
      </c>
      <c r="E6" s="419">
        <f>'6. Output-BS'!F97-'6. Output-BS'!F33-'6. Output-BS'!F34-'6. Output-BS'!F35-('6. Output-BS'!F93*0.25)</f>
        <v>721159.93900000001</v>
      </c>
      <c r="F6" s="416">
        <f>'6. Output-BS'!G97-'6. Output-BS'!G33-'6. Output-BS'!G34-'6. Output-BS'!G35-('6. Output-BS'!G93*0.25)</f>
        <v>640824.14199999999</v>
      </c>
      <c r="G6" s="194">
        <f t="shared" si="1"/>
        <v>721159.93900000001</v>
      </c>
      <c r="H6" s="194">
        <f t="shared" si="2"/>
        <v>798716.23899999994</v>
      </c>
    </row>
    <row r="7" spans="2:8" x14ac:dyDescent="0.3">
      <c r="B7" s="34">
        <v>2</v>
      </c>
      <c r="C7" s="168" t="s">
        <v>584</v>
      </c>
      <c r="D7" s="417">
        <f>D8/D9</f>
        <v>0.78528910732277912</v>
      </c>
      <c r="E7" s="420">
        <f t="shared" ref="E7:F7" si="3">E8/E9</f>
        <v>0.74091911134311206</v>
      </c>
      <c r="F7" s="417">
        <f t="shared" si="3"/>
        <v>0.70931830384274286</v>
      </c>
      <c r="G7" s="194">
        <f t="shared" si="1"/>
        <v>0.74091911134311206</v>
      </c>
      <c r="H7" s="194">
        <f t="shared" si="2"/>
        <v>0.78528910732277912</v>
      </c>
    </row>
    <row r="8" spans="2:8" hidden="1" x14ac:dyDescent="0.3">
      <c r="B8" s="33"/>
      <c r="C8" s="41" t="s">
        <v>553</v>
      </c>
      <c r="D8" s="416">
        <f>D5</f>
        <v>3135167.7910000002</v>
      </c>
      <c r="E8" s="419">
        <f t="shared" ref="E8:F8" si="4">E5</f>
        <v>2518628.0130000003</v>
      </c>
      <c r="F8" s="416">
        <f t="shared" si="4"/>
        <v>2050224.09</v>
      </c>
      <c r="G8" s="194">
        <f t="shared" si="1"/>
        <v>2518628.0130000003</v>
      </c>
      <c r="H8" s="194">
        <f t="shared" si="2"/>
        <v>3135167.7910000002</v>
      </c>
    </row>
    <row r="9" spans="2:8" hidden="1" x14ac:dyDescent="0.3">
      <c r="B9" s="33"/>
      <c r="C9" s="41" t="s">
        <v>24</v>
      </c>
      <c r="D9" s="416">
        <f>'6. Output-BS'!E49</f>
        <v>3992373.9700000007</v>
      </c>
      <c r="E9" s="419">
        <f>'6. Output-BS'!F49</f>
        <v>3399329.2579999999</v>
      </c>
      <c r="F9" s="416">
        <f>'6. Output-BS'!G49</f>
        <v>2890414.7529999996</v>
      </c>
      <c r="G9" s="194">
        <f t="shared" si="1"/>
        <v>3399329.2579999999</v>
      </c>
      <c r="H9" s="194">
        <f t="shared" si="2"/>
        <v>3992373.9700000007</v>
      </c>
    </row>
    <row r="10" spans="2:8" x14ac:dyDescent="0.3">
      <c r="B10" s="33">
        <v>3</v>
      </c>
      <c r="C10" s="170" t="s">
        <v>64</v>
      </c>
      <c r="D10" s="417">
        <f>D12/D14</f>
        <v>6.1472340974284764E-3</v>
      </c>
      <c r="E10" s="420">
        <f t="shared" ref="E10:F10" si="5">E12/E14</f>
        <v>1.442501347030347E-2</v>
      </c>
      <c r="F10" s="417">
        <f t="shared" si="5"/>
        <v>8.3231700402745905E-3</v>
      </c>
      <c r="G10" s="194">
        <f t="shared" si="1"/>
        <v>1.442501347030347E-2</v>
      </c>
      <c r="H10" s="194">
        <f t="shared" si="2"/>
        <v>6.1472340974284764E-3</v>
      </c>
    </row>
    <row r="11" spans="2:8" x14ac:dyDescent="0.3">
      <c r="B11" s="34">
        <v>4</v>
      </c>
      <c r="C11" s="168" t="s">
        <v>65</v>
      </c>
      <c r="D11" s="417">
        <f>D13/D14</f>
        <v>1.040552151554528</v>
      </c>
      <c r="E11" s="420">
        <f t="shared" ref="E11:F11" si="6">E13/E14</f>
        <v>1.027609585035133</v>
      </c>
      <c r="F11" s="417">
        <f t="shared" si="6"/>
        <v>1.0849472454475959</v>
      </c>
      <c r="G11" s="194">
        <f t="shared" si="1"/>
        <v>1.027609585035133</v>
      </c>
      <c r="H11" s="194">
        <f t="shared" si="2"/>
        <v>1.040552151554528</v>
      </c>
    </row>
    <row r="12" spans="2:8" hidden="1" x14ac:dyDescent="0.3">
      <c r="B12" s="33"/>
      <c r="C12" s="41" t="s">
        <v>69</v>
      </c>
      <c r="D12" s="53">
        <f>'6. Output-BS'!E25+'6. Output-BS'!E23</f>
        <v>18841.322</v>
      </c>
      <c r="E12" s="182">
        <f>'6. Output-BS'!F25+'6. Output-BS'!F23</f>
        <v>36951.324000000001</v>
      </c>
      <c r="F12" s="53">
        <f>'6. Output-BS'!G25+'6. Output-BS'!G23</f>
        <v>17409.703000000001</v>
      </c>
      <c r="G12" s="194">
        <f t="shared" si="1"/>
        <v>36951.324000000001</v>
      </c>
      <c r="H12" s="194">
        <f t="shared" si="2"/>
        <v>18841.322</v>
      </c>
    </row>
    <row r="13" spans="2:8" hidden="1" x14ac:dyDescent="0.3">
      <c r="B13" s="33"/>
      <c r="C13" s="41" t="s">
        <v>70</v>
      </c>
      <c r="D13" s="53">
        <f>'6. Output-BS'!E27</f>
        <v>3189300.7220000005</v>
      </c>
      <c r="E13" s="182">
        <f>'6. Output-BS'!F27</f>
        <v>2632339.6370000001</v>
      </c>
      <c r="F13" s="53">
        <f>'6. Output-BS'!G27</f>
        <v>2269400.8679999998</v>
      </c>
      <c r="G13" s="194">
        <f t="shared" si="1"/>
        <v>2632339.6370000001</v>
      </c>
      <c r="H13" s="194">
        <f t="shared" si="2"/>
        <v>3189300.7220000005</v>
      </c>
    </row>
    <row r="14" spans="2:8" hidden="1" x14ac:dyDescent="0.3">
      <c r="B14" s="33"/>
      <c r="C14" s="41" t="s">
        <v>71</v>
      </c>
      <c r="D14" s="53">
        <f>'6. Output-BS'!E72</f>
        <v>3065008.0510000004</v>
      </c>
      <c r="E14" s="182">
        <f>'6. Output-BS'!F72</f>
        <v>2561614.523</v>
      </c>
      <c r="F14" s="53">
        <f>'6. Output-BS'!G72</f>
        <v>2091715.4060000002</v>
      </c>
      <c r="G14" s="194">
        <f t="shared" si="1"/>
        <v>2561614.523</v>
      </c>
      <c r="H14" s="194">
        <f t="shared" si="2"/>
        <v>3065008.0510000004</v>
      </c>
    </row>
    <row r="15" spans="2:8" hidden="1" x14ac:dyDescent="0.3">
      <c r="B15" s="34">
        <v>5</v>
      </c>
      <c r="C15" s="168" t="s">
        <v>585</v>
      </c>
      <c r="D15" s="177">
        <f>D16/D17</f>
        <v>5.4896988386267581E-2</v>
      </c>
      <c r="E15" s="184">
        <f t="shared" ref="E15:F15" si="7">E16/E17</f>
        <v>4.0053649767122175E-2</v>
      </c>
      <c r="F15" s="177">
        <f t="shared" si="7"/>
        <v>8.0204316911672235E-2</v>
      </c>
      <c r="G15" s="192">
        <f t="shared" si="1"/>
        <v>4.0053649767122175E-2</v>
      </c>
      <c r="H15" s="192">
        <f t="shared" si="2"/>
        <v>5.4896988386267581E-2</v>
      </c>
    </row>
    <row r="16" spans="2:8" hidden="1" x14ac:dyDescent="0.3">
      <c r="B16" s="33"/>
      <c r="C16" s="41" t="s">
        <v>373</v>
      </c>
      <c r="D16" s="53">
        <f>'7. Output IS'!E43</f>
        <v>77556.299999999886</v>
      </c>
      <c r="E16" s="182">
        <f>'7. Output IS'!F43</f>
        <v>69535.79700000002</v>
      </c>
      <c r="F16" s="53">
        <f>'7. Output IS'!G43</f>
        <v>111975.75899999992</v>
      </c>
      <c r="G16" s="192">
        <f t="shared" si="1"/>
        <v>69535.79700000002</v>
      </c>
      <c r="H16" s="192">
        <f t="shared" si="2"/>
        <v>77556.299999999886</v>
      </c>
    </row>
    <row r="17" spans="2:8" hidden="1" x14ac:dyDescent="0.3">
      <c r="B17" s="33"/>
      <c r="C17" s="41" t="s">
        <v>76</v>
      </c>
      <c r="D17" s="53">
        <f>'7. Output IS'!E13</f>
        <v>1412760.5589999999</v>
      </c>
      <c r="E17" s="182">
        <f>'7. Output IS'!F13</f>
        <v>1736066.436</v>
      </c>
      <c r="F17" s="53">
        <f>'7. Output IS'!G13</f>
        <v>1396131.3219999999</v>
      </c>
      <c r="G17" s="192">
        <f t="shared" si="1"/>
        <v>1736066.436</v>
      </c>
      <c r="H17" s="192">
        <f t="shared" si="2"/>
        <v>1412760.5589999999</v>
      </c>
    </row>
    <row r="18" spans="2:8" x14ac:dyDescent="0.3">
      <c r="B18" s="34">
        <v>6</v>
      </c>
      <c r="C18" s="168" t="s">
        <v>586</v>
      </c>
      <c r="D18" s="177">
        <f>D19/D20</f>
        <v>1.9426111026367571E-2</v>
      </c>
      <c r="E18" s="184">
        <f t="shared" ref="E18:F18" si="8">E19/E20</f>
        <v>2.0455740448311707E-2</v>
      </c>
      <c r="F18" s="177">
        <f t="shared" si="8"/>
        <v>3.8740377616665149E-2</v>
      </c>
      <c r="G18" s="192">
        <f t="shared" si="1"/>
        <v>2.0455740448311707E-2</v>
      </c>
      <c r="H18" s="192">
        <f t="shared" si="2"/>
        <v>1.9426111026367571E-2</v>
      </c>
    </row>
    <row r="19" spans="2:8" hidden="1" x14ac:dyDescent="0.3">
      <c r="B19" s="33"/>
      <c r="C19" s="41" t="s">
        <v>373</v>
      </c>
      <c r="D19" s="53">
        <f>D16</f>
        <v>77556.299999999886</v>
      </c>
      <c r="E19" s="182">
        <f t="shared" ref="E19:F19" si="9">E16</f>
        <v>69535.79700000002</v>
      </c>
      <c r="F19" s="53">
        <f t="shared" si="9"/>
        <v>111975.75899999992</v>
      </c>
      <c r="G19" s="192">
        <f t="shared" si="1"/>
        <v>69535.79700000002</v>
      </c>
      <c r="H19" s="192">
        <f t="shared" si="2"/>
        <v>77556.299999999886</v>
      </c>
    </row>
    <row r="20" spans="2:8" hidden="1" x14ac:dyDescent="0.3">
      <c r="B20" s="33"/>
      <c r="C20" s="41" t="s">
        <v>73</v>
      </c>
      <c r="D20" s="53">
        <f>'6. Output-BS'!E49</f>
        <v>3992373.9700000007</v>
      </c>
      <c r="E20" s="182">
        <f>'6. Output-BS'!F49</f>
        <v>3399329.2579999999</v>
      </c>
      <c r="F20" s="53">
        <f>'6. Output-BS'!G49</f>
        <v>2890414.7529999996</v>
      </c>
      <c r="G20" s="192">
        <f t="shared" si="1"/>
        <v>3399329.2579999999</v>
      </c>
      <c r="H20" s="192">
        <f t="shared" si="2"/>
        <v>3992373.9700000007</v>
      </c>
    </row>
    <row r="21" spans="2:8" x14ac:dyDescent="0.3">
      <c r="B21" s="34">
        <v>7</v>
      </c>
      <c r="C21" s="168" t="s">
        <v>554</v>
      </c>
      <c r="D21" s="177">
        <f>D22/D23</f>
        <v>4.652054000911502E-2</v>
      </c>
      <c r="E21" s="184">
        <f t="shared" ref="E21:F21" si="10">E22/E23</f>
        <v>6.3539007832642477E-2</v>
      </c>
      <c r="F21" s="177">
        <f t="shared" si="10"/>
        <v>7.7093465735060207E-2</v>
      </c>
      <c r="G21" s="192">
        <f t="shared" si="1"/>
        <v>6.3539007832642477E-2</v>
      </c>
      <c r="H21" s="192">
        <f t="shared" si="2"/>
        <v>4.652054000911502E-2</v>
      </c>
    </row>
    <row r="22" spans="2:8" hidden="1" x14ac:dyDescent="0.3">
      <c r="B22" s="33"/>
      <c r="C22" s="41" t="s">
        <v>72</v>
      </c>
      <c r="D22" s="53">
        <f>'7. Output IS'!E23</f>
        <v>171771.23099999988</v>
      </c>
      <c r="E22" s="182">
        <f>'7. Output IS'!F23</f>
        <v>196928.30600000001</v>
      </c>
      <c r="F22" s="53">
        <f>'7. Output IS'!G23</f>
        <v>199704.05099999992</v>
      </c>
      <c r="G22" s="194">
        <f t="shared" si="1"/>
        <v>196928.30600000001</v>
      </c>
      <c r="H22" s="194">
        <f t="shared" si="2"/>
        <v>171771.23099999988</v>
      </c>
    </row>
    <row r="23" spans="2:8" hidden="1" x14ac:dyDescent="0.3">
      <c r="B23" s="33"/>
      <c r="C23" s="41" t="s">
        <v>555</v>
      </c>
      <c r="D23" s="53">
        <f>'6. Output-BS'!E49-'6. Output-BS'!E37-'6. Output-BS'!E38-'6. Output-BS'!E40-'6. Output-BS'!E36</f>
        <v>3692373.9700000007</v>
      </c>
      <c r="E23" s="182">
        <f>'6. Output-BS'!F49-'6. Output-BS'!F37-'6. Output-BS'!F38-'6. Output-BS'!F40-'6. Output-BS'!F36</f>
        <v>3099329.2579999999</v>
      </c>
      <c r="F23" s="53">
        <f>'6. Output-BS'!G49-'6. Output-BS'!G37-'6. Output-BS'!G38-'6. Output-BS'!G40-'6. Output-BS'!G36</f>
        <v>2590414.7529999996</v>
      </c>
      <c r="G23" s="194">
        <f t="shared" si="1"/>
        <v>3099329.2579999999</v>
      </c>
      <c r="H23" s="194">
        <f t="shared" si="2"/>
        <v>3692373.9700000007</v>
      </c>
    </row>
    <row r="24" spans="2:8" x14ac:dyDescent="0.3">
      <c r="B24" s="34">
        <v>8</v>
      </c>
      <c r="C24" s="168" t="s">
        <v>587</v>
      </c>
      <c r="D24" s="171">
        <f>D25/D26</f>
        <v>2.1640484041893577</v>
      </c>
      <c r="E24" s="185">
        <f t="shared" ref="E24:F24" si="11">E25/E26</f>
        <v>1.6813178124419406</v>
      </c>
      <c r="F24" s="171">
        <f t="shared" si="11"/>
        <v>2.9173829285511252</v>
      </c>
      <c r="G24" s="194">
        <f t="shared" si="1"/>
        <v>1.6813178124419406</v>
      </c>
      <c r="H24" s="194">
        <f t="shared" si="2"/>
        <v>2.1640484041893577</v>
      </c>
    </row>
    <row r="25" spans="2:8" hidden="1" x14ac:dyDescent="0.3">
      <c r="B25" s="36"/>
      <c r="C25" s="43" t="s">
        <v>74</v>
      </c>
      <c r="D25" s="55">
        <f>'7. Output IS'!E36</f>
        <v>173746.24399999989</v>
      </c>
      <c r="E25" s="186">
        <f>'7. Output IS'!F36</f>
        <v>199713.91900000002</v>
      </c>
      <c r="F25" s="55">
        <f>'7. Output IS'!G36</f>
        <v>200442.43499999991</v>
      </c>
      <c r="G25" s="194">
        <f t="shared" si="1"/>
        <v>199713.91900000002</v>
      </c>
      <c r="H25" s="194">
        <f t="shared" si="2"/>
        <v>173746.24399999989</v>
      </c>
    </row>
    <row r="26" spans="2:8" hidden="1" x14ac:dyDescent="0.3">
      <c r="B26" s="36"/>
      <c r="C26" s="43" t="s">
        <v>75</v>
      </c>
      <c r="D26" s="55">
        <f>'7. Output IS'!E37</f>
        <v>80287.596000000005</v>
      </c>
      <c r="E26" s="186">
        <f>'7. Output IS'!F37</f>
        <v>118784.15700000001</v>
      </c>
      <c r="F26" s="55">
        <f>'7. Output IS'!G37</f>
        <v>68706.248000000007</v>
      </c>
      <c r="G26" s="194">
        <f t="shared" si="1"/>
        <v>118784.15700000001</v>
      </c>
      <c r="H26" s="194">
        <f t="shared" si="2"/>
        <v>80287.596000000005</v>
      </c>
    </row>
    <row r="27" spans="2:8" x14ac:dyDescent="0.3">
      <c r="B27" s="34">
        <v>9</v>
      </c>
      <c r="C27" s="168" t="s">
        <v>541</v>
      </c>
      <c r="D27" s="172">
        <f>D28/D29</f>
        <v>1.4160266339747576</v>
      </c>
      <c r="E27" s="187">
        <f t="shared" ref="E27:F27" si="12">E28/E29</f>
        <v>1.2305543858213717</v>
      </c>
      <c r="F27" s="172">
        <f t="shared" si="12"/>
        <v>1.713075961372456</v>
      </c>
      <c r="G27" s="194">
        <f t="shared" si="1"/>
        <v>1.2305543858213717</v>
      </c>
      <c r="H27" s="194">
        <f t="shared" si="2"/>
        <v>1.4160266339747576</v>
      </c>
    </row>
    <row r="28" spans="2:8" ht="28" hidden="1" x14ac:dyDescent="0.3">
      <c r="B28" s="36"/>
      <c r="C28" s="43" t="s">
        <v>374</v>
      </c>
      <c r="D28" s="55">
        <f>'7. Output IS'!E36+'7. Output IS'!E19</f>
        <v>194616.28199999989</v>
      </c>
      <c r="E28" s="186">
        <f>'7. Output IS'!F36+'7. Output IS'!F19</f>
        <v>219104.23600000003</v>
      </c>
      <c r="F28" s="55">
        <f>'7. Output IS'!G36+'7. Output IS'!G19</f>
        <v>213771.41899999991</v>
      </c>
      <c r="G28" s="194">
        <f t="shared" si="1"/>
        <v>219104.23600000003</v>
      </c>
      <c r="H28" s="194">
        <f t="shared" si="2"/>
        <v>194616.28199999989</v>
      </c>
    </row>
    <row r="29" spans="2:8" hidden="1" x14ac:dyDescent="0.3">
      <c r="B29" s="36"/>
      <c r="C29" s="43" t="s">
        <v>375</v>
      </c>
      <c r="D29" s="55">
        <f>'6. Output-BS'!E54+'6. Output-BS'!E55+'7. Output IS'!E37+'6. Output-BS'!E67</f>
        <v>137438.29200000002</v>
      </c>
      <c r="E29" s="186">
        <f>'6. Output-BS'!F54+'6. Output-BS'!F55+'7. Output IS'!F37+'6. Output-BS'!F67</f>
        <v>178053.27300000002</v>
      </c>
      <c r="F29" s="55">
        <f>'6. Output-BS'!G54+'6. Output-BS'!G55+'7. Output IS'!G37+'6. Output-BS'!G67</f>
        <v>124788.05600000001</v>
      </c>
      <c r="G29" s="194">
        <f t="shared" si="1"/>
        <v>178053.27300000002</v>
      </c>
      <c r="H29" s="194">
        <f t="shared" si="2"/>
        <v>137438.29200000002</v>
      </c>
    </row>
    <row r="30" spans="2:8" ht="29.25" customHeight="1" x14ac:dyDescent="0.3">
      <c r="B30" s="34">
        <v>10</v>
      </c>
      <c r="C30" s="170" t="s">
        <v>562</v>
      </c>
      <c r="D30" s="172">
        <f>D31/D32</f>
        <v>29.810185468762093</v>
      </c>
      <c r="E30" s="187">
        <f t="shared" ref="E30:F30" si="13">E31/E32</f>
        <v>6.3218293124367477</v>
      </c>
      <c r="F30" s="172">
        <f t="shared" si="13"/>
        <v>-2.8349771907940422</v>
      </c>
      <c r="G30" s="194">
        <f t="shared" si="1"/>
        <v>6.3218293124367477</v>
      </c>
      <c r="H30" s="194">
        <f t="shared" si="2"/>
        <v>29.810185468762093</v>
      </c>
    </row>
    <row r="31" spans="2:8" hidden="1" x14ac:dyDescent="0.3">
      <c r="B31" s="36"/>
      <c r="C31" s="43" t="s">
        <v>553</v>
      </c>
      <c r="D31" s="55">
        <f>D5</f>
        <v>3135167.7910000002</v>
      </c>
      <c r="E31" s="186">
        <f t="shared" ref="E31:F31" si="14">E5</f>
        <v>2518628.0130000003</v>
      </c>
      <c r="F31" s="55">
        <f t="shared" si="14"/>
        <v>2050224.09</v>
      </c>
      <c r="G31" s="194">
        <f t="shared" si="1"/>
        <v>2518628.0130000003</v>
      </c>
      <c r="H31" s="194">
        <f t="shared" si="2"/>
        <v>3135167.7910000002</v>
      </c>
    </row>
    <row r="32" spans="2:8" hidden="1" x14ac:dyDescent="0.3">
      <c r="B32" s="36"/>
      <c r="C32" s="43" t="s">
        <v>377</v>
      </c>
      <c r="D32" s="55">
        <f>'8. Output CF'!E11</f>
        <v>105171.026</v>
      </c>
      <c r="E32" s="186">
        <f>'8. Output CF'!F11</f>
        <v>398401.77399999998</v>
      </c>
      <c r="F32" s="55">
        <f>'8. Output CF'!G11</f>
        <v>-723188.91899999999</v>
      </c>
      <c r="G32" s="194">
        <f t="shared" si="1"/>
        <v>398401.77399999998</v>
      </c>
      <c r="H32" s="194">
        <f t="shared" si="2"/>
        <v>105171.026</v>
      </c>
    </row>
    <row r="33" spans="2:8" x14ac:dyDescent="0.3">
      <c r="B33" s="34">
        <v>11</v>
      </c>
      <c r="C33" s="170" t="s">
        <v>588</v>
      </c>
      <c r="D33" s="172">
        <f>D34/D35</f>
        <v>0.76522361031669384</v>
      </c>
      <c r="E33" s="187">
        <f t="shared" ref="E33:F33" si="15">E34/E35</f>
        <v>2.2375425471678914</v>
      </c>
      <c r="F33" s="172">
        <f t="shared" si="15"/>
        <v>-5.7953376483403183</v>
      </c>
      <c r="G33" s="194">
        <f t="shared" si="1"/>
        <v>2.2375425471678914</v>
      </c>
      <c r="H33" s="194">
        <f t="shared" si="2"/>
        <v>0.76522361031669384</v>
      </c>
    </row>
    <row r="34" spans="2:8" hidden="1" x14ac:dyDescent="0.3">
      <c r="B34" s="36"/>
      <c r="C34" s="43" t="s">
        <v>377</v>
      </c>
      <c r="D34" s="55">
        <f>'8. Output CF'!E11</f>
        <v>105171.026</v>
      </c>
      <c r="E34" s="186">
        <f>'8. Output CF'!F11</f>
        <v>398401.77399999998</v>
      </c>
      <c r="F34" s="55">
        <f>'8. Output CF'!G11</f>
        <v>-723188.91899999999</v>
      </c>
      <c r="G34" s="194">
        <f t="shared" si="1"/>
        <v>398401.77399999998</v>
      </c>
      <c r="H34" s="194">
        <f t="shared" si="2"/>
        <v>105171.026</v>
      </c>
    </row>
    <row r="35" spans="2:8" hidden="1" x14ac:dyDescent="0.3">
      <c r="B35" s="36"/>
      <c r="C35" s="43" t="s">
        <v>258</v>
      </c>
      <c r="D35" s="55">
        <f>D29</f>
        <v>137438.29200000002</v>
      </c>
      <c r="E35" s="186">
        <f t="shared" ref="E35:F35" si="16">E29</f>
        <v>178053.27300000002</v>
      </c>
      <c r="F35" s="55">
        <f t="shared" si="16"/>
        <v>124788.05600000001</v>
      </c>
      <c r="G35" s="194">
        <f t="shared" si="1"/>
        <v>178053.27300000002</v>
      </c>
      <c r="H35" s="194">
        <f t="shared" si="2"/>
        <v>137438.29200000002</v>
      </c>
    </row>
    <row r="36" spans="2:8" x14ac:dyDescent="0.3">
      <c r="B36" s="34">
        <v>12</v>
      </c>
      <c r="C36" s="170" t="s">
        <v>564</v>
      </c>
      <c r="D36" s="172">
        <f>D37/D38*360</f>
        <v>0</v>
      </c>
      <c r="E36" s="187">
        <f t="shared" ref="E36:F36" si="17">E37/E38*360</f>
        <v>0</v>
      </c>
      <c r="F36" s="172">
        <f t="shared" si="17"/>
        <v>0</v>
      </c>
      <c r="G36" s="194">
        <f t="shared" si="1"/>
        <v>0</v>
      </c>
      <c r="H36" s="194">
        <f t="shared" si="2"/>
        <v>0</v>
      </c>
    </row>
    <row r="37" spans="2:8" hidden="1" x14ac:dyDescent="0.3">
      <c r="B37" s="36"/>
      <c r="C37" s="43" t="s">
        <v>259</v>
      </c>
      <c r="D37" s="55">
        <f>'6. Output-BS'!E33</f>
        <v>0</v>
      </c>
      <c r="E37" s="186">
        <f>'6. Output-BS'!F33</f>
        <v>0</v>
      </c>
      <c r="F37" s="55">
        <f>'6. Output-BS'!G33</f>
        <v>0</v>
      </c>
      <c r="G37" s="194">
        <f t="shared" si="1"/>
        <v>0</v>
      </c>
      <c r="H37" s="194">
        <f t="shared" si="2"/>
        <v>0</v>
      </c>
    </row>
    <row r="38" spans="2:8" hidden="1" x14ac:dyDescent="0.3">
      <c r="B38" s="36"/>
      <c r="C38" s="43" t="s">
        <v>378</v>
      </c>
      <c r="D38" s="55">
        <f>'7. Output IS'!E14</f>
        <v>1187045.483</v>
      </c>
      <c r="E38" s="186">
        <f>'7. Output IS'!F14</f>
        <v>1473623.882</v>
      </c>
      <c r="F38" s="55">
        <f>'7. Output IS'!G14</f>
        <v>1144305.49</v>
      </c>
      <c r="G38" s="194">
        <f t="shared" si="1"/>
        <v>1473623.882</v>
      </c>
      <c r="H38" s="194">
        <f t="shared" si="2"/>
        <v>1187045.483</v>
      </c>
    </row>
    <row r="39" spans="2:8" ht="28" x14ac:dyDescent="0.3">
      <c r="B39" s="34">
        <v>13</v>
      </c>
      <c r="C39" s="170" t="s">
        <v>565</v>
      </c>
      <c r="D39" s="172">
        <f>(D40/D41)*360</f>
        <v>89.219451744334833</v>
      </c>
      <c r="E39" s="187">
        <f t="shared" ref="E39:F39" si="18">(E40/E41)*360</f>
        <v>195.71035183586721</v>
      </c>
      <c r="F39" s="172">
        <f t="shared" si="18"/>
        <v>131.32813839986324</v>
      </c>
      <c r="G39" s="194">
        <f t="shared" si="1"/>
        <v>195.71035183586721</v>
      </c>
      <c r="H39" s="194">
        <f t="shared" si="2"/>
        <v>89.219451744334833</v>
      </c>
    </row>
    <row r="40" spans="2:8" hidden="1" x14ac:dyDescent="0.3">
      <c r="B40" s="36"/>
      <c r="C40" s="43" t="s">
        <v>380</v>
      </c>
      <c r="D40" s="55">
        <f>'6. Output-BS'!E13</f>
        <v>350127.00699999998</v>
      </c>
      <c r="E40" s="186">
        <f>'6. Output-BS'!F13</f>
        <v>943794.92500000005</v>
      </c>
      <c r="F40" s="55">
        <f>'6. Output-BS'!G13</f>
        <v>509309.24300000002</v>
      </c>
      <c r="G40" s="194">
        <f t="shared" si="1"/>
        <v>943794.92500000005</v>
      </c>
      <c r="H40" s="194">
        <f t="shared" si="2"/>
        <v>350127.00699999998</v>
      </c>
    </row>
    <row r="41" spans="2:8" hidden="1" x14ac:dyDescent="0.3">
      <c r="B41" s="36"/>
      <c r="C41" s="43" t="s">
        <v>381</v>
      </c>
      <c r="D41" s="55">
        <f>'7. Output IS'!E13</f>
        <v>1412760.5589999999</v>
      </c>
      <c r="E41" s="186">
        <f>'7. Output IS'!F13</f>
        <v>1736066.436</v>
      </c>
      <c r="F41" s="55">
        <f>'7. Output IS'!G13</f>
        <v>1396131.3219999999</v>
      </c>
      <c r="G41" s="194">
        <f t="shared" si="1"/>
        <v>1736066.436</v>
      </c>
      <c r="H41" s="194">
        <f t="shared" si="2"/>
        <v>1412760.5589999999</v>
      </c>
    </row>
    <row r="42" spans="2:8" x14ac:dyDescent="0.3">
      <c r="B42" s="34">
        <v>14</v>
      </c>
      <c r="C42" s="170" t="s">
        <v>566</v>
      </c>
      <c r="D42" s="56">
        <f>D43/D44</f>
        <v>0.35386478561776608</v>
      </c>
      <c r="E42" s="188">
        <f t="shared" ref="E42:F42" si="19">E43/E44</f>
        <v>0.5107085263701161</v>
      </c>
      <c r="F42" s="56">
        <f t="shared" si="19"/>
        <v>0.48302110295795331</v>
      </c>
      <c r="G42" s="194">
        <f t="shared" si="1"/>
        <v>0.5107085263701161</v>
      </c>
      <c r="H42" s="194">
        <f t="shared" si="2"/>
        <v>0.35386478561776608</v>
      </c>
    </row>
    <row r="43" spans="2:8" hidden="1" x14ac:dyDescent="0.3">
      <c r="B43" s="36"/>
      <c r="C43" s="43" t="s">
        <v>381</v>
      </c>
      <c r="D43" s="55">
        <f>D41</f>
        <v>1412760.5589999999</v>
      </c>
      <c r="E43" s="186">
        <f t="shared" ref="E43:F43" si="20">E41</f>
        <v>1736066.436</v>
      </c>
      <c r="F43" s="55">
        <f t="shared" si="20"/>
        <v>1396131.3219999999</v>
      </c>
      <c r="G43" s="194">
        <f t="shared" si="1"/>
        <v>1736066.436</v>
      </c>
      <c r="H43" s="194">
        <f t="shared" si="2"/>
        <v>1412760.5589999999</v>
      </c>
    </row>
    <row r="44" spans="2:8" hidden="1" x14ac:dyDescent="0.3">
      <c r="B44" s="36"/>
      <c r="C44" s="43" t="s">
        <v>73</v>
      </c>
      <c r="D44" s="55">
        <f>D20</f>
        <v>3992373.9700000007</v>
      </c>
      <c r="E44" s="186">
        <f t="shared" ref="E44:F44" si="21">E20</f>
        <v>3399329.2579999999</v>
      </c>
      <c r="F44" s="55">
        <f t="shared" si="21"/>
        <v>2890414.7529999996</v>
      </c>
      <c r="G44" s="194">
        <f t="shared" si="1"/>
        <v>3399329.2579999999</v>
      </c>
      <c r="H44" s="194">
        <f t="shared" si="2"/>
        <v>3992373.9700000007</v>
      </c>
    </row>
    <row r="45" spans="2:8" ht="28" x14ac:dyDescent="0.3">
      <c r="B45" s="34">
        <v>15</v>
      </c>
      <c r="C45" s="170" t="s">
        <v>567</v>
      </c>
      <c r="D45" s="56">
        <f>D46/D47</f>
        <v>7.4443631180108563E-2</v>
      </c>
      <c r="E45" s="188">
        <f t="shared" ref="E45:F45" si="22">E46/E47</f>
        <v>0.22948532713871325</v>
      </c>
      <c r="F45" s="56">
        <f t="shared" si="22"/>
        <v>-0.51799491036703493</v>
      </c>
      <c r="G45" s="194">
        <f t="shared" si="1"/>
        <v>0.22948532713871325</v>
      </c>
      <c r="H45" s="194">
        <f t="shared" si="2"/>
        <v>7.4443631180108563E-2</v>
      </c>
    </row>
    <row r="46" spans="2:8" hidden="1" x14ac:dyDescent="0.3">
      <c r="B46" s="36"/>
      <c r="C46" s="43" t="s">
        <v>383</v>
      </c>
      <c r="D46" s="55">
        <f>D34</f>
        <v>105171.026</v>
      </c>
      <c r="E46" s="186">
        <f t="shared" ref="E46:F46" si="23">E34</f>
        <v>398401.77399999998</v>
      </c>
      <c r="F46" s="55">
        <f t="shared" si="23"/>
        <v>-723188.91899999999</v>
      </c>
      <c r="G46" s="194">
        <f t="shared" si="1"/>
        <v>398401.77399999998</v>
      </c>
      <c r="H46" s="194">
        <f t="shared" si="2"/>
        <v>105171.026</v>
      </c>
    </row>
    <row r="47" spans="2:8" hidden="1" x14ac:dyDescent="0.3">
      <c r="B47" s="36"/>
      <c r="C47" s="43" t="s">
        <v>381</v>
      </c>
      <c r="D47" s="55">
        <f>D41</f>
        <v>1412760.5589999999</v>
      </c>
      <c r="E47" s="186">
        <f t="shared" ref="E47:F47" si="24">E41</f>
        <v>1736066.436</v>
      </c>
      <c r="F47" s="55">
        <f t="shared" si="24"/>
        <v>1396131.3219999999</v>
      </c>
      <c r="G47" s="194">
        <f t="shared" si="1"/>
        <v>1736066.436</v>
      </c>
      <c r="H47" s="194">
        <f t="shared" si="2"/>
        <v>1412760.5589999999</v>
      </c>
    </row>
    <row r="48" spans="2:8" ht="28" x14ac:dyDescent="0.3">
      <c r="B48" s="34">
        <v>16</v>
      </c>
      <c r="C48" s="170" t="s">
        <v>568</v>
      </c>
      <c r="D48" s="54">
        <f>D52/D53</f>
        <v>-2.2279384060675405E-2</v>
      </c>
      <c r="E48" s="189">
        <f t="shared" ref="E48:F48" si="25">E52/E53</f>
        <v>-0.15918538918260519</v>
      </c>
      <c r="F48" s="54">
        <f t="shared" si="25"/>
        <v>0.3225778339783234</v>
      </c>
      <c r="G48" s="194">
        <f t="shared" si="1"/>
        <v>-0.15918538918260519</v>
      </c>
      <c r="H48" s="194">
        <f t="shared" si="2"/>
        <v>-2.2279384060675405E-2</v>
      </c>
    </row>
    <row r="49" spans="2:8" x14ac:dyDescent="0.3">
      <c r="B49" s="33"/>
      <c r="C49" s="41" t="s">
        <v>126</v>
      </c>
      <c r="D49" s="52">
        <f>'6. Output-BS'!E49-'Final Graph'!D12</f>
        <v>3973532.6480000005</v>
      </c>
      <c r="E49" s="190">
        <f>'6. Output-BS'!F49-'Final Graph'!E12</f>
        <v>3362377.9339999999</v>
      </c>
      <c r="F49" s="52">
        <f>'6. Output-BS'!G49-'Final Graph'!F12</f>
        <v>2873005.0499999993</v>
      </c>
      <c r="G49" s="194">
        <f t="shared" si="1"/>
        <v>3362377.9339999999</v>
      </c>
      <c r="H49" s="194">
        <f t="shared" si="2"/>
        <v>3973532.6480000005</v>
      </c>
    </row>
    <row r="50" spans="2:8" x14ac:dyDescent="0.3">
      <c r="B50" s="33"/>
      <c r="C50" s="41" t="s">
        <v>127</v>
      </c>
      <c r="D50" s="52">
        <f>'6. Output-BS'!E84-'6. Output-BS'!E78-'6. Output-BS'!E52-'6. Output-BS'!E53-'6. Output-BS'!E54-'6. Output-BS'!E55</f>
        <v>187139.62000000058</v>
      </c>
      <c r="E50" s="190">
        <f>'6. Output-BS'!F84-'6. Output-BS'!F78-'6. Output-BS'!F52-'6. Output-BS'!F53-'6. Output-BS'!F54-'6. Output-BS'!F55</f>
        <v>276096.1019999999</v>
      </c>
      <c r="F50" s="52">
        <f>'6. Output-BS'!G84-'6. Output-BS'!G78-'6. Output-BS'!G52-'6. Output-BS'!G53-'6. Output-BS'!G54-'6. Output-BS'!G55</f>
        <v>357241.72599999997</v>
      </c>
      <c r="G50" s="194">
        <f t="shared" si="1"/>
        <v>276096.1019999999</v>
      </c>
      <c r="H50" s="194">
        <f t="shared" si="2"/>
        <v>187139.62000000058</v>
      </c>
    </row>
    <row r="51" spans="2:8" x14ac:dyDescent="0.3">
      <c r="B51" s="35"/>
      <c r="C51" s="44" t="s">
        <v>94</v>
      </c>
      <c r="D51" s="57">
        <f>D49-D50</f>
        <v>3786393.0279999999</v>
      </c>
      <c r="E51" s="191">
        <f t="shared" ref="E51:F51" si="26">E49-E50</f>
        <v>3086281.8319999999</v>
      </c>
      <c r="F51" s="57">
        <f t="shared" si="26"/>
        <v>2515763.3239999996</v>
      </c>
      <c r="G51" s="194">
        <f t="shared" si="1"/>
        <v>3086281.8319999999</v>
      </c>
      <c r="H51" s="194">
        <f t="shared" si="2"/>
        <v>3786393.0279999999</v>
      </c>
    </row>
    <row r="52" spans="2:8" x14ac:dyDescent="0.3">
      <c r="B52" s="33"/>
      <c r="C52" s="41" t="s">
        <v>77</v>
      </c>
      <c r="D52" s="53">
        <f>'7. Output IS'!E43-'8. Output CF'!E11+'8. Output CF'!E12</f>
        <v>-84568.39100000012</v>
      </c>
      <c r="E52" s="182">
        <f>'7. Output IS'!F43-'8. Output CF'!F11+'8. Output CF'!F12</f>
        <v>-494232.02999999997</v>
      </c>
      <c r="F52" s="53">
        <f>'7. Output IS'!G43-'8. Output CF'!G11+'8. Output CF'!G12</f>
        <v>814337.47599999991</v>
      </c>
      <c r="G52" s="194">
        <f t="shared" si="1"/>
        <v>-494232.02999999997</v>
      </c>
      <c r="H52" s="194">
        <f t="shared" si="2"/>
        <v>-84568.39100000012</v>
      </c>
    </row>
    <row r="53" spans="2:8" x14ac:dyDescent="0.3">
      <c r="B53" s="33"/>
      <c r="C53" s="44" t="s">
        <v>78</v>
      </c>
      <c r="D53" s="57">
        <f>AVERAGE(D54:D55)</f>
        <v>3795813.6890000002</v>
      </c>
      <c r="E53" s="191">
        <f t="shared" ref="E53:F53" si="27">AVERAGE(E54:E55)</f>
        <v>3104757.4939999999</v>
      </c>
      <c r="F53" s="57">
        <f t="shared" si="27"/>
        <v>2524468.1754999999</v>
      </c>
      <c r="G53" s="194">
        <f t="shared" si="1"/>
        <v>3104757.4939999999</v>
      </c>
      <c r="H53" s="194">
        <f t="shared" si="2"/>
        <v>3795813.6890000002</v>
      </c>
    </row>
    <row r="54" spans="2:8" x14ac:dyDescent="0.3">
      <c r="B54" s="33"/>
      <c r="C54" s="44" t="s">
        <v>94</v>
      </c>
      <c r="D54" s="57">
        <f>D49-D50</f>
        <v>3786393.0279999999</v>
      </c>
      <c r="E54" s="191">
        <f t="shared" ref="E54:F54" si="28">E49-E50</f>
        <v>3086281.8319999999</v>
      </c>
      <c r="F54" s="57">
        <f t="shared" si="28"/>
        <v>2515763.3239999996</v>
      </c>
      <c r="G54" s="194">
        <f t="shared" si="1"/>
        <v>3086281.8319999999</v>
      </c>
      <c r="H54" s="194">
        <f t="shared" si="2"/>
        <v>3786393.0279999999</v>
      </c>
    </row>
    <row r="55" spans="2:8" x14ac:dyDescent="0.3">
      <c r="B55" s="33"/>
      <c r="C55" s="44" t="s">
        <v>93</v>
      </c>
      <c r="D55" s="57">
        <f>D56-D57</f>
        <v>3805234.35</v>
      </c>
      <c r="E55" s="191">
        <f t="shared" ref="E55:F55" si="29">E56-E57</f>
        <v>3123233.156</v>
      </c>
      <c r="F55" s="57">
        <f t="shared" si="29"/>
        <v>2533173.0269999998</v>
      </c>
      <c r="G55" s="194">
        <f t="shared" si="1"/>
        <v>3123233.156</v>
      </c>
      <c r="H55" s="194">
        <f t="shared" si="2"/>
        <v>3805234.35</v>
      </c>
    </row>
    <row r="56" spans="2:8" x14ac:dyDescent="0.3">
      <c r="B56" s="33"/>
      <c r="C56" s="41" t="s">
        <v>385</v>
      </c>
      <c r="D56" s="53">
        <f>'6. Output-BS'!E49-'6. Output-BS'!E44-'6. Output-BS'!E46</f>
        <v>3992373.9700000007</v>
      </c>
      <c r="E56" s="182">
        <f>'6. Output-BS'!F49-'6. Output-BS'!F44-'6. Output-BS'!F46</f>
        <v>3399329.2579999999</v>
      </c>
      <c r="F56" s="53">
        <f>'6. Output-BS'!G49-'6. Output-BS'!G44-'6. Output-BS'!G46</f>
        <v>2890414.7529999996</v>
      </c>
      <c r="G56" s="194">
        <f t="shared" si="1"/>
        <v>3399329.2579999999</v>
      </c>
      <c r="H56" s="194">
        <f t="shared" si="2"/>
        <v>3992373.9700000007</v>
      </c>
    </row>
    <row r="57" spans="2:8" x14ac:dyDescent="0.3">
      <c r="B57" s="33"/>
      <c r="C57" s="41" t="s">
        <v>386</v>
      </c>
      <c r="D57" s="53">
        <f>'6. Output-BS'!E84-'6. Output-BS'!E78-'6. Output-BS'!E52-'6. Output-BS'!E53-'6. Output-BS'!E54-'6. Output-BS'!E55</f>
        <v>187139.62000000058</v>
      </c>
      <c r="E57" s="182">
        <f>'6. Output-BS'!F84-'6. Output-BS'!F78-'6. Output-BS'!F52-'6. Output-BS'!F53-'6. Output-BS'!F54-'6. Output-BS'!F55</f>
        <v>276096.1019999999</v>
      </c>
      <c r="F57" s="53">
        <f>'6. Output-BS'!G84-'6. Output-BS'!G78-'6. Output-BS'!G52-'6. Output-BS'!G53-'6. Output-BS'!G54-'6. Output-BS'!G55</f>
        <v>357241.72599999997</v>
      </c>
      <c r="G57" s="194">
        <f t="shared" si="1"/>
        <v>276096.1019999999</v>
      </c>
      <c r="H57" s="194">
        <f t="shared" si="2"/>
        <v>187139.62000000058</v>
      </c>
    </row>
    <row r="58" spans="2:8" x14ac:dyDescent="0.3">
      <c r="G58" s="193">
        <f t="shared" si="1"/>
        <v>0</v>
      </c>
      <c r="H58" s="193"/>
    </row>
  </sheetData>
  <mergeCells count="2">
    <mergeCell ref="C1:F1"/>
    <mergeCell ref="B2:F2"/>
  </mergeCells>
  <pageMargins left="0.25" right="0.25" top="0.75" bottom="0.75" header="0.3" footer="0.3"/>
  <pageSetup scale="80" orientation="portrait" r:id="rId1"/>
  <headerFooter>
    <oddHeader>&amp;C&amp;"+,Bold"&amp;18Internal Credit Risk Scoring System(Ratio Analysis)</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B1:H57"/>
  <sheetViews>
    <sheetView showGridLines="0" zoomScale="110" zoomScaleNormal="110" zoomScalePageLayoutView="85" workbookViewId="0">
      <pane xSplit="3" ySplit="3" topLeftCell="F4" activePane="bottomRight" state="frozen"/>
      <selection activeCell="E8" sqref="E8"/>
      <selection pane="topRight" activeCell="E8" sqref="E8"/>
      <selection pane="bottomLeft" activeCell="E8" sqref="E8"/>
      <selection pane="bottomRight" activeCell="F3" sqref="F3"/>
    </sheetView>
  </sheetViews>
  <sheetFormatPr defaultColWidth="9.1796875" defaultRowHeight="14" x14ac:dyDescent="0.3"/>
  <cols>
    <col min="1" max="1" width="2.81640625" style="20" customWidth="1"/>
    <col min="2" max="2" width="7" style="27" customWidth="1"/>
    <col min="3" max="3" width="35.1796875" style="28" customWidth="1"/>
    <col min="4" max="4" width="27.54296875" style="27" customWidth="1"/>
    <col min="5" max="5" width="25.453125" style="27" customWidth="1"/>
    <col min="6" max="6" width="27.7265625" style="27" customWidth="1"/>
    <col min="7" max="7" width="9.7265625" style="193" bestFit="1" customWidth="1"/>
    <col min="8" max="8" width="10.81640625" style="193" bestFit="1" customWidth="1"/>
    <col min="9" max="16384" width="9.1796875" style="20"/>
  </cols>
  <sheetData>
    <row r="1" spans="2:8" ht="15" customHeight="1" x14ac:dyDescent="0.3">
      <c r="C1" s="1011"/>
      <c r="D1" s="1011"/>
      <c r="E1" s="1011"/>
      <c r="F1" s="1011"/>
    </row>
    <row r="2" spans="2:8" ht="22.5" x14ac:dyDescent="0.45">
      <c r="B2" s="1012" t="s">
        <v>91</v>
      </c>
      <c r="C2" s="1012"/>
      <c r="D2" s="1012"/>
      <c r="E2" s="1012"/>
      <c r="F2" s="1012"/>
    </row>
    <row r="3" spans="2:8" x14ac:dyDescent="0.3">
      <c r="C3" s="59"/>
      <c r="D3" s="26">
        <f>'6. Output-BS'!E9</f>
        <v>2025</v>
      </c>
      <c r="E3" s="26">
        <f>'6. Output-BS'!F9</f>
        <v>2024</v>
      </c>
      <c r="F3" s="195">
        <f>'6. Output-BS'!G9</f>
        <v>2023</v>
      </c>
      <c r="G3" s="196">
        <f>E3</f>
        <v>2024</v>
      </c>
      <c r="H3" s="196">
        <f t="shared" ref="H3:H34" si="0">D3</f>
        <v>2025</v>
      </c>
    </row>
    <row r="4" spans="2:8" ht="29.25" customHeight="1" x14ac:dyDescent="0.3">
      <c r="B4" s="58">
        <v>1</v>
      </c>
      <c r="C4" s="178" t="s">
        <v>538</v>
      </c>
      <c r="D4" s="167">
        <f>D5/D6</f>
        <v>3.9984885433135671</v>
      </c>
      <c r="E4" s="181">
        <f>E5/E6</f>
        <v>3.7136967462636608</v>
      </c>
      <c r="F4" s="167">
        <f>F5/F6</f>
        <v>3.5104648273379189</v>
      </c>
      <c r="G4" s="194">
        <f t="shared" ref="G4:G34" si="1">E4</f>
        <v>3.7136967462636608</v>
      </c>
      <c r="H4" s="194">
        <f t="shared" si="0"/>
        <v>3.9984885433135671</v>
      </c>
    </row>
    <row r="5" spans="2:8" x14ac:dyDescent="0.3">
      <c r="B5" s="33"/>
      <c r="C5" s="179" t="s">
        <v>66</v>
      </c>
      <c r="D5" s="53">
        <f>'6. Output-BS'!E84</f>
        <v>3193657.7310000006</v>
      </c>
      <c r="E5" s="182">
        <f>'6. Output-BS'!F84</f>
        <v>2678169.3190000001</v>
      </c>
      <c r="F5" s="53">
        <f>'6. Output-BS'!G84</f>
        <v>2249590.611</v>
      </c>
      <c r="G5" s="194">
        <f t="shared" si="1"/>
        <v>2678169.3190000001</v>
      </c>
      <c r="H5" s="194">
        <f t="shared" si="0"/>
        <v>3193657.7310000006</v>
      </c>
    </row>
    <row r="6" spans="2:8" x14ac:dyDescent="0.3">
      <c r="B6" s="33"/>
      <c r="C6" s="179" t="s">
        <v>67</v>
      </c>
      <c r="D6" s="53">
        <f>'6. Output-BS'!E97-'6. Output-BS'!E33-'6. Output-BS'!E34-'6. Output-BS'!E35-('6. Output-BS'!E93*0.25)</f>
        <v>798716.23899999994</v>
      </c>
      <c r="E6" s="182">
        <f>'6. Output-BS'!F97-'6. Output-BS'!F33-'6. Output-BS'!F34-'6. Output-BS'!F35-('6. Output-BS'!F93*0.25)</f>
        <v>721159.93900000001</v>
      </c>
      <c r="F6" s="53">
        <f>'6. Output-BS'!G97-'6. Output-BS'!G33-'6. Output-BS'!G34-'6. Output-BS'!G35-('6. Output-BS'!G93*0.25)</f>
        <v>640824.14199999999</v>
      </c>
      <c r="G6" s="194">
        <f t="shared" si="1"/>
        <v>721159.93900000001</v>
      </c>
      <c r="H6" s="194">
        <f t="shared" si="0"/>
        <v>798716.23899999994</v>
      </c>
    </row>
    <row r="7" spans="2:8" x14ac:dyDescent="0.3">
      <c r="B7" s="34">
        <v>2</v>
      </c>
      <c r="C7" s="180" t="s">
        <v>569</v>
      </c>
      <c r="D7" s="169">
        <f>D8/D9</f>
        <v>0.16107057014525031</v>
      </c>
      <c r="E7" s="183">
        <f t="shared" ref="E7:F7" si="2">E8/E9</f>
        <v>0.16162128495604081</v>
      </c>
      <c r="F7" s="169">
        <f t="shared" si="2"/>
        <v>0.24636276109585145</v>
      </c>
      <c r="G7" s="194">
        <f t="shared" si="1"/>
        <v>0.16162128495604081</v>
      </c>
      <c r="H7" s="194">
        <f t="shared" si="0"/>
        <v>0.16107057014525031</v>
      </c>
    </row>
    <row r="8" spans="2:8" x14ac:dyDescent="0.3">
      <c r="B8" s="33"/>
      <c r="C8" s="179" t="s">
        <v>68</v>
      </c>
      <c r="D8" s="53">
        <f>'6. Output-BS'!E74+'6. Output-BS'!E78+'6. Output-BS'!E79</f>
        <v>128649.68</v>
      </c>
      <c r="E8" s="182">
        <f>'6. Output-BS'!F74+'6. Output-BS'!F78+'6. Output-BS'!F79</f>
        <v>116554.796</v>
      </c>
      <c r="F8" s="53">
        <f>'6. Output-BS'!G74+'6. Output-BS'!G78+'6. Output-BS'!G79</f>
        <v>157875.20499999999</v>
      </c>
      <c r="G8" s="194">
        <f t="shared" si="1"/>
        <v>116554.796</v>
      </c>
      <c r="H8" s="194">
        <f t="shared" si="0"/>
        <v>128649.68</v>
      </c>
    </row>
    <row r="9" spans="2:8" x14ac:dyDescent="0.3">
      <c r="B9" s="33"/>
      <c r="C9" s="179" t="s">
        <v>49</v>
      </c>
      <c r="D9" s="53">
        <f>'6. Output-BS'!E97</f>
        <v>798716.23899999994</v>
      </c>
      <c r="E9" s="182">
        <f>'6. Output-BS'!F97</f>
        <v>721159.93900000001</v>
      </c>
      <c r="F9" s="53">
        <f>'6. Output-BS'!G97</f>
        <v>640824.14199999999</v>
      </c>
      <c r="G9" s="194">
        <f t="shared" si="1"/>
        <v>721159.93900000001</v>
      </c>
      <c r="H9" s="194">
        <f t="shared" si="0"/>
        <v>798716.23899999994</v>
      </c>
    </row>
    <row r="10" spans="2:8" x14ac:dyDescent="0.3">
      <c r="B10" s="33">
        <v>3</v>
      </c>
      <c r="C10" s="180" t="s">
        <v>64</v>
      </c>
      <c r="D10" s="169">
        <f>D12/D14</f>
        <v>6.1472340974284764E-3</v>
      </c>
      <c r="E10" s="183">
        <f t="shared" ref="E10:F10" si="3">E12/E14</f>
        <v>1.442501347030347E-2</v>
      </c>
      <c r="F10" s="169">
        <f t="shared" si="3"/>
        <v>8.3231700402745905E-3</v>
      </c>
      <c r="G10" s="194">
        <f t="shared" si="1"/>
        <v>1.442501347030347E-2</v>
      </c>
      <c r="H10" s="194">
        <f t="shared" si="0"/>
        <v>6.1472340974284764E-3</v>
      </c>
    </row>
    <row r="11" spans="2:8" x14ac:dyDescent="0.3">
      <c r="B11" s="34">
        <v>4</v>
      </c>
      <c r="C11" s="180" t="s">
        <v>65</v>
      </c>
      <c r="D11" s="169">
        <f>D13/D14</f>
        <v>1.040552151554528</v>
      </c>
      <c r="E11" s="183">
        <f t="shared" ref="E11:F11" si="4">E13/E14</f>
        <v>1.027609585035133</v>
      </c>
      <c r="F11" s="169">
        <f t="shared" si="4"/>
        <v>1.0849472454475959</v>
      </c>
      <c r="G11" s="194">
        <f t="shared" si="1"/>
        <v>1.027609585035133</v>
      </c>
      <c r="H11" s="194">
        <f t="shared" si="0"/>
        <v>1.040552151554528</v>
      </c>
    </row>
    <row r="12" spans="2:8" x14ac:dyDescent="0.3">
      <c r="B12" s="33"/>
      <c r="C12" s="41" t="s">
        <v>69</v>
      </c>
      <c r="D12" s="53">
        <f>'6. Output-BS'!E25+'6. Output-BS'!E23</f>
        <v>18841.322</v>
      </c>
      <c r="E12" s="182">
        <f>'6. Output-BS'!F25+'6. Output-BS'!F23</f>
        <v>36951.324000000001</v>
      </c>
      <c r="F12" s="53">
        <f>'6. Output-BS'!G25+'6. Output-BS'!G23</f>
        <v>17409.703000000001</v>
      </c>
      <c r="G12" s="194">
        <f t="shared" si="1"/>
        <v>36951.324000000001</v>
      </c>
      <c r="H12" s="194">
        <f t="shared" si="0"/>
        <v>18841.322</v>
      </c>
    </row>
    <row r="13" spans="2:8" x14ac:dyDescent="0.3">
      <c r="B13" s="33"/>
      <c r="C13" s="41" t="s">
        <v>70</v>
      </c>
      <c r="D13" s="53">
        <f>'6. Output-BS'!E27</f>
        <v>3189300.7220000005</v>
      </c>
      <c r="E13" s="182">
        <f>'6. Output-BS'!F27</f>
        <v>2632339.6370000001</v>
      </c>
      <c r="F13" s="53">
        <f>'6. Output-BS'!G27</f>
        <v>2269400.8679999998</v>
      </c>
      <c r="G13" s="194">
        <f t="shared" si="1"/>
        <v>2632339.6370000001</v>
      </c>
      <c r="H13" s="194">
        <f t="shared" si="0"/>
        <v>3189300.7220000005</v>
      </c>
    </row>
    <row r="14" spans="2:8" x14ac:dyDescent="0.3">
      <c r="B14" s="33"/>
      <c r="C14" s="41" t="s">
        <v>71</v>
      </c>
      <c r="D14" s="53">
        <f>'6. Output-BS'!E72</f>
        <v>3065008.0510000004</v>
      </c>
      <c r="E14" s="182">
        <f>'6. Output-BS'!F72</f>
        <v>2561614.523</v>
      </c>
      <c r="F14" s="53">
        <f>'6. Output-BS'!G72</f>
        <v>2091715.4060000002</v>
      </c>
      <c r="G14" s="194">
        <f t="shared" si="1"/>
        <v>2561614.523</v>
      </c>
      <c r="H14" s="194">
        <f t="shared" si="0"/>
        <v>3065008.0510000004</v>
      </c>
    </row>
    <row r="15" spans="2:8" x14ac:dyDescent="0.3">
      <c r="B15" s="34">
        <v>5</v>
      </c>
      <c r="C15" s="168" t="s">
        <v>539</v>
      </c>
      <c r="D15" s="177">
        <f>D16/D17</f>
        <v>5.4896988386267581E-2</v>
      </c>
      <c r="E15" s="184">
        <f t="shared" ref="E15:F15" si="5">E16/E17</f>
        <v>4.0053649767122175E-2</v>
      </c>
      <c r="F15" s="177">
        <f t="shared" si="5"/>
        <v>8.0204316911672235E-2</v>
      </c>
      <c r="G15" s="192">
        <f t="shared" si="1"/>
        <v>4.0053649767122175E-2</v>
      </c>
      <c r="H15" s="192">
        <f t="shared" si="0"/>
        <v>5.4896988386267581E-2</v>
      </c>
    </row>
    <row r="16" spans="2:8" x14ac:dyDescent="0.3">
      <c r="B16" s="33"/>
      <c r="C16" s="41" t="s">
        <v>373</v>
      </c>
      <c r="D16" s="53">
        <f>'7. Output IS'!E43</f>
        <v>77556.299999999886</v>
      </c>
      <c r="E16" s="182">
        <f>'7. Output IS'!F43</f>
        <v>69535.79700000002</v>
      </c>
      <c r="F16" s="53">
        <f>'7. Output IS'!G43</f>
        <v>111975.75899999992</v>
      </c>
      <c r="G16" s="194">
        <f t="shared" si="1"/>
        <v>69535.79700000002</v>
      </c>
      <c r="H16" s="194">
        <f t="shared" si="0"/>
        <v>77556.299999999886</v>
      </c>
    </row>
    <row r="17" spans="2:8" x14ac:dyDescent="0.3">
      <c r="B17" s="33"/>
      <c r="C17" s="41" t="s">
        <v>76</v>
      </c>
      <c r="D17" s="53">
        <f>'7. Output IS'!E13</f>
        <v>1412760.5589999999</v>
      </c>
      <c r="E17" s="182">
        <f>'7. Output IS'!F13</f>
        <v>1736066.436</v>
      </c>
      <c r="F17" s="53">
        <f>'7. Output IS'!G13</f>
        <v>1396131.3219999999</v>
      </c>
      <c r="G17" s="194">
        <f t="shared" si="1"/>
        <v>1736066.436</v>
      </c>
      <c r="H17" s="194">
        <f t="shared" si="0"/>
        <v>1412760.5589999999</v>
      </c>
    </row>
    <row r="18" spans="2:8" x14ac:dyDescent="0.3">
      <c r="B18" s="34">
        <v>6</v>
      </c>
      <c r="C18" s="168" t="s">
        <v>548</v>
      </c>
      <c r="D18" s="177">
        <f>D19/D20</f>
        <v>1.9426111026367571E-2</v>
      </c>
      <c r="E18" s="184">
        <f t="shared" ref="E18:F18" si="6">E19/E20</f>
        <v>2.0455740448311707E-2</v>
      </c>
      <c r="F18" s="177">
        <f t="shared" si="6"/>
        <v>3.8740377616665149E-2</v>
      </c>
      <c r="G18" s="192">
        <f t="shared" si="1"/>
        <v>2.0455740448311707E-2</v>
      </c>
      <c r="H18" s="192">
        <f t="shared" si="0"/>
        <v>1.9426111026367571E-2</v>
      </c>
    </row>
    <row r="19" spans="2:8" x14ac:dyDescent="0.3">
      <c r="B19" s="33"/>
      <c r="C19" s="41" t="s">
        <v>373</v>
      </c>
      <c r="D19" s="53">
        <f>D16</f>
        <v>77556.299999999886</v>
      </c>
      <c r="E19" s="182">
        <f t="shared" ref="E19:F19" si="7">E16</f>
        <v>69535.79700000002</v>
      </c>
      <c r="F19" s="53">
        <f t="shared" si="7"/>
        <v>111975.75899999992</v>
      </c>
      <c r="G19" s="194">
        <f t="shared" si="1"/>
        <v>69535.79700000002</v>
      </c>
      <c r="H19" s="194">
        <f t="shared" si="0"/>
        <v>77556.299999999886</v>
      </c>
    </row>
    <row r="20" spans="2:8" x14ac:dyDescent="0.3">
      <c r="B20" s="33"/>
      <c r="C20" s="41" t="s">
        <v>73</v>
      </c>
      <c r="D20" s="53">
        <f>'6. Output-BS'!E49</f>
        <v>3992373.9700000007</v>
      </c>
      <c r="E20" s="182">
        <f>'6. Output-BS'!F49</f>
        <v>3399329.2579999999</v>
      </c>
      <c r="F20" s="53">
        <f>'6. Output-BS'!G49</f>
        <v>2890414.7529999996</v>
      </c>
      <c r="G20" s="194">
        <f t="shared" si="1"/>
        <v>3399329.2579999999</v>
      </c>
      <c r="H20" s="194">
        <f t="shared" si="0"/>
        <v>3992373.9700000007</v>
      </c>
    </row>
    <row r="21" spans="2:8" x14ac:dyDescent="0.3">
      <c r="B21" s="34">
        <v>7</v>
      </c>
      <c r="C21" s="168" t="s">
        <v>554</v>
      </c>
      <c r="D21" s="169">
        <f>D22/D23</f>
        <v>4.3024834920462086E-2</v>
      </c>
      <c r="E21" s="183">
        <f t="shared" ref="E21:F21" si="8">E22/E23</f>
        <v>5.7931518559594622E-2</v>
      </c>
      <c r="F21" s="169">
        <f t="shared" si="8"/>
        <v>6.9091832164475508E-2</v>
      </c>
      <c r="G21" s="194">
        <f t="shared" si="1"/>
        <v>5.7931518559594622E-2</v>
      </c>
      <c r="H21" s="194">
        <f t="shared" si="0"/>
        <v>4.3024834920462086E-2</v>
      </c>
    </row>
    <row r="22" spans="2:8" x14ac:dyDescent="0.3">
      <c r="B22" s="33"/>
      <c r="C22" s="41" t="s">
        <v>72</v>
      </c>
      <c r="D22" s="53">
        <f>'7. Output IS'!E23</f>
        <v>171771.23099999988</v>
      </c>
      <c r="E22" s="182">
        <f>'7. Output IS'!F23</f>
        <v>196928.30600000001</v>
      </c>
      <c r="F22" s="53">
        <f>'7. Output IS'!G23</f>
        <v>199704.05099999992</v>
      </c>
      <c r="G22" s="194">
        <f t="shared" si="1"/>
        <v>196928.30600000001</v>
      </c>
      <c r="H22" s="194">
        <f t="shared" si="0"/>
        <v>171771.23099999988</v>
      </c>
    </row>
    <row r="23" spans="2:8" x14ac:dyDescent="0.3">
      <c r="B23" s="33"/>
      <c r="C23" s="41" t="s">
        <v>73</v>
      </c>
      <c r="D23" s="53">
        <f>'6. Output-BS'!E49</f>
        <v>3992373.9700000007</v>
      </c>
      <c r="E23" s="182">
        <f>'6. Output-BS'!F49</f>
        <v>3399329.2579999999</v>
      </c>
      <c r="F23" s="53">
        <f>'6. Output-BS'!G49</f>
        <v>2890414.7529999996</v>
      </c>
      <c r="G23" s="194">
        <f t="shared" si="1"/>
        <v>3399329.2579999999</v>
      </c>
      <c r="H23" s="194">
        <f t="shared" si="0"/>
        <v>3992373.9700000007</v>
      </c>
    </row>
    <row r="24" spans="2:8" x14ac:dyDescent="0.3">
      <c r="B24" s="34">
        <v>8</v>
      </c>
      <c r="C24" s="168" t="s">
        <v>540</v>
      </c>
      <c r="D24" s="171">
        <f>D25/D26</f>
        <v>2.1640484041893577</v>
      </c>
      <c r="E24" s="185">
        <f t="shared" ref="E24:F24" si="9">E25/E26</f>
        <v>1.6813178124419406</v>
      </c>
      <c r="F24" s="171">
        <f t="shared" si="9"/>
        <v>2.9173829285511252</v>
      </c>
      <c r="G24" s="194">
        <f t="shared" si="1"/>
        <v>1.6813178124419406</v>
      </c>
      <c r="H24" s="194">
        <f t="shared" si="0"/>
        <v>2.1640484041893577</v>
      </c>
    </row>
    <row r="25" spans="2:8" x14ac:dyDescent="0.3">
      <c r="B25" s="36"/>
      <c r="C25" s="43" t="s">
        <v>74</v>
      </c>
      <c r="D25" s="55">
        <f>'7. Output IS'!E36</f>
        <v>173746.24399999989</v>
      </c>
      <c r="E25" s="186">
        <f>'7. Output IS'!F36</f>
        <v>199713.91900000002</v>
      </c>
      <c r="F25" s="55">
        <f>'7. Output IS'!G36</f>
        <v>200442.43499999991</v>
      </c>
      <c r="G25" s="194">
        <f t="shared" si="1"/>
        <v>199713.91900000002</v>
      </c>
      <c r="H25" s="194">
        <f t="shared" si="0"/>
        <v>173746.24399999989</v>
      </c>
    </row>
    <row r="26" spans="2:8" x14ac:dyDescent="0.3">
      <c r="B26" s="36"/>
      <c r="C26" s="43" t="s">
        <v>75</v>
      </c>
      <c r="D26" s="55">
        <f>'7. Output IS'!E37</f>
        <v>80287.596000000005</v>
      </c>
      <c r="E26" s="186">
        <f>'7. Output IS'!F37</f>
        <v>118784.15700000001</v>
      </c>
      <c r="F26" s="55">
        <f>'7. Output IS'!G37</f>
        <v>68706.248000000007</v>
      </c>
      <c r="G26" s="194">
        <f t="shared" si="1"/>
        <v>118784.15700000001</v>
      </c>
      <c r="H26" s="194">
        <f t="shared" si="0"/>
        <v>80287.596000000005</v>
      </c>
    </row>
    <row r="27" spans="2:8" x14ac:dyDescent="0.3">
      <c r="B27" s="34">
        <v>9</v>
      </c>
      <c r="C27" s="168" t="s">
        <v>541</v>
      </c>
      <c r="D27" s="172">
        <f>D28/D29</f>
        <v>1.4160266339747576</v>
      </c>
      <c r="E27" s="187">
        <f t="shared" ref="E27:F27" si="10">E28/E29</f>
        <v>1.2305543858213717</v>
      </c>
      <c r="F27" s="172">
        <f t="shared" si="10"/>
        <v>1.713075961372456</v>
      </c>
      <c r="G27" s="194">
        <f t="shared" si="1"/>
        <v>1.2305543858213717</v>
      </c>
      <c r="H27" s="194">
        <f t="shared" si="0"/>
        <v>1.4160266339747576</v>
      </c>
    </row>
    <row r="28" spans="2:8" ht="28" x14ac:dyDescent="0.3">
      <c r="B28" s="36"/>
      <c r="C28" s="43" t="s">
        <v>374</v>
      </c>
      <c r="D28" s="55">
        <f>'7. Output IS'!E36+'7. Output IS'!E19</f>
        <v>194616.28199999989</v>
      </c>
      <c r="E28" s="186">
        <f>'7. Output IS'!F36+'7. Output IS'!F19</f>
        <v>219104.23600000003</v>
      </c>
      <c r="F28" s="55">
        <f>'7. Output IS'!G36+'7. Output IS'!G19</f>
        <v>213771.41899999991</v>
      </c>
      <c r="G28" s="194">
        <f t="shared" si="1"/>
        <v>219104.23600000003</v>
      </c>
      <c r="H28" s="194">
        <f t="shared" si="0"/>
        <v>194616.28199999989</v>
      </c>
    </row>
    <row r="29" spans="2:8" x14ac:dyDescent="0.3">
      <c r="B29" s="36"/>
      <c r="C29" s="43" t="s">
        <v>375</v>
      </c>
      <c r="D29" s="55">
        <f>'6. Output-BS'!E54+'6. Output-BS'!E55+'7. Output IS'!E37+'6. Output-BS'!E67</f>
        <v>137438.29200000002</v>
      </c>
      <c r="E29" s="186">
        <f>'6. Output-BS'!F54+'6. Output-BS'!F55+'7. Output IS'!F37+'6. Output-BS'!F67</f>
        <v>178053.27300000002</v>
      </c>
      <c r="F29" s="55">
        <f>'6. Output-BS'!G54+'6. Output-BS'!G55+'7. Output IS'!G37+'6. Output-BS'!G67</f>
        <v>124788.05600000001</v>
      </c>
      <c r="G29" s="194">
        <f t="shared" si="1"/>
        <v>178053.27300000002</v>
      </c>
      <c r="H29" s="194">
        <f t="shared" si="0"/>
        <v>137438.29200000002</v>
      </c>
    </row>
    <row r="30" spans="2:8" ht="15" customHeight="1" x14ac:dyDescent="0.3">
      <c r="B30" s="34">
        <v>10</v>
      </c>
      <c r="C30" s="170" t="s">
        <v>556</v>
      </c>
      <c r="D30" s="172">
        <f>D31/D32</f>
        <v>29.266778237953105</v>
      </c>
      <c r="E30" s="187">
        <f t="shared" ref="E30:F30" si="11">E31/E32</f>
        <v>6.1730621134232209</v>
      </c>
      <c r="F30" s="172">
        <f t="shared" si="11"/>
        <v>-2.7574292548030597</v>
      </c>
      <c r="G30" s="194">
        <f t="shared" si="1"/>
        <v>6.1730621134232209</v>
      </c>
      <c r="H30" s="194">
        <f t="shared" si="0"/>
        <v>29.266778237953105</v>
      </c>
    </row>
    <row r="31" spans="2:8" x14ac:dyDescent="0.3">
      <c r="B31" s="36"/>
      <c r="C31" s="43" t="s">
        <v>376</v>
      </c>
      <c r="D31" s="55">
        <f>'6. Output-BS'!E74+'6. Output-BS'!E77+'6. Output-BS'!E78+'6. Output-BS'!E79+'6. Output-BS'!E51+'6. Output-BS'!E52+'6. Output-BS'!E53+'6. Output-BS'!E55+'6. Output-BS'!E55</f>
        <v>3078017.0950000002</v>
      </c>
      <c r="E31" s="186">
        <f>'6. Output-BS'!F74+'6. Output-BS'!F77+'6. Output-BS'!F78+'6. Output-BS'!F79+'6. Output-BS'!F51+'6. Output-BS'!F52+'6. Output-BS'!F53+'6. Output-BS'!F55+'6. Output-BS'!F55</f>
        <v>2459358.8970000003</v>
      </c>
      <c r="F31" s="55">
        <f>'6. Output-BS'!G74+'6. Output-BS'!G77+'6. Output-BS'!G78+'6. Output-BS'!G79+'6. Output-BS'!G51+'6. Output-BS'!G52+'6. Output-BS'!G53+'6. Output-BS'!G55+'6. Output-BS'!G55</f>
        <v>1994142.2820000001</v>
      </c>
      <c r="G31" s="194">
        <f t="shared" si="1"/>
        <v>2459358.8970000003</v>
      </c>
      <c r="H31" s="194">
        <f t="shared" si="0"/>
        <v>3078017.0950000002</v>
      </c>
    </row>
    <row r="32" spans="2:8" x14ac:dyDescent="0.3">
      <c r="B32" s="36"/>
      <c r="C32" s="43" t="s">
        <v>377</v>
      </c>
      <c r="D32" s="55">
        <f>'8. Output CF'!E11</f>
        <v>105171.026</v>
      </c>
      <c r="E32" s="186">
        <f>'8. Output CF'!F11</f>
        <v>398401.77399999998</v>
      </c>
      <c r="F32" s="55">
        <f>'8. Output CF'!G11</f>
        <v>-723188.91899999999</v>
      </c>
      <c r="G32" s="194">
        <f t="shared" si="1"/>
        <v>398401.77399999998</v>
      </c>
      <c r="H32" s="194">
        <f t="shared" si="0"/>
        <v>105171.026</v>
      </c>
    </row>
    <row r="33" spans="2:8" x14ac:dyDescent="0.3">
      <c r="B33" s="34">
        <v>11</v>
      </c>
      <c r="C33" s="170" t="s">
        <v>542</v>
      </c>
      <c r="D33" s="172">
        <f>D34/D35</f>
        <v>0.76522361031669384</v>
      </c>
      <c r="E33" s="187">
        <f t="shared" ref="E33:F33" si="12">E34/E35</f>
        <v>2.2375425471678914</v>
      </c>
      <c r="F33" s="172">
        <f t="shared" si="12"/>
        <v>-5.7953376483403183</v>
      </c>
      <c r="G33" s="194">
        <f t="shared" si="1"/>
        <v>2.2375425471678914</v>
      </c>
      <c r="H33" s="194">
        <f t="shared" si="0"/>
        <v>0.76522361031669384</v>
      </c>
    </row>
    <row r="34" spans="2:8" x14ac:dyDescent="0.3">
      <c r="B34" s="36"/>
      <c r="C34" s="43" t="s">
        <v>377</v>
      </c>
      <c r="D34" s="55">
        <f>'8. Output CF'!E11</f>
        <v>105171.026</v>
      </c>
      <c r="E34" s="186">
        <f>'8. Output CF'!F11</f>
        <v>398401.77399999998</v>
      </c>
      <c r="F34" s="55">
        <f>'8. Output CF'!G11</f>
        <v>-723188.91899999999</v>
      </c>
      <c r="G34" s="194">
        <f t="shared" si="1"/>
        <v>398401.77399999998</v>
      </c>
      <c r="H34" s="194">
        <f t="shared" si="0"/>
        <v>105171.026</v>
      </c>
    </row>
    <row r="35" spans="2:8" x14ac:dyDescent="0.3">
      <c r="B35" s="36"/>
      <c r="C35" s="43" t="s">
        <v>258</v>
      </c>
      <c r="D35" s="55">
        <f>D29</f>
        <v>137438.29200000002</v>
      </c>
      <c r="E35" s="186">
        <f t="shared" ref="E35:F35" si="13">E29</f>
        <v>178053.27300000002</v>
      </c>
      <c r="F35" s="55">
        <f t="shared" si="13"/>
        <v>124788.05600000001</v>
      </c>
      <c r="G35" s="194">
        <f t="shared" ref="G35:G57" si="14">E35</f>
        <v>178053.27300000002</v>
      </c>
      <c r="H35" s="194">
        <f t="shared" ref="H35:H57" si="15">D35</f>
        <v>137438.29200000002</v>
      </c>
    </row>
    <row r="36" spans="2:8" x14ac:dyDescent="0.3">
      <c r="B36" s="34">
        <v>12</v>
      </c>
      <c r="C36" s="170" t="s">
        <v>346</v>
      </c>
      <c r="D36" s="172">
        <f>D37/D38*360</f>
        <v>0</v>
      </c>
      <c r="E36" s="187">
        <f t="shared" ref="E36:F36" si="16">E37/E38*360</f>
        <v>0</v>
      </c>
      <c r="F36" s="172">
        <f t="shared" si="16"/>
        <v>0</v>
      </c>
      <c r="G36" s="194">
        <f t="shared" si="14"/>
        <v>0</v>
      </c>
      <c r="H36" s="194">
        <f t="shared" si="15"/>
        <v>0</v>
      </c>
    </row>
    <row r="37" spans="2:8" x14ac:dyDescent="0.3">
      <c r="B37" s="36"/>
      <c r="C37" s="43" t="s">
        <v>259</v>
      </c>
      <c r="D37" s="55">
        <f>'6. Output-BS'!E33</f>
        <v>0</v>
      </c>
      <c r="E37" s="186">
        <f>'6. Output-BS'!F33</f>
        <v>0</v>
      </c>
      <c r="F37" s="55">
        <f>'6. Output-BS'!G33</f>
        <v>0</v>
      </c>
      <c r="G37" s="194">
        <f t="shared" si="14"/>
        <v>0</v>
      </c>
      <c r="H37" s="194">
        <f t="shared" si="15"/>
        <v>0</v>
      </c>
    </row>
    <row r="38" spans="2:8" x14ac:dyDescent="0.3">
      <c r="B38" s="36"/>
      <c r="C38" s="43" t="s">
        <v>378</v>
      </c>
      <c r="D38" s="55">
        <f>'7. Output IS'!E14</f>
        <v>1187045.483</v>
      </c>
      <c r="E38" s="186">
        <f>'7. Output IS'!F14</f>
        <v>1473623.882</v>
      </c>
      <c r="F38" s="55">
        <f>'7. Output IS'!G14</f>
        <v>1144305.49</v>
      </c>
      <c r="G38" s="194">
        <f t="shared" si="14"/>
        <v>1473623.882</v>
      </c>
      <c r="H38" s="194">
        <f t="shared" si="15"/>
        <v>1187045.483</v>
      </c>
    </row>
    <row r="39" spans="2:8" x14ac:dyDescent="0.3">
      <c r="B39" s="34">
        <v>13</v>
      </c>
      <c r="C39" s="170" t="s">
        <v>379</v>
      </c>
      <c r="D39" s="172">
        <f>(D40/D41)*360</f>
        <v>89.219451744334833</v>
      </c>
      <c r="E39" s="187">
        <f t="shared" ref="E39:F39" si="17">(E40/E41)*360</f>
        <v>195.71035183586721</v>
      </c>
      <c r="F39" s="172">
        <f t="shared" si="17"/>
        <v>131.32813839986324</v>
      </c>
      <c r="G39" s="194">
        <f t="shared" si="14"/>
        <v>195.71035183586721</v>
      </c>
      <c r="H39" s="194">
        <f t="shared" si="15"/>
        <v>89.219451744334833</v>
      </c>
    </row>
    <row r="40" spans="2:8" x14ac:dyDescent="0.3">
      <c r="B40" s="36"/>
      <c r="C40" s="43" t="s">
        <v>380</v>
      </c>
      <c r="D40" s="55">
        <f>'6. Output-BS'!E13</f>
        <v>350127.00699999998</v>
      </c>
      <c r="E40" s="186">
        <f>'6. Output-BS'!F13</f>
        <v>943794.92500000005</v>
      </c>
      <c r="F40" s="55">
        <f>'6. Output-BS'!G13</f>
        <v>509309.24300000002</v>
      </c>
      <c r="G40" s="194">
        <f t="shared" si="14"/>
        <v>943794.92500000005</v>
      </c>
      <c r="H40" s="194">
        <f t="shared" si="15"/>
        <v>350127.00699999998</v>
      </c>
    </row>
    <row r="41" spans="2:8" x14ac:dyDescent="0.3">
      <c r="B41" s="36"/>
      <c r="C41" s="43" t="s">
        <v>381</v>
      </c>
      <c r="D41" s="55">
        <f>'7. Output IS'!E13</f>
        <v>1412760.5589999999</v>
      </c>
      <c r="E41" s="186">
        <f>'7. Output IS'!F13</f>
        <v>1736066.436</v>
      </c>
      <c r="F41" s="55">
        <f>'7. Output IS'!G13</f>
        <v>1396131.3219999999</v>
      </c>
      <c r="G41" s="194">
        <f t="shared" si="14"/>
        <v>1736066.436</v>
      </c>
      <c r="H41" s="194">
        <f t="shared" si="15"/>
        <v>1412760.5589999999</v>
      </c>
    </row>
    <row r="42" spans="2:8" x14ac:dyDescent="0.3">
      <c r="B42" s="34">
        <v>14</v>
      </c>
      <c r="C42" s="42" t="s">
        <v>347</v>
      </c>
      <c r="D42" s="56">
        <f>D43/D44</f>
        <v>0.35386478561776608</v>
      </c>
      <c r="E42" s="188">
        <f t="shared" ref="E42:F42" si="18">E43/E44</f>
        <v>0.5107085263701161</v>
      </c>
      <c r="F42" s="56">
        <f t="shared" si="18"/>
        <v>0.48302110295795331</v>
      </c>
      <c r="G42" s="194">
        <f t="shared" si="14"/>
        <v>0.5107085263701161</v>
      </c>
      <c r="H42" s="194">
        <f t="shared" si="15"/>
        <v>0.35386478561776608</v>
      </c>
    </row>
    <row r="43" spans="2:8" x14ac:dyDescent="0.3">
      <c r="B43" s="36"/>
      <c r="C43" s="43" t="s">
        <v>381</v>
      </c>
      <c r="D43" s="55">
        <f>D41</f>
        <v>1412760.5589999999</v>
      </c>
      <c r="E43" s="186">
        <f t="shared" ref="E43:F43" si="19">E41</f>
        <v>1736066.436</v>
      </c>
      <c r="F43" s="55">
        <f t="shared" si="19"/>
        <v>1396131.3219999999</v>
      </c>
      <c r="G43" s="194">
        <f t="shared" si="14"/>
        <v>1736066.436</v>
      </c>
      <c r="H43" s="194">
        <f t="shared" si="15"/>
        <v>1412760.5589999999</v>
      </c>
    </row>
    <row r="44" spans="2:8" x14ac:dyDescent="0.3">
      <c r="B44" s="36"/>
      <c r="C44" s="43" t="s">
        <v>73</v>
      </c>
      <c r="D44" s="55">
        <f>D20</f>
        <v>3992373.9700000007</v>
      </c>
      <c r="E44" s="186">
        <f t="shared" ref="E44:F44" si="20">E20</f>
        <v>3399329.2579999999</v>
      </c>
      <c r="F44" s="55">
        <f t="shared" si="20"/>
        <v>2890414.7529999996</v>
      </c>
      <c r="G44" s="194">
        <f t="shared" si="14"/>
        <v>3399329.2579999999</v>
      </c>
      <c r="H44" s="194">
        <f t="shared" si="15"/>
        <v>3992373.9700000007</v>
      </c>
    </row>
    <row r="45" spans="2:8" x14ac:dyDescent="0.3">
      <c r="B45" s="34">
        <v>15</v>
      </c>
      <c r="C45" s="42" t="s">
        <v>382</v>
      </c>
      <c r="D45" s="56">
        <f>D46/D47</f>
        <v>7.4443631180108563E-2</v>
      </c>
      <c r="E45" s="188">
        <f t="shared" ref="E45:F45" si="21">E46/E47</f>
        <v>0.22948532713871325</v>
      </c>
      <c r="F45" s="56">
        <f t="shared" si="21"/>
        <v>-0.51799491036703493</v>
      </c>
      <c r="G45" s="194">
        <f t="shared" si="14"/>
        <v>0.22948532713871325</v>
      </c>
      <c r="H45" s="194">
        <f t="shared" si="15"/>
        <v>7.4443631180108563E-2</v>
      </c>
    </row>
    <row r="46" spans="2:8" x14ac:dyDescent="0.3">
      <c r="B46" s="36"/>
      <c r="C46" s="43" t="s">
        <v>383</v>
      </c>
      <c r="D46" s="55">
        <f>D34</f>
        <v>105171.026</v>
      </c>
      <c r="E46" s="186">
        <f t="shared" ref="E46:F46" si="22">E34</f>
        <v>398401.77399999998</v>
      </c>
      <c r="F46" s="55">
        <f t="shared" si="22"/>
        <v>-723188.91899999999</v>
      </c>
      <c r="G46" s="194">
        <f t="shared" si="14"/>
        <v>398401.77399999998</v>
      </c>
      <c r="H46" s="194">
        <f t="shared" si="15"/>
        <v>105171.026</v>
      </c>
    </row>
    <row r="47" spans="2:8" x14ac:dyDescent="0.3">
      <c r="B47" s="36"/>
      <c r="C47" s="43" t="s">
        <v>381</v>
      </c>
      <c r="D47" s="55">
        <f>D41</f>
        <v>1412760.5589999999</v>
      </c>
      <c r="E47" s="186">
        <f t="shared" ref="E47:F47" si="23">E41</f>
        <v>1736066.436</v>
      </c>
      <c r="F47" s="55">
        <f t="shared" si="23"/>
        <v>1396131.3219999999</v>
      </c>
      <c r="G47" s="194">
        <f t="shared" si="14"/>
        <v>1736066.436</v>
      </c>
      <c r="H47" s="194">
        <f t="shared" si="15"/>
        <v>1412760.5589999999</v>
      </c>
    </row>
    <row r="48" spans="2:8" x14ac:dyDescent="0.3">
      <c r="B48" s="34">
        <v>16</v>
      </c>
      <c r="C48" s="42" t="s">
        <v>384</v>
      </c>
      <c r="D48" s="54">
        <f>D52/D53</f>
        <v>-2.2279384060675405E-2</v>
      </c>
      <c r="E48" s="189">
        <f t="shared" ref="E48:F48" si="24">E52/E53</f>
        <v>-0.15918538918260519</v>
      </c>
      <c r="F48" s="54">
        <f t="shared" si="24"/>
        <v>0.3225778339783234</v>
      </c>
      <c r="G48" s="194">
        <f t="shared" si="14"/>
        <v>-0.15918538918260519</v>
      </c>
      <c r="H48" s="194">
        <f t="shared" si="15"/>
        <v>-2.2279384060675405E-2</v>
      </c>
    </row>
    <row r="49" spans="2:8" x14ac:dyDescent="0.3">
      <c r="B49" s="33"/>
      <c r="C49" s="41" t="s">
        <v>126</v>
      </c>
      <c r="D49" s="52">
        <f>'6. Output-BS'!E49-Graph!D12</f>
        <v>3973532.6480000005</v>
      </c>
      <c r="E49" s="190">
        <f>'6. Output-BS'!F49-Graph!E12</f>
        <v>3362377.9339999999</v>
      </c>
      <c r="F49" s="52">
        <f>'6. Output-BS'!G49-Graph!F12</f>
        <v>2873005.0499999993</v>
      </c>
      <c r="G49" s="194">
        <f t="shared" si="14"/>
        <v>3362377.9339999999</v>
      </c>
      <c r="H49" s="194">
        <f t="shared" si="15"/>
        <v>3973532.6480000005</v>
      </c>
    </row>
    <row r="50" spans="2:8" x14ac:dyDescent="0.3">
      <c r="B50" s="33"/>
      <c r="C50" s="41" t="s">
        <v>127</v>
      </c>
      <c r="D50" s="52">
        <f>'6. Output-BS'!E84-'6. Output-BS'!E78-'6. Output-BS'!E52-'6. Output-BS'!E53-'6. Output-BS'!E54-'6. Output-BS'!E55</f>
        <v>187139.62000000058</v>
      </c>
      <c r="E50" s="190">
        <f>'6. Output-BS'!F84-'6. Output-BS'!F78-'6. Output-BS'!F52-'6. Output-BS'!F53-'6. Output-BS'!F54-'6. Output-BS'!F55</f>
        <v>276096.1019999999</v>
      </c>
      <c r="F50" s="52">
        <f>'6. Output-BS'!G84-'6. Output-BS'!G78-'6. Output-BS'!G52-'6. Output-BS'!G53-'6. Output-BS'!G54-'6. Output-BS'!G55</f>
        <v>357241.72599999997</v>
      </c>
      <c r="G50" s="194">
        <f t="shared" si="14"/>
        <v>276096.1019999999</v>
      </c>
      <c r="H50" s="194">
        <f t="shared" si="15"/>
        <v>187139.62000000058</v>
      </c>
    </row>
    <row r="51" spans="2:8" x14ac:dyDescent="0.3">
      <c r="B51" s="35"/>
      <c r="C51" s="44" t="s">
        <v>94</v>
      </c>
      <c r="D51" s="57">
        <f>D49-D50</f>
        <v>3786393.0279999999</v>
      </c>
      <c r="E51" s="191">
        <f t="shared" ref="E51:F51" si="25">E49-E50</f>
        <v>3086281.8319999999</v>
      </c>
      <c r="F51" s="57">
        <f t="shared" si="25"/>
        <v>2515763.3239999996</v>
      </c>
      <c r="G51" s="194">
        <f t="shared" si="14"/>
        <v>3086281.8319999999</v>
      </c>
      <c r="H51" s="194">
        <f t="shared" si="15"/>
        <v>3786393.0279999999</v>
      </c>
    </row>
    <row r="52" spans="2:8" x14ac:dyDescent="0.3">
      <c r="B52" s="33"/>
      <c r="C52" s="41" t="s">
        <v>77</v>
      </c>
      <c r="D52" s="53">
        <f>'7. Output IS'!E43-'8. Output CF'!E11+'8. Output CF'!E12</f>
        <v>-84568.39100000012</v>
      </c>
      <c r="E52" s="182">
        <f>'7. Output IS'!F43-'8. Output CF'!F11+'8. Output CF'!F12</f>
        <v>-494232.02999999997</v>
      </c>
      <c r="F52" s="53">
        <f>'7. Output IS'!G43-'8. Output CF'!G11+'8. Output CF'!G12</f>
        <v>814337.47599999991</v>
      </c>
      <c r="G52" s="194">
        <f t="shared" si="14"/>
        <v>-494232.02999999997</v>
      </c>
      <c r="H52" s="194">
        <f t="shared" si="15"/>
        <v>-84568.39100000012</v>
      </c>
    </row>
    <row r="53" spans="2:8" x14ac:dyDescent="0.3">
      <c r="B53" s="33"/>
      <c r="C53" s="44" t="s">
        <v>78</v>
      </c>
      <c r="D53" s="57">
        <f>AVERAGE(D54:D55)</f>
        <v>3795813.6890000002</v>
      </c>
      <c r="E53" s="191">
        <f t="shared" ref="E53:F53" si="26">AVERAGE(E54:E55)</f>
        <v>3104757.4939999999</v>
      </c>
      <c r="F53" s="57">
        <f t="shared" si="26"/>
        <v>2524468.1754999999</v>
      </c>
      <c r="G53" s="194">
        <f t="shared" si="14"/>
        <v>3104757.4939999999</v>
      </c>
      <c r="H53" s="194">
        <f t="shared" si="15"/>
        <v>3795813.6890000002</v>
      </c>
    </row>
    <row r="54" spans="2:8" x14ac:dyDescent="0.3">
      <c r="B54" s="33"/>
      <c r="C54" s="44" t="s">
        <v>94</v>
      </c>
      <c r="D54" s="57">
        <f>D49-D50</f>
        <v>3786393.0279999999</v>
      </c>
      <c r="E54" s="191">
        <f t="shared" ref="E54:F54" si="27">E49-E50</f>
        <v>3086281.8319999999</v>
      </c>
      <c r="F54" s="57">
        <f t="shared" si="27"/>
        <v>2515763.3239999996</v>
      </c>
      <c r="G54" s="194">
        <f t="shared" si="14"/>
        <v>3086281.8319999999</v>
      </c>
      <c r="H54" s="194">
        <f t="shared" si="15"/>
        <v>3786393.0279999999</v>
      </c>
    </row>
    <row r="55" spans="2:8" x14ac:dyDescent="0.3">
      <c r="B55" s="33"/>
      <c r="C55" s="44" t="s">
        <v>93</v>
      </c>
      <c r="D55" s="57">
        <f>D56-D57</f>
        <v>3805234.35</v>
      </c>
      <c r="E55" s="191">
        <f t="shared" ref="E55:F55" si="28">E56-E57</f>
        <v>3123233.156</v>
      </c>
      <c r="F55" s="57">
        <f t="shared" si="28"/>
        <v>2533173.0269999998</v>
      </c>
      <c r="G55" s="194">
        <f t="shared" si="14"/>
        <v>3123233.156</v>
      </c>
      <c r="H55" s="194">
        <f t="shared" si="15"/>
        <v>3805234.35</v>
      </c>
    </row>
    <row r="56" spans="2:8" x14ac:dyDescent="0.3">
      <c r="B56" s="33"/>
      <c r="C56" s="41" t="s">
        <v>385</v>
      </c>
      <c r="D56" s="53">
        <f>'6. Output-BS'!E49-'6. Output-BS'!E44-'6. Output-BS'!E46</f>
        <v>3992373.9700000007</v>
      </c>
      <c r="E56" s="182">
        <f>'6. Output-BS'!F49-'6. Output-BS'!F44-'6. Output-BS'!F46</f>
        <v>3399329.2579999999</v>
      </c>
      <c r="F56" s="53">
        <f>'6. Output-BS'!G49-'6. Output-BS'!G44-'6. Output-BS'!G46</f>
        <v>2890414.7529999996</v>
      </c>
      <c r="G56" s="194">
        <f t="shared" si="14"/>
        <v>3399329.2579999999</v>
      </c>
      <c r="H56" s="194">
        <f t="shared" si="15"/>
        <v>3992373.9700000007</v>
      </c>
    </row>
    <row r="57" spans="2:8" x14ac:dyDescent="0.3">
      <c r="B57" s="33"/>
      <c r="C57" s="41" t="s">
        <v>386</v>
      </c>
      <c r="D57" s="53">
        <f>'6. Output-BS'!E84-'6. Output-BS'!E78-'6. Output-BS'!E52-'6. Output-BS'!E53-'6. Output-BS'!E54-'6. Output-BS'!E55</f>
        <v>187139.62000000058</v>
      </c>
      <c r="E57" s="182">
        <f>'6. Output-BS'!F84-'6. Output-BS'!F78-'6. Output-BS'!F52-'6. Output-BS'!F53-'6. Output-BS'!F54-'6. Output-BS'!F55</f>
        <v>276096.1019999999</v>
      </c>
      <c r="F57" s="53">
        <f>'6. Output-BS'!G84-'6. Output-BS'!G78-'6. Output-BS'!G52-'6. Output-BS'!G53-'6. Output-BS'!G54-'6. Output-BS'!G55</f>
        <v>357241.72599999997</v>
      </c>
      <c r="G57" s="194">
        <f t="shared" si="14"/>
        <v>276096.1019999999</v>
      </c>
      <c r="H57" s="194">
        <f t="shared" si="15"/>
        <v>187139.62000000058</v>
      </c>
    </row>
  </sheetData>
  <mergeCells count="2">
    <mergeCell ref="C1:F1"/>
    <mergeCell ref="B2:F2"/>
  </mergeCells>
  <pageMargins left="0.25" right="0.25" top="0.75" bottom="0.75" header="0.3" footer="0.3"/>
  <pageSetup scale="80" orientation="portrait" r:id="rId1"/>
  <headerFooter>
    <oddHeader>&amp;C&amp;"+,Bold"&amp;18Internal Credit Risk Scoring System(Ratio Analysis)</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B1:G57"/>
  <sheetViews>
    <sheetView showGridLines="0" topLeftCell="A43" zoomScale="130" zoomScaleNormal="130" zoomScalePageLayoutView="85" workbookViewId="0">
      <selection activeCell="D6" sqref="D6"/>
    </sheetView>
  </sheetViews>
  <sheetFormatPr defaultColWidth="9.1796875" defaultRowHeight="14" x14ac:dyDescent="0.3"/>
  <cols>
    <col min="1" max="1" width="2.81640625" style="20" customWidth="1"/>
    <col min="2" max="2" width="7" style="27" customWidth="1"/>
    <col min="3" max="3" width="35.1796875" style="28" customWidth="1"/>
    <col min="4" max="4" width="27.54296875" style="27" customWidth="1"/>
    <col min="5" max="5" width="25.453125" style="27" customWidth="1"/>
    <col min="6" max="6" width="27.7265625" style="27" customWidth="1"/>
    <col min="7" max="16384" width="9.1796875" style="20"/>
  </cols>
  <sheetData>
    <row r="1" spans="2:7" ht="15" customHeight="1" x14ac:dyDescent="0.3">
      <c r="C1" s="1011"/>
      <c r="D1" s="1011"/>
      <c r="E1" s="1011"/>
      <c r="F1" s="1011"/>
    </row>
    <row r="2" spans="2:7" ht="22.5" x14ac:dyDescent="0.45">
      <c r="B2" s="1012" t="s">
        <v>91</v>
      </c>
      <c r="C2" s="1012"/>
      <c r="D2" s="1012"/>
      <c r="E2" s="1012"/>
      <c r="F2" s="1012"/>
    </row>
    <row r="3" spans="2:7" x14ac:dyDescent="0.3">
      <c r="C3" s="404" t="s">
        <v>80</v>
      </c>
      <c r="D3" s="26">
        <f>'6. Output-BS'!E9</f>
        <v>2025</v>
      </c>
      <c r="E3" s="26">
        <f>'6. Output-BS'!F9</f>
        <v>2024</v>
      </c>
      <c r="F3" s="26">
        <f>'6. Output-BS'!G9</f>
        <v>2023</v>
      </c>
    </row>
    <row r="4" spans="2:7" ht="29.25" customHeight="1" x14ac:dyDescent="0.3">
      <c r="B4" s="58">
        <v>1</v>
      </c>
      <c r="C4" s="405" t="s">
        <v>623</v>
      </c>
      <c r="D4" s="406">
        <f>D5/D6</f>
        <v>3.9252586061418495</v>
      </c>
      <c r="E4" s="406">
        <f t="shared" ref="E4:F4" si="0">E5/E6</f>
        <v>3.49246800438259</v>
      </c>
      <c r="F4" s="406">
        <f t="shared" si="0"/>
        <v>3.199355260869682</v>
      </c>
    </row>
    <row r="5" spans="2:7" x14ac:dyDescent="0.3">
      <c r="B5" s="33"/>
      <c r="C5" s="41" t="s">
        <v>553</v>
      </c>
      <c r="D5" s="53">
        <f>'6. Output-BS'!E51+'6. Output-BS'!E52+'6. Output-BS'!E53+'6. Output-BS'!E54+'6. Output-BS'!E55+'6. Output-BS'!E74+'6. Output-BS'!E78+'6. Output-BS'!E79+'6. Output-BS'!E77</f>
        <v>3135167.7910000002</v>
      </c>
      <c r="E5" s="53">
        <f>'6. Output-BS'!F51+'6. Output-BS'!F52+'6. Output-BS'!F53+'6. Output-BS'!F54+'6. Output-BS'!F55+'6. Output-BS'!F74+'6. Output-BS'!F78+'6. Output-BS'!F79+'6. Output-BS'!F77</f>
        <v>2518628.0130000003</v>
      </c>
      <c r="F5" s="53">
        <f>'6. Output-BS'!G51+'6. Output-BS'!G52+'6. Output-BS'!G53+'6. Output-BS'!G54+'6. Output-BS'!G55+'6. Output-BS'!G74+'6. Output-BS'!G78+'6. Output-BS'!G79+'6. Output-BS'!G77</f>
        <v>2050224.09</v>
      </c>
      <c r="G5" s="20" t="s">
        <v>260</v>
      </c>
    </row>
    <row r="6" spans="2:7" x14ac:dyDescent="0.3">
      <c r="B6" s="33"/>
      <c r="C6" s="41" t="s">
        <v>67</v>
      </c>
      <c r="D6" s="53">
        <f>'6. Output-BS'!E97-'6. Output-BS'!E33-'6. Output-BS'!E34-'6. Output-BS'!E35</f>
        <v>798716.23899999994</v>
      </c>
      <c r="E6" s="53">
        <f>'6. Output-BS'!F97-'6. Output-BS'!F33-'6. Output-BS'!F34-'6. Output-BS'!F35-('6. Output-BS'!F93*0.25)</f>
        <v>721159.93900000001</v>
      </c>
      <c r="F6" s="53">
        <f>'6. Output-BS'!G97-'6. Output-BS'!G33-'6. Output-BS'!G34-'6. Output-BS'!G35-('6. Output-BS'!G93*0.25)</f>
        <v>640824.14199999999</v>
      </c>
      <c r="G6" s="20" t="s">
        <v>261</v>
      </c>
    </row>
    <row r="7" spans="2:7" ht="28" x14ac:dyDescent="0.3">
      <c r="B7" s="34">
        <v>2</v>
      </c>
      <c r="C7" s="168" t="s">
        <v>624</v>
      </c>
      <c r="D7" s="169">
        <f>D8/D9</f>
        <v>0.78528910732277912</v>
      </c>
      <c r="E7" s="169">
        <f t="shared" ref="E7:F7" si="1">E8/E9</f>
        <v>0.74091911134311206</v>
      </c>
      <c r="F7" s="169">
        <f t="shared" si="1"/>
        <v>0.70931830384274286</v>
      </c>
    </row>
    <row r="8" spans="2:7" x14ac:dyDescent="0.3">
      <c r="B8" s="33"/>
      <c r="C8" s="41" t="s">
        <v>553</v>
      </c>
      <c r="D8" s="53">
        <f>D5</f>
        <v>3135167.7910000002</v>
      </c>
      <c r="E8" s="53">
        <f t="shared" ref="E8:F8" si="2">E5</f>
        <v>2518628.0130000003</v>
      </c>
      <c r="F8" s="53">
        <f t="shared" si="2"/>
        <v>2050224.09</v>
      </c>
      <c r="G8" s="20" t="s">
        <v>262</v>
      </c>
    </row>
    <row r="9" spans="2:7" x14ac:dyDescent="0.3">
      <c r="B9" s="33"/>
      <c r="C9" s="41" t="s">
        <v>24</v>
      </c>
      <c r="D9" s="53">
        <f>'6. Output-BS'!E49</f>
        <v>3992373.9700000007</v>
      </c>
      <c r="E9" s="53">
        <f>'6. Output-BS'!F49</f>
        <v>3399329.2579999999</v>
      </c>
      <c r="F9" s="53">
        <f>'6. Output-BS'!G49</f>
        <v>2890414.7529999996</v>
      </c>
    </row>
    <row r="10" spans="2:7" x14ac:dyDescent="0.3">
      <c r="B10" s="33">
        <v>3</v>
      </c>
      <c r="C10" s="170" t="s">
        <v>464</v>
      </c>
      <c r="D10" s="169">
        <f>D12/D14</f>
        <v>6.1472340974284764E-3</v>
      </c>
      <c r="E10" s="169">
        <f t="shared" ref="E10:F10" si="3">E12/E14</f>
        <v>1.442501347030347E-2</v>
      </c>
      <c r="F10" s="169">
        <f t="shared" si="3"/>
        <v>8.3231700402745905E-3</v>
      </c>
    </row>
    <row r="11" spans="2:7" x14ac:dyDescent="0.3">
      <c r="B11" s="34">
        <v>4</v>
      </c>
      <c r="C11" s="168" t="s">
        <v>449</v>
      </c>
      <c r="D11" s="169">
        <f>D13/D14</f>
        <v>1.040552151554528</v>
      </c>
      <c r="E11" s="169">
        <f t="shared" ref="E11:F11" si="4">E13/E14</f>
        <v>1.027609585035133</v>
      </c>
      <c r="F11" s="169">
        <f t="shared" si="4"/>
        <v>1.0849472454475959</v>
      </c>
    </row>
    <row r="12" spans="2:7" x14ac:dyDescent="0.3">
      <c r="B12" s="33"/>
      <c r="C12" s="41" t="s">
        <v>69</v>
      </c>
      <c r="D12" s="53">
        <f>'6. Output-BS'!E25+'6. Output-BS'!E23</f>
        <v>18841.322</v>
      </c>
      <c r="E12" s="53">
        <f>'6. Output-BS'!F25+'6. Output-BS'!F23</f>
        <v>36951.324000000001</v>
      </c>
      <c r="F12" s="53">
        <f>'6. Output-BS'!G25+'6. Output-BS'!G23</f>
        <v>17409.703000000001</v>
      </c>
      <c r="G12" s="20" t="s">
        <v>263</v>
      </c>
    </row>
    <row r="13" spans="2:7" x14ac:dyDescent="0.3">
      <c r="B13" s="33"/>
      <c r="C13" s="41" t="s">
        <v>70</v>
      </c>
      <c r="D13" s="53">
        <f>'6. Output-BS'!E27</f>
        <v>3189300.7220000005</v>
      </c>
      <c r="E13" s="53">
        <f>'6. Output-BS'!F27</f>
        <v>2632339.6370000001</v>
      </c>
      <c r="F13" s="53">
        <f>'6. Output-BS'!G27</f>
        <v>2269400.8679999998</v>
      </c>
      <c r="G13" s="20" t="s">
        <v>264</v>
      </c>
    </row>
    <row r="14" spans="2:7" x14ac:dyDescent="0.3">
      <c r="B14" s="33"/>
      <c r="C14" s="41" t="s">
        <v>71</v>
      </c>
      <c r="D14" s="53">
        <f>'6. Output-BS'!E72</f>
        <v>3065008.0510000004</v>
      </c>
      <c r="E14" s="53">
        <f>'6. Output-BS'!F72</f>
        <v>2561614.523</v>
      </c>
      <c r="F14" s="53">
        <f>'6. Output-BS'!G72</f>
        <v>2091715.4060000002</v>
      </c>
    </row>
    <row r="15" spans="2:7" x14ac:dyDescent="0.3">
      <c r="B15" s="34">
        <v>5</v>
      </c>
      <c r="C15" s="168" t="s">
        <v>557</v>
      </c>
      <c r="D15" s="177">
        <f>D16/D17</f>
        <v>5.4896988386267581E-2</v>
      </c>
      <c r="E15" s="177">
        <f t="shared" ref="E15:F15" si="5">E16/E17</f>
        <v>4.0053649767122175E-2</v>
      </c>
      <c r="F15" s="177">
        <f t="shared" si="5"/>
        <v>8.0204316911672235E-2</v>
      </c>
    </row>
    <row r="16" spans="2:7" x14ac:dyDescent="0.3">
      <c r="B16" s="33"/>
      <c r="C16" s="41" t="s">
        <v>373</v>
      </c>
      <c r="D16" s="53">
        <f>'7. Output IS'!E43</f>
        <v>77556.299999999886</v>
      </c>
      <c r="E16" s="53">
        <f>'7. Output IS'!F43</f>
        <v>69535.79700000002</v>
      </c>
      <c r="F16" s="53">
        <f>'7. Output IS'!G43</f>
        <v>111975.75899999992</v>
      </c>
    </row>
    <row r="17" spans="2:6" x14ac:dyDescent="0.3">
      <c r="B17" s="33"/>
      <c r="C17" s="41" t="s">
        <v>76</v>
      </c>
      <c r="D17" s="53">
        <f>'7. Output IS'!E13</f>
        <v>1412760.5589999999</v>
      </c>
      <c r="E17" s="53">
        <f>'7. Output IS'!F13</f>
        <v>1736066.436</v>
      </c>
      <c r="F17" s="53">
        <f>'7. Output IS'!G13</f>
        <v>1396131.3219999999</v>
      </c>
    </row>
    <row r="18" spans="2:6" x14ac:dyDescent="0.3">
      <c r="B18" s="34">
        <v>6</v>
      </c>
      <c r="C18" s="168" t="s">
        <v>558</v>
      </c>
      <c r="D18" s="169">
        <f>D19/D20</f>
        <v>1.9426111026367571E-2</v>
      </c>
      <c r="E18" s="169">
        <f t="shared" ref="E18:F18" si="6">E19/E20</f>
        <v>2.0455740448311707E-2</v>
      </c>
      <c r="F18" s="169">
        <f t="shared" si="6"/>
        <v>3.8740377616665149E-2</v>
      </c>
    </row>
    <row r="19" spans="2:6" x14ac:dyDescent="0.3">
      <c r="B19" s="33"/>
      <c r="C19" s="41" t="s">
        <v>373</v>
      </c>
      <c r="D19" s="53">
        <f>D16</f>
        <v>77556.299999999886</v>
      </c>
      <c r="E19" s="53">
        <f t="shared" ref="E19:F19" si="7">E16</f>
        <v>69535.79700000002</v>
      </c>
      <c r="F19" s="53">
        <f t="shared" si="7"/>
        <v>111975.75899999992</v>
      </c>
    </row>
    <row r="20" spans="2:6" x14ac:dyDescent="0.3">
      <c r="B20" s="33"/>
      <c r="C20" s="41" t="s">
        <v>73</v>
      </c>
      <c r="D20" s="53">
        <f>'6. Output-BS'!E49</f>
        <v>3992373.9700000007</v>
      </c>
      <c r="E20" s="53">
        <f>'6. Output-BS'!F49</f>
        <v>3399329.2579999999</v>
      </c>
      <c r="F20" s="53">
        <f>'6. Output-BS'!G49</f>
        <v>2890414.7529999996</v>
      </c>
    </row>
    <row r="21" spans="2:6" ht="28" x14ac:dyDescent="0.3">
      <c r="B21" s="34">
        <v>7</v>
      </c>
      <c r="C21" s="168" t="s">
        <v>559</v>
      </c>
      <c r="D21" s="169">
        <f>D22/D23</f>
        <v>4.652054000911502E-2</v>
      </c>
      <c r="E21" s="169">
        <f t="shared" ref="E21:F21" si="8">E22/E23</f>
        <v>6.3539007832642477E-2</v>
      </c>
      <c r="F21" s="169">
        <f t="shared" si="8"/>
        <v>7.7093465735060207E-2</v>
      </c>
    </row>
    <row r="22" spans="2:6" x14ac:dyDescent="0.3">
      <c r="B22" s="33"/>
      <c r="C22" s="41" t="s">
        <v>72</v>
      </c>
      <c r="D22" s="53">
        <f>'7. Output IS'!E23</f>
        <v>171771.23099999988</v>
      </c>
      <c r="E22" s="53">
        <f>'7. Output IS'!F23</f>
        <v>196928.30600000001</v>
      </c>
      <c r="F22" s="53">
        <f>'7. Output IS'!G23</f>
        <v>199704.05099999992</v>
      </c>
    </row>
    <row r="23" spans="2:6" x14ac:dyDescent="0.3">
      <c r="B23" s="33"/>
      <c r="C23" s="41" t="s">
        <v>555</v>
      </c>
      <c r="D23" s="53">
        <f>'6. Output-BS'!E49-'6. Output-BS'!E37-'6. Output-BS'!E38-'6. Output-BS'!E40-'6. Output-BS'!E36</f>
        <v>3692373.9700000007</v>
      </c>
      <c r="E23" s="53">
        <f>'6. Output-BS'!F49-'6. Output-BS'!F37-'6. Output-BS'!F38-'6. Output-BS'!F40-'6. Output-BS'!F36</f>
        <v>3099329.2579999999</v>
      </c>
      <c r="F23" s="53">
        <f>'6. Output-BS'!G49-'6. Output-BS'!G37-'6. Output-BS'!G38-'6. Output-BS'!G40-'6. Output-BS'!G36</f>
        <v>2590414.7529999996</v>
      </c>
    </row>
    <row r="24" spans="2:6" x14ac:dyDescent="0.3">
      <c r="B24" s="34">
        <v>8</v>
      </c>
      <c r="C24" s="168" t="s">
        <v>560</v>
      </c>
      <c r="D24" s="171">
        <f>D25/D26</f>
        <v>2.1640484041893577</v>
      </c>
      <c r="E24" s="171">
        <f t="shared" ref="E24:F24" si="9">E25/E26</f>
        <v>1.6813178124419406</v>
      </c>
      <c r="F24" s="171">
        <f t="shared" si="9"/>
        <v>2.9173829285511252</v>
      </c>
    </row>
    <row r="25" spans="2:6" x14ac:dyDescent="0.3">
      <c r="B25" s="36"/>
      <c r="C25" s="43" t="s">
        <v>74</v>
      </c>
      <c r="D25" s="55">
        <f>'7. Output IS'!E36</f>
        <v>173746.24399999989</v>
      </c>
      <c r="E25" s="55">
        <f>'7. Output IS'!F36</f>
        <v>199713.91900000002</v>
      </c>
      <c r="F25" s="55">
        <f>'7. Output IS'!G36</f>
        <v>200442.43499999991</v>
      </c>
    </row>
    <row r="26" spans="2:6" x14ac:dyDescent="0.3">
      <c r="B26" s="36"/>
      <c r="C26" s="43" t="s">
        <v>75</v>
      </c>
      <c r="D26" s="55">
        <f>'7. Output IS'!E37</f>
        <v>80287.596000000005</v>
      </c>
      <c r="E26" s="55">
        <f>'7. Output IS'!F37</f>
        <v>118784.15700000001</v>
      </c>
      <c r="F26" s="55">
        <f>'7. Output IS'!G37</f>
        <v>68706.248000000007</v>
      </c>
    </row>
    <row r="27" spans="2:6" ht="28" x14ac:dyDescent="0.3">
      <c r="B27" s="34">
        <v>9</v>
      </c>
      <c r="C27" s="168" t="s">
        <v>561</v>
      </c>
      <c r="D27" s="172">
        <f>D28/D29</f>
        <v>1.4160266339747576</v>
      </c>
      <c r="E27" s="172">
        <f t="shared" ref="E27:F27" si="10">E28/E29</f>
        <v>1.2305543858213717</v>
      </c>
      <c r="F27" s="172">
        <f t="shared" si="10"/>
        <v>1.713075961372456</v>
      </c>
    </row>
    <row r="28" spans="2:6" ht="28" x14ac:dyDescent="0.3">
      <c r="B28" s="36"/>
      <c r="C28" s="43" t="s">
        <v>374</v>
      </c>
      <c r="D28" s="55">
        <f>'7. Output IS'!E36+'7. Output IS'!E19</f>
        <v>194616.28199999989</v>
      </c>
      <c r="E28" s="55">
        <f>'7. Output IS'!F36+'7. Output IS'!F19</f>
        <v>219104.23600000003</v>
      </c>
      <c r="F28" s="55">
        <f>'7. Output IS'!G36+'7. Output IS'!G19</f>
        <v>213771.41899999991</v>
      </c>
    </row>
    <row r="29" spans="2:6" x14ac:dyDescent="0.3">
      <c r="B29" s="36"/>
      <c r="C29" s="43" t="s">
        <v>375</v>
      </c>
      <c r="D29" s="55">
        <f>'6. Output-BS'!E54+'6. Output-BS'!E55+'7. Output IS'!E37+'6. Output-BS'!E67</f>
        <v>137438.29200000002</v>
      </c>
      <c r="E29" s="55">
        <f>'6. Output-BS'!F54+'6. Output-BS'!F55+'7. Output IS'!F37+'6. Output-BS'!F67</f>
        <v>178053.27300000002</v>
      </c>
      <c r="F29" s="55">
        <f>'6. Output-BS'!G54+'6. Output-BS'!G55+'7. Output IS'!G37+'6. Output-BS'!G67</f>
        <v>124788.05600000001</v>
      </c>
    </row>
    <row r="30" spans="2:6" ht="29.25" customHeight="1" x14ac:dyDescent="0.3">
      <c r="B30" s="34">
        <v>10</v>
      </c>
      <c r="C30" s="170" t="s">
        <v>627</v>
      </c>
      <c r="D30" s="172">
        <f>D32/D31</f>
        <v>3.3545581292940753E-2</v>
      </c>
      <c r="E30" s="172">
        <f>E32/E31</f>
        <v>0.15818206259266279</v>
      </c>
      <c r="F30" s="172">
        <f>F32/F31</f>
        <v>-0.35273652403528238</v>
      </c>
    </row>
    <row r="31" spans="2:6" x14ac:dyDescent="0.3">
      <c r="B31" s="36"/>
      <c r="C31" s="43" t="s">
        <v>553</v>
      </c>
      <c r="D31" s="55">
        <f>D5</f>
        <v>3135167.7910000002</v>
      </c>
      <c r="E31" s="55">
        <f t="shared" ref="E31:F31" si="11">E5</f>
        <v>2518628.0130000003</v>
      </c>
      <c r="F31" s="55">
        <f t="shared" si="11"/>
        <v>2050224.09</v>
      </c>
    </row>
    <row r="32" spans="2:6" x14ac:dyDescent="0.3">
      <c r="B32" s="36"/>
      <c r="C32" s="43" t="s">
        <v>377</v>
      </c>
      <c r="D32" s="55">
        <f>'8. Output CF'!E11</f>
        <v>105171.026</v>
      </c>
      <c r="E32" s="55">
        <f>'8. Output CF'!F11</f>
        <v>398401.77399999998</v>
      </c>
      <c r="F32" s="55">
        <f>'8. Output CF'!G11</f>
        <v>-723188.91899999999</v>
      </c>
    </row>
    <row r="33" spans="2:6" x14ac:dyDescent="0.3">
      <c r="B33" s="34">
        <v>11</v>
      </c>
      <c r="C33" s="170" t="s">
        <v>563</v>
      </c>
      <c r="D33" s="172">
        <f>D34/D35</f>
        <v>0.76522361031669384</v>
      </c>
      <c r="E33" s="172">
        <f t="shared" ref="E33:F33" si="12">E34/E35</f>
        <v>2.2375425471678914</v>
      </c>
      <c r="F33" s="172">
        <f t="shared" si="12"/>
        <v>-5.7953376483403183</v>
      </c>
    </row>
    <row r="34" spans="2:6" x14ac:dyDescent="0.3">
      <c r="B34" s="36"/>
      <c r="C34" s="43" t="s">
        <v>377</v>
      </c>
      <c r="D34" s="55">
        <f>'8. Output CF'!E11</f>
        <v>105171.026</v>
      </c>
      <c r="E34" s="55">
        <f>'8. Output CF'!F11</f>
        <v>398401.77399999998</v>
      </c>
      <c r="F34" s="55">
        <f>'8. Output CF'!G11</f>
        <v>-723188.91899999999</v>
      </c>
    </row>
    <row r="35" spans="2:6" x14ac:dyDescent="0.3">
      <c r="B35" s="36"/>
      <c r="C35" s="43" t="s">
        <v>258</v>
      </c>
      <c r="D35" s="55">
        <f>D29</f>
        <v>137438.29200000002</v>
      </c>
      <c r="E35" s="55">
        <f t="shared" ref="E35:F35" si="13">E29</f>
        <v>178053.27300000002</v>
      </c>
      <c r="F35" s="55">
        <f t="shared" si="13"/>
        <v>124788.05600000001</v>
      </c>
    </row>
    <row r="36" spans="2:6" x14ac:dyDescent="0.3">
      <c r="B36" s="34">
        <v>12</v>
      </c>
      <c r="C36" s="170" t="s">
        <v>564</v>
      </c>
      <c r="D36" s="172">
        <f>D37/D38*360</f>
        <v>823.72780049574567</v>
      </c>
      <c r="E36" s="172">
        <f t="shared" ref="E36:F36" si="14">E37/E38*360</f>
        <v>377.98396074039738</v>
      </c>
      <c r="F36" s="172">
        <f t="shared" si="14"/>
        <v>502.1363160286856</v>
      </c>
    </row>
    <row r="37" spans="2:6" x14ac:dyDescent="0.3">
      <c r="B37" s="36"/>
      <c r="C37" s="43" t="s">
        <v>259</v>
      </c>
      <c r="D37" s="55">
        <f>'6. Output-BS'!E12</f>
        <v>2716117.68</v>
      </c>
      <c r="E37" s="55">
        <f>'6. Output-BS'!F12</f>
        <v>1547239.4210000001</v>
      </c>
      <c r="F37" s="55">
        <f>'6. Output-BS'!G12</f>
        <v>1596103.7309999999</v>
      </c>
    </row>
    <row r="38" spans="2:6" x14ac:dyDescent="0.3">
      <c r="B38" s="36"/>
      <c r="C38" s="43" t="s">
        <v>378</v>
      </c>
      <c r="D38" s="55">
        <f>'7. Output IS'!E14</f>
        <v>1187045.483</v>
      </c>
      <c r="E38" s="55">
        <f>'7. Output IS'!F14</f>
        <v>1473623.882</v>
      </c>
      <c r="F38" s="55">
        <f>'7. Output IS'!G14</f>
        <v>1144305.49</v>
      </c>
    </row>
    <row r="39" spans="2:6" ht="28" x14ac:dyDescent="0.3">
      <c r="B39" s="34">
        <v>13</v>
      </c>
      <c r="C39" s="170" t="s">
        <v>565</v>
      </c>
      <c r="D39" s="172">
        <f>(D40/D41)*360</f>
        <v>89.219451744334833</v>
      </c>
      <c r="E39" s="172">
        <f t="shared" ref="E39:F39" si="15">(E40/E41)*360</f>
        <v>195.71035183586721</v>
      </c>
      <c r="F39" s="172">
        <f t="shared" si="15"/>
        <v>131.32813839986324</v>
      </c>
    </row>
    <row r="40" spans="2:6" x14ac:dyDescent="0.3">
      <c r="B40" s="36"/>
      <c r="C40" s="43" t="s">
        <v>380</v>
      </c>
      <c r="D40" s="55">
        <f>'6. Output-BS'!E13</f>
        <v>350127.00699999998</v>
      </c>
      <c r="E40" s="55">
        <f>'6. Output-BS'!F13</f>
        <v>943794.92500000005</v>
      </c>
      <c r="F40" s="55">
        <f>'6. Output-BS'!G13</f>
        <v>509309.24300000002</v>
      </c>
    </row>
    <row r="41" spans="2:6" x14ac:dyDescent="0.3">
      <c r="B41" s="36"/>
      <c r="C41" s="43" t="s">
        <v>381</v>
      </c>
      <c r="D41" s="55">
        <f>'7. Output IS'!E13</f>
        <v>1412760.5589999999</v>
      </c>
      <c r="E41" s="55">
        <f>'7. Output IS'!F13</f>
        <v>1736066.436</v>
      </c>
      <c r="F41" s="55">
        <f>'7. Output IS'!G13</f>
        <v>1396131.3219999999</v>
      </c>
    </row>
    <row r="42" spans="2:6" x14ac:dyDescent="0.3">
      <c r="B42" s="34">
        <v>14</v>
      </c>
      <c r="C42" s="170" t="s">
        <v>566</v>
      </c>
      <c r="D42" s="56">
        <f>D43/D44</f>
        <v>0.35386478561776608</v>
      </c>
      <c r="E42" s="56">
        <f t="shared" ref="E42:F42" si="16">E43/E44</f>
        <v>0.5107085263701161</v>
      </c>
      <c r="F42" s="56">
        <f t="shared" si="16"/>
        <v>0.48302110295795331</v>
      </c>
    </row>
    <row r="43" spans="2:6" x14ac:dyDescent="0.3">
      <c r="B43" s="36"/>
      <c r="C43" s="43" t="s">
        <v>381</v>
      </c>
      <c r="D43" s="55">
        <f>D41</f>
        <v>1412760.5589999999</v>
      </c>
      <c r="E43" s="55">
        <f t="shared" ref="E43:F43" si="17">E41</f>
        <v>1736066.436</v>
      </c>
      <c r="F43" s="55">
        <f t="shared" si="17"/>
        <v>1396131.3219999999</v>
      </c>
    </row>
    <row r="44" spans="2:6" x14ac:dyDescent="0.3">
      <c r="B44" s="36"/>
      <c r="C44" s="43" t="s">
        <v>73</v>
      </c>
      <c r="D44" s="55">
        <f>D20</f>
        <v>3992373.9700000007</v>
      </c>
      <c r="E44" s="55">
        <f t="shared" ref="E44:F44" si="18">E20</f>
        <v>3399329.2579999999</v>
      </c>
      <c r="F44" s="55">
        <f t="shared" si="18"/>
        <v>2890414.7529999996</v>
      </c>
    </row>
    <row r="45" spans="2:6" ht="28" x14ac:dyDescent="0.3">
      <c r="B45" s="34">
        <v>15</v>
      </c>
      <c r="C45" s="170" t="s">
        <v>567</v>
      </c>
      <c r="D45" s="56">
        <f>D46/D47</f>
        <v>7.4443631180108563E-2</v>
      </c>
      <c r="E45" s="56">
        <f t="shared" ref="E45:F45" si="19">E46/E47</f>
        <v>0.22948532713871325</v>
      </c>
      <c r="F45" s="56">
        <f t="shared" si="19"/>
        <v>-0.51799491036703493</v>
      </c>
    </row>
    <row r="46" spans="2:6" x14ac:dyDescent="0.3">
      <c r="B46" s="36"/>
      <c r="C46" s="43" t="s">
        <v>383</v>
      </c>
      <c r="D46" s="55">
        <f>D34</f>
        <v>105171.026</v>
      </c>
      <c r="E46" s="55">
        <f t="shared" ref="E46:F46" si="20">E34</f>
        <v>398401.77399999998</v>
      </c>
      <c r="F46" s="55">
        <f t="shared" si="20"/>
        <v>-723188.91899999999</v>
      </c>
    </row>
    <row r="47" spans="2:6" x14ac:dyDescent="0.3">
      <c r="B47" s="36"/>
      <c r="C47" s="43" t="s">
        <v>381</v>
      </c>
      <c r="D47" s="55">
        <f>D41</f>
        <v>1412760.5589999999</v>
      </c>
      <c r="E47" s="55">
        <f t="shared" ref="E47:F47" si="21">E41</f>
        <v>1736066.436</v>
      </c>
      <c r="F47" s="55">
        <f t="shared" si="21"/>
        <v>1396131.3219999999</v>
      </c>
    </row>
    <row r="48" spans="2:6" ht="28" x14ac:dyDescent="0.3">
      <c r="B48" s="34">
        <v>16</v>
      </c>
      <c r="C48" s="170" t="s">
        <v>568</v>
      </c>
      <c r="D48" s="54">
        <f>D52/D53</f>
        <v>7.7292884750961464E-3</v>
      </c>
      <c r="E48" s="54">
        <f t="shared" ref="E48:F48" si="22">E52/E53</f>
        <v>-5.2661093278932897E-2</v>
      </c>
      <c r="F48" s="54">
        <f t="shared" si="22"/>
        <v>0.33907810298716123</v>
      </c>
    </row>
    <row r="49" spans="2:6" x14ac:dyDescent="0.3">
      <c r="B49" s="33"/>
      <c r="C49" s="41" t="s">
        <v>126</v>
      </c>
      <c r="D49" s="52">
        <f>'6. Output-BS'!E49-'9. Inputs-Analysis'!D12</f>
        <v>3973532.6480000005</v>
      </c>
      <c r="E49" s="52">
        <f>'6. Output-BS'!F49-'9. Inputs-Analysis'!E12</f>
        <v>3362377.9339999999</v>
      </c>
      <c r="F49" s="52">
        <f>'6. Output-BS'!G49-'9. Inputs-Analysis'!F12</f>
        <v>2873005.0499999993</v>
      </c>
    </row>
    <row r="50" spans="2:6" x14ac:dyDescent="0.3">
      <c r="B50" s="33"/>
      <c r="C50" s="41" t="s">
        <v>127</v>
      </c>
      <c r="D50" s="52">
        <f>'6. Output-BS'!E84-'6. Output-BS'!E78-'6. Output-BS'!E52-'6. Output-BS'!E53-'6. Output-BS'!E54-'6. Output-BS'!E55</f>
        <v>187139.62000000058</v>
      </c>
      <c r="E50" s="52">
        <f>'6. Output-BS'!F84-'6. Output-BS'!F78-'6. Output-BS'!F52-'6. Output-BS'!F53-'6. Output-BS'!F54-'6. Output-BS'!F55</f>
        <v>276096.1019999999</v>
      </c>
      <c r="F50" s="52">
        <f>'6. Output-BS'!G84-'6. Output-BS'!G78-'6. Output-BS'!G52-'6. Output-BS'!G53-'6. Output-BS'!G54-'6. Output-BS'!G55</f>
        <v>357241.72599999997</v>
      </c>
    </row>
    <row r="51" spans="2:6" x14ac:dyDescent="0.3">
      <c r="B51" s="35"/>
      <c r="C51" s="44" t="s">
        <v>94</v>
      </c>
      <c r="D51" s="57">
        <f>D49-D50</f>
        <v>3786393.0279999999</v>
      </c>
      <c r="E51" s="57">
        <f t="shared" ref="E51:F51" si="23">E49-E50</f>
        <v>3086281.8319999999</v>
      </c>
      <c r="F51" s="57">
        <f t="shared" si="23"/>
        <v>2515763.3239999996</v>
      </c>
    </row>
    <row r="52" spans="2:6" x14ac:dyDescent="0.3">
      <c r="B52" s="33"/>
      <c r="C52" s="469" t="s">
        <v>983</v>
      </c>
      <c r="D52" s="53">
        <f>'7. Output IS'!E43-'8. Output CF'!E11-'8. Output CF'!E12</f>
        <v>29338.938999999889</v>
      </c>
      <c r="E52" s="53">
        <f>'7. Output IS'!F43-'8. Output CF'!F11-'8. Output CF'!F12</f>
        <v>-163499.92399999994</v>
      </c>
      <c r="F52" s="53">
        <f>'7. Output IS'!G43-'8. Output CF'!G11-'8. Output CF'!G12</f>
        <v>855991.88</v>
      </c>
    </row>
    <row r="53" spans="2:6" x14ac:dyDescent="0.3">
      <c r="B53" s="33"/>
      <c r="C53" s="44" t="s">
        <v>78</v>
      </c>
      <c r="D53" s="57">
        <f>AVERAGE(D54:D55)</f>
        <v>3795813.6890000002</v>
      </c>
      <c r="E53" s="57">
        <f t="shared" ref="E53:F53" si="24">AVERAGE(E54:E55)</f>
        <v>3104757.4939999999</v>
      </c>
      <c r="F53" s="57">
        <f t="shared" si="24"/>
        <v>2524468.1754999999</v>
      </c>
    </row>
    <row r="54" spans="2:6" x14ac:dyDescent="0.3">
      <c r="B54" s="33"/>
      <c r="C54" s="44" t="s">
        <v>94</v>
      </c>
      <c r="D54" s="57">
        <f>D49-D50</f>
        <v>3786393.0279999999</v>
      </c>
      <c r="E54" s="57">
        <f t="shared" ref="E54:F54" si="25">E49-E50</f>
        <v>3086281.8319999999</v>
      </c>
      <c r="F54" s="57">
        <f t="shared" si="25"/>
        <v>2515763.3239999996</v>
      </c>
    </row>
    <row r="55" spans="2:6" x14ac:dyDescent="0.3">
      <c r="B55" s="33"/>
      <c r="C55" s="44" t="s">
        <v>93</v>
      </c>
      <c r="D55" s="57">
        <f>D56-D57</f>
        <v>3805234.35</v>
      </c>
      <c r="E55" s="57">
        <f t="shared" ref="E55:F55" si="26">E56-E57</f>
        <v>3123233.156</v>
      </c>
      <c r="F55" s="57">
        <f t="shared" si="26"/>
        <v>2533173.0269999998</v>
      </c>
    </row>
    <row r="56" spans="2:6" x14ac:dyDescent="0.3">
      <c r="B56" s="33"/>
      <c r="C56" s="41" t="s">
        <v>385</v>
      </c>
      <c r="D56" s="53">
        <f>'6. Output-BS'!E49-'6. Output-BS'!E44-'6. Output-BS'!E46</f>
        <v>3992373.9700000007</v>
      </c>
      <c r="E56" s="53">
        <f>'6. Output-BS'!F49-'6. Output-BS'!F44-'6. Output-BS'!F46</f>
        <v>3399329.2579999999</v>
      </c>
      <c r="F56" s="53">
        <f>'6. Output-BS'!G49-'6. Output-BS'!G44-'6. Output-BS'!G46</f>
        <v>2890414.7529999996</v>
      </c>
    </row>
    <row r="57" spans="2:6" x14ac:dyDescent="0.3">
      <c r="B57" s="33"/>
      <c r="C57" s="41" t="s">
        <v>386</v>
      </c>
      <c r="D57" s="53">
        <f>'6. Output-BS'!E84-'6. Output-BS'!E78-'6. Output-BS'!E52-'6. Output-BS'!E53-'6. Output-BS'!E54-'6. Output-BS'!E55</f>
        <v>187139.62000000058</v>
      </c>
      <c r="E57" s="53">
        <f>'6. Output-BS'!F84-'6. Output-BS'!F78-'6. Output-BS'!F52-'6. Output-BS'!F53-'6. Output-BS'!F54-'6. Output-BS'!F55</f>
        <v>276096.1019999999</v>
      </c>
      <c r="F57" s="53">
        <f>'6. Output-BS'!G84-'6. Output-BS'!G78-'6. Output-BS'!G52-'6. Output-BS'!G53-'6. Output-BS'!G54-'6. Output-BS'!G55</f>
        <v>357241.72599999997</v>
      </c>
    </row>
  </sheetData>
  <sheetProtection password="C527" sheet="1" objects="1" scenarios="1" selectLockedCells="1" selectUnlockedCells="1"/>
  <mergeCells count="2">
    <mergeCell ref="C1:F1"/>
    <mergeCell ref="B2:F2"/>
  </mergeCells>
  <pageMargins left="0.25" right="0.25" top="0.75" bottom="0.75" header="0.3" footer="0.3"/>
  <pageSetup scale="80" orientation="portrait" r:id="rId1"/>
  <headerFooter>
    <oddHeader>&amp;C&amp;"+,Bold"&amp;18Internal Credit Risk Scoring System(Ratio Analysis)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B247"/>
  <sheetViews>
    <sheetView topLeftCell="A2" zoomScaleSheetLayoutView="100" workbookViewId="0">
      <selection activeCell="D42" sqref="D42"/>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39" width="9.1796875" style="781"/>
    <col min="40" max="16384" width="9.1796875" style="20"/>
  </cols>
  <sheetData>
    <row r="1" spans="1:106" ht="35.25" hidden="1" customHeight="1" thickBot="1" x14ac:dyDescent="0.35">
      <c r="A1" s="1015" t="s">
        <v>125</v>
      </c>
      <c r="B1" s="1016"/>
      <c r="C1" s="1016"/>
      <c r="D1" s="1016"/>
      <c r="E1" s="1017"/>
    </row>
    <row r="2" spans="1:106" ht="28.5" customHeight="1" thickBot="1" x14ac:dyDescent="0.35">
      <c r="A2" s="1018" t="s">
        <v>1002</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781" t="s">
        <v>216</v>
      </c>
      <c r="T6" s="782">
        <f>C55</f>
        <v>0.36666666666666664</v>
      </c>
      <c r="U6" s="782">
        <f>1-T6</f>
        <v>0.6333333333333333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781"/>
      <c r="G16" s="781"/>
      <c r="H16" s="781"/>
      <c r="I16" s="781"/>
      <c r="J16" s="781"/>
      <c r="K16" s="781"/>
      <c r="L16" s="781"/>
      <c r="M16" s="781"/>
      <c r="N16" s="781"/>
      <c r="O16" s="781"/>
      <c r="P16" s="781"/>
      <c r="Q16" s="781"/>
      <c r="R16" s="781"/>
      <c r="S16" s="781"/>
      <c r="T16" s="781"/>
      <c r="U16" s="781"/>
      <c r="V16" s="781"/>
      <c r="W16" s="781"/>
      <c r="X16" s="781"/>
      <c r="Y16" s="781"/>
      <c r="Z16" s="781"/>
      <c r="AA16" s="781"/>
      <c r="AB16" s="781"/>
      <c r="AC16" s="781"/>
      <c r="AD16" s="781"/>
      <c r="AE16" s="781"/>
      <c r="AF16" s="781"/>
      <c r="AG16" s="781"/>
      <c r="AH16" s="781"/>
      <c r="AI16" s="781"/>
      <c r="AJ16" s="781"/>
      <c r="AK16" s="781"/>
      <c r="AL16" s="781"/>
      <c r="AM16" s="781"/>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106" ht="30.75" customHeight="1" x14ac:dyDescent="0.3">
      <c r="A17" s="361" t="s">
        <v>268</v>
      </c>
      <c r="B17" s="362" t="s">
        <v>225</v>
      </c>
      <c r="C17" s="362" t="s">
        <v>267</v>
      </c>
      <c r="D17" s="362" t="s">
        <v>226</v>
      </c>
      <c r="E17" s="363" t="s">
        <v>227</v>
      </c>
    </row>
    <row r="18" spans="1:106" ht="16.5" customHeight="1" x14ac:dyDescent="0.3">
      <c r="A18" s="364" t="s">
        <v>441</v>
      </c>
      <c r="B18" s="365"/>
      <c r="C18" s="365">
        <v>10</v>
      </c>
      <c r="D18" s="365"/>
      <c r="E18" s="775">
        <f>E19+E21</f>
        <v>1</v>
      </c>
    </row>
    <row r="19" spans="1:106" ht="28" x14ac:dyDescent="0.3">
      <c r="A19" s="367" t="str">
        <f>'11. Detail Managment Report'!C18</f>
        <v>1. Financial Debt to Tangible Net Worth (DTN)</v>
      </c>
      <c r="B19" s="368"/>
      <c r="C19" s="368">
        <v>7</v>
      </c>
      <c r="D19" s="369">
        <f>'9. Inputs-Analysis'!D4</f>
        <v>3.9252586061418495</v>
      </c>
      <c r="E19" s="768">
        <f>'11. Detail Managment Report'!E18</f>
        <v>0</v>
      </c>
    </row>
    <row r="20" spans="1:106" ht="6" customHeight="1" x14ac:dyDescent="0.3">
      <c r="A20" s="371"/>
      <c r="B20" s="368"/>
      <c r="C20" s="368"/>
      <c r="D20" s="372"/>
      <c r="E20" s="373"/>
    </row>
    <row r="21" spans="1:106" x14ac:dyDescent="0.3">
      <c r="A21" s="367" t="str">
        <f>'11. Detail Managment Report'!C19</f>
        <v>2. Financial Debt to Total Assets (DTA)</v>
      </c>
      <c r="B21" s="368"/>
      <c r="C21" s="368">
        <v>3</v>
      </c>
      <c r="D21" s="369">
        <f>'9. Inputs-Analysis'!D7</f>
        <v>0.78528910732277912</v>
      </c>
      <c r="E21" s="769">
        <f>'11. Detail Managment Report'!E19</f>
        <v>1</v>
      </c>
    </row>
    <row r="22" spans="1:106" ht="3.75" customHeight="1" x14ac:dyDescent="0.3">
      <c r="A22" s="376"/>
      <c r="B22" s="368"/>
      <c r="C22" s="368"/>
      <c r="D22" s="372"/>
      <c r="E22" s="375"/>
    </row>
    <row r="23" spans="1:106" s="174" customFormat="1" x14ac:dyDescent="0.3">
      <c r="A23" s="364" t="s">
        <v>442</v>
      </c>
      <c r="B23" s="377"/>
      <c r="C23" s="398">
        <v>10</v>
      </c>
      <c r="D23" s="377"/>
      <c r="E23" s="378">
        <f>E24+E26</f>
        <v>5</v>
      </c>
      <c r="F23" s="781"/>
      <c r="G23" s="781"/>
      <c r="H23" s="781"/>
      <c r="I23" s="781"/>
      <c r="J23" s="781"/>
      <c r="K23" s="781"/>
      <c r="L23" s="781"/>
      <c r="M23" s="781"/>
      <c r="N23" s="781"/>
      <c r="O23" s="781"/>
      <c r="P23" s="781"/>
      <c r="Q23" s="781"/>
      <c r="R23" s="781"/>
      <c r="S23" s="781"/>
      <c r="T23" s="781"/>
      <c r="U23" s="781"/>
      <c r="V23" s="781"/>
      <c r="W23" s="781"/>
      <c r="X23" s="781"/>
      <c r="Y23" s="781"/>
      <c r="Z23" s="781"/>
      <c r="AA23" s="781"/>
      <c r="AB23" s="781"/>
      <c r="AC23" s="781"/>
      <c r="AD23" s="781"/>
      <c r="AE23" s="781"/>
      <c r="AF23" s="781"/>
      <c r="AG23" s="781"/>
      <c r="AH23" s="781"/>
      <c r="AI23" s="781"/>
      <c r="AJ23" s="781"/>
      <c r="AK23" s="781"/>
      <c r="AL23" s="781"/>
      <c r="AM23" s="781"/>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row>
    <row r="24" spans="1:106" ht="25.5" customHeight="1" x14ac:dyDescent="0.3">
      <c r="A24" s="367" t="str">
        <f>'11. Detail Managment Report'!C21</f>
        <v>1. Current Ratio (CR)</v>
      </c>
      <c r="B24" s="368"/>
      <c r="C24" s="368">
        <v>7</v>
      </c>
      <c r="D24" s="369">
        <f>'9. Inputs-Analysis'!D11</f>
        <v>1.040552151554528</v>
      </c>
      <c r="E24" s="768">
        <f>'11. Detail Managment Report'!E21</f>
        <v>5</v>
      </c>
    </row>
    <row r="25" spans="1:106" ht="4.5" customHeight="1" x14ac:dyDescent="0.3">
      <c r="A25" s="376"/>
      <c r="B25" s="368"/>
      <c r="C25" s="368"/>
      <c r="D25" s="372"/>
      <c r="E25" s="373"/>
    </row>
    <row r="26" spans="1:106" x14ac:dyDescent="0.3">
      <c r="A26" s="367" t="str">
        <f>'11. Detail Managment Report'!C22</f>
        <v>2. Cash Ratio (Cash)</v>
      </c>
      <c r="B26" s="368"/>
      <c r="C26" s="368">
        <v>3</v>
      </c>
      <c r="D26" s="369">
        <f>'9. Inputs-Analysis'!D10</f>
        <v>6.1472340974284764E-3</v>
      </c>
      <c r="E26" s="769">
        <f>'11. Detail Managment Report'!E22</f>
        <v>0</v>
      </c>
    </row>
    <row r="27" spans="1:106" ht="4.5" customHeight="1" x14ac:dyDescent="0.3">
      <c r="A27" s="367"/>
      <c r="B27" s="380"/>
      <c r="C27" s="368"/>
      <c r="D27" s="372"/>
      <c r="E27" s="375"/>
    </row>
    <row r="28" spans="1:106" s="174" customFormat="1" ht="15" customHeight="1" x14ac:dyDescent="0.3">
      <c r="A28" s="381" t="s">
        <v>443</v>
      </c>
      <c r="B28" s="382"/>
      <c r="C28" s="382">
        <v>10</v>
      </c>
      <c r="D28" s="382"/>
      <c r="E28" s="383">
        <f>E29+E31+E33</f>
        <v>5</v>
      </c>
      <c r="F28" s="781"/>
      <c r="G28" s="781"/>
      <c r="H28" s="781"/>
      <c r="I28" s="781"/>
      <c r="J28" s="781"/>
      <c r="K28" s="781"/>
      <c r="L28" s="781"/>
      <c r="M28" s="781"/>
      <c r="N28" s="781"/>
      <c r="O28" s="781"/>
      <c r="P28" s="781"/>
      <c r="Q28" s="781"/>
      <c r="R28" s="781"/>
      <c r="S28" s="781"/>
      <c r="T28" s="781"/>
      <c r="U28" s="781"/>
      <c r="V28" s="781"/>
      <c r="W28" s="781"/>
      <c r="X28" s="781"/>
      <c r="Y28" s="781"/>
      <c r="Z28" s="781"/>
      <c r="AA28" s="781"/>
      <c r="AB28" s="781"/>
      <c r="AC28" s="781"/>
      <c r="AD28" s="781"/>
      <c r="AE28" s="781"/>
      <c r="AF28" s="781"/>
      <c r="AG28" s="781"/>
      <c r="AH28" s="781"/>
      <c r="AI28" s="781"/>
      <c r="AJ28" s="781"/>
      <c r="AK28" s="781"/>
      <c r="AL28" s="781"/>
      <c r="AM28" s="781"/>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row>
    <row r="29" spans="1:106" x14ac:dyDescent="0.3">
      <c r="A29" s="367" t="str">
        <f>'11. Detail Managment Report'!C24</f>
        <v>1. Net Profit Margin (NPM)</v>
      </c>
      <c r="B29" s="368"/>
      <c r="C29" s="368">
        <v>5</v>
      </c>
      <c r="D29" s="384">
        <f>'9. Inputs-Analysis'!D15</f>
        <v>5.4896988386267581E-2</v>
      </c>
      <c r="E29" s="770">
        <f>'11. Detail Managment Report'!E24</f>
        <v>3</v>
      </c>
    </row>
    <row r="30" spans="1:106" ht="3.75" customHeight="1" x14ac:dyDescent="0.3">
      <c r="A30" s="386"/>
      <c r="B30" s="368"/>
      <c r="C30" s="368"/>
      <c r="D30" s="372"/>
      <c r="E30" s="388"/>
    </row>
    <row r="31" spans="1:106" x14ac:dyDescent="0.3">
      <c r="A31" s="367" t="str">
        <f>'11. Detail Managment Report'!C25</f>
        <v>2. Return on Assets (ROA)</v>
      </c>
      <c r="B31" s="368"/>
      <c r="C31" s="368">
        <v>3</v>
      </c>
      <c r="D31" s="384">
        <f>'9. Inputs-Analysis'!D18</f>
        <v>1.9426111026367571E-2</v>
      </c>
      <c r="E31" s="771">
        <f>'11. Detail Managment Report'!E25</f>
        <v>1</v>
      </c>
    </row>
    <row r="32" spans="1:106" ht="3.75" customHeight="1" x14ac:dyDescent="0.3">
      <c r="A32" s="386"/>
      <c r="B32" s="368"/>
      <c r="C32" s="368"/>
      <c r="D32" s="372"/>
      <c r="E32" s="390"/>
    </row>
    <row r="33" spans="1:106" ht="28" x14ac:dyDescent="0.3">
      <c r="A33" s="391" t="str">
        <f>'11. Detail Managment Report'!C26</f>
        <v>3. Operating Profit to Operating Assets (OPOA)</v>
      </c>
      <c r="B33" s="368"/>
      <c r="C33" s="368">
        <v>2</v>
      </c>
      <c r="D33" s="392">
        <f>'9. Inputs-Analysis'!D21</f>
        <v>4.652054000911502E-2</v>
      </c>
      <c r="E33" s="771">
        <f>'11. Detail Managment Report'!E26</f>
        <v>1</v>
      </c>
    </row>
    <row r="34" spans="1:106" ht="4.5" customHeight="1" x14ac:dyDescent="0.3">
      <c r="A34" s="376"/>
      <c r="B34" s="368"/>
      <c r="C34" s="368"/>
      <c r="D34" s="372"/>
      <c r="E34" s="390"/>
    </row>
    <row r="35" spans="1:106" s="174" customFormat="1" x14ac:dyDescent="0.3">
      <c r="A35" s="364" t="s">
        <v>444</v>
      </c>
      <c r="B35" s="365"/>
      <c r="C35" s="365">
        <v>15</v>
      </c>
      <c r="D35" s="365"/>
      <c r="E35" s="366">
        <f>E36+E38+E40+E42</f>
        <v>6</v>
      </c>
      <c r="F35" s="781"/>
      <c r="G35" s="781"/>
      <c r="H35" s="781"/>
      <c r="I35" s="781"/>
      <c r="J35" s="781"/>
      <c r="K35" s="781"/>
      <c r="L35" s="781"/>
      <c r="M35" s="781"/>
      <c r="N35" s="781"/>
      <c r="O35" s="781"/>
      <c r="P35" s="781"/>
      <c r="Q35" s="781"/>
      <c r="R35" s="781"/>
      <c r="S35" s="781"/>
      <c r="T35" s="781"/>
      <c r="U35" s="781"/>
      <c r="V35" s="781"/>
      <c r="W35" s="781"/>
      <c r="X35" s="781"/>
      <c r="Y35" s="781"/>
      <c r="Z35" s="781"/>
      <c r="AA35" s="781"/>
      <c r="AB35" s="781"/>
      <c r="AC35" s="781"/>
      <c r="AD35" s="781"/>
      <c r="AE35" s="781"/>
      <c r="AF35" s="781"/>
      <c r="AG35" s="781"/>
      <c r="AH35" s="781"/>
      <c r="AI35" s="781"/>
      <c r="AJ35" s="781"/>
      <c r="AK35" s="781"/>
      <c r="AL35" s="781"/>
      <c r="AM35" s="781"/>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row>
    <row r="36" spans="1:106" x14ac:dyDescent="0.3">
      <c r="A36" s="367" t="str">
        <f>'11. Detail Managment Report'!C28</f>
        <v>1. Interest Coverage (IC)</v>
      </c>
      <c r="B36" s="368"/>
      <c r="C36" s="368">
        <v>3</v>
      </c>
      <c r="D36" s="369">
        <f>'9. Inputs-Analysis'!D24</f>
        <v>2.1640484041893577</v>
      </c>
      <c r="E36" s="768">
        <f>'11. Detail Managment Report'!E28</f>
        <v>1</v>
      </c>
    </row>
    <row r="37" spans="1:106" ht="4.5" customHeight="1" x14ac:dyDescent="0.3">
      <c r="A37" s="376"/>
      <c r="B37" s="368"/>
      <c r="C37" s="368"/>
      <c r="D37" s="372"/>
      <c r="E37" s="373"/>
    </row>
    <row r="38" spans="1:106" x14ac:dyDescent="0.3">
      <c r="A38" s="367" t="str">
        <f>'11. Detail Managment Report'!C29</f>
        <v>2. Debt Service Coverage Ratio (DSCR)</v>
      </c>
      <c r="B38" s="368"/>
      <c r="C38" s="368">
        <v>5</v>
      </c>
      <c r="D38" s="369">
        <f>'9. Inputs-Analysis'!D27</f>
        <v>1.4160266339747576</v>
      </c>
      <c r="E38" s="769">
        <f>'11. Detail Managment Report'!E29</f>
        <v>2</v>
      </c>
    </row>
    <row r="39" spans="1:106" ht="5.25" customHeight="1" x14ac:dyDescent="0.3">
      <c r="A39" s="376"/>
      <c r="B39" s="368"/>
      <c r="C39" s="368"/>
      <c r="D39" s="372"/>
      <c r="E39" s="375"/>
    </row>
    <row r="40" spans="1:106" ht="28" x14ac:dyDescent="0.3">
      <c r="A40" s="367" t="str">
        <f>'11. Detail Managment Report'!C30</f>
        <v>3. Operating Cashflow to Debt Ratio (CDR)</v>
      </c>
      <c r="B40" s="368"/>
      <c r="C40" s="368">
        <v>4</v>
      </c>
      <c r="D40" s="369">
        <f>'9. Inputs-Analysis'!D30</f>
        <v>3.3545581292940753E-2</v>
      </c>
      <c r="E40" s="769">
        <f>'11. Detail Managment Report'!E30</f>
        <v>1</v>
      </c>
    </row>
    <row r="41" spans="1:106" ht="5.25" customHeight="1" x14ac:dyDescent="0.3">
      <c r="A41" s="376"/>
      <c r="B41" s="368"/>
      <c r="C41" s="368"/>
      <c r="D41" s="372"/>
      <c r="E41" s="375"/>
    </row>
    <row r="42" spans="1:106" ht="19.5" customHeight="1" x14ac:dyDescent="0.3">
      <c r="A42" s="367" t="str">
        <f>'11. Detail Managment Report'!C31</f>
        <v>4. Cashflow Coverage Ratio (CCR)</v>
      </c>
      <c r="B42" s="414"/>
      <c r="C42" s="368">
        <v>3</v>
      </c>
      <c r="D42" s="777">
        <f>'9. Inputs-Analysis'!D33</f>
        <v>0.76522361031669384</v>
      </c>
      <c r="E42" s="769">
        <f>'11. Detail Managment Report'!E31</f>
        <v>2</v>
      </c>
    </row>
    <row r="43" spans="1:106" ht="5.25" customHeight="1" x14ac:dyDescent="0.3">
      <c r="A43" s="367"/>
      <c r="B43" s="368"/>
      <c r="C43" s="368"/>
      <c r="D43" s="372"/>
      <c r="E43" s="375"/>
    </row>
    <row r="44" spans="1:106" s="174" customFormat="1" x14ac:dyDescent="0.3">
      <c r="A44" s="364" t="s">
        <v>445</v>
      </c>
      <c r="B44" s="365"/>
      <c r="C44" s="365">
        <v>10</v>
      </c>
      <c r="D44" s="365"/>
      <c r="E44" s="366">
        <f>E45+E47+E49</f>
        <v>3</v>
      </c>
      <c r="F44" s="781"/>
      <c r="G44" s="781"/>
      <c r="H44" s="781"/>
      <c r="I44" s="781"/>
      <c r="J44" s="781"/>
      <c r="K44" s="781"/>
      <c r="L44" s="781"/>
      <c r="M44" s="781"/>
      <c r="N44" s="781"/>
      <c r="O44" s="781"/>
      <c r="P44" s="781"/>
      <c r="Q44" s="781"/>
      <c r="R44" s="781"/>
      <c r="S44" s="781"/>
      <c r="T44" s="781"/>
      <c r="U44" s="781"/>
      <c r="V44" s="781"/>
      <c r="W44" s="781"/>
      <c r="X44" s="781"/>
      <c r="Y44" s="781"/>
      <c r="Z44" s="781"/>
      <c r="AA44" s="781"/>
      <c r="AB44" s="781"/>
      <c r="AC44" s="781"/>
      <c r="AD44" s="781"/>
      <c r="AE44" s="781"/>
      <c r="AF44" s="781"/>
      <c r="AG44" s="781"/>
      <c r="AH44" s="781"/>
      <c r="AI44" s="781"/>
      <c r="AJ44" s="781"/>
      <c r="AK44" s="781"/>
      <c r="AL44" s="781"/>
      <c r="AM44" s="781"/>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row>
    <row r="45" spans="1:106" x14ac:dyDescent="0.3">
      <c r="A45" s="367" t="str">
        <f>'11. Detail Managment Report'!C33</f>
        <v>1. Stock Turnover Days (STD)</v>
      </c>
      <c r="B45" s="368"/>
      <c r="C45" s="368"/>
      <c r="D45" s="395">
        <f>'9. Inputs-Analysis'!D36</f>
        <v>823.72780049574567</v>
      </c>
      <c r="E45" s="770">
        <f>'11. Detail Managment Report'!E33</f>
        <v>0</v>
      </c>
    </row>
    <row r="46" spans="1:106" x14ac:dyDescent="0.3">
      <c r="A46" s="376"/>
      <c r="B46" s="368"/>
      <c r="C46" s="368"/>
      <c r="D46" s="372"/>
      <c r="E46" s="388"/>
    </row>
    <row r="47" spans="1:106" ht="28" x14ac:dyDescent="0.3">
      <c r="A47" s="367" t="str">
        <f>'11. Detail Managment Report'!C34</f>
        <v>2. Trade Debtor Collection Days (TDCD)</v>
      </c>
      <c r="B47" s="368"/>
      <c r="C47" s="368"/>
      <c r="D47" s="395">
        <f>'9. Inputs-Analysis'!D39</f>
        <v>89.219451744334833</v>
      </c>
      <c r="E47" s="771">
        <f>'11. Detail Managment Report'!E34</f>
        <v>2</v>
      </c>
    </row>
    <row r="48" spans="1:106" ht="4.5" customHeight="1" x14ac:dyDescent="0.3">
      <c r="A48" s="376"/>
      <c r="B48" s="368"/>
      <c r="C48" s="368"/>
      <c r="D48" s="372"/>
      <c r="E48" s="390"/>
    </row>
    <row r="49" spans="1:106" x14ac:dyDescent="0.3">
      <c r="A49" s="367" t="str">
        <f>'11. Detail Managment Report'!C35</f>
        <v>3. Asset Turnover (AT)</v>
      </c>
      <c r="B49" s="368"/>
      <c r="C49" s="368"/>
      <c r="D49" s="384">
        <f>'9. Inputs-Analysis'!D42</f>
        <v>0.35386478561776608</v>
      </c>
      <c r="E49" s="771">
        <f>'11. Detail Managment Report'!E35</f>
        <v>1</v>
      </c>
    </row>
    <row r="50" spans="1:106" s="174" customFormat="1" x14ac:dyDescent="0.3">
      <c r="A50" s="364" t="s">
        <v>446</v>
      </c>
      <c r="B50" s="365"/>
      <c r="C50" s="365">
        <v>5</v>
      </c>
      <c r="D50" s="365"/>
      <c r="E50" s="366">
        <f>E51+E53</f>
        <v>2</v>
      </c>
      <c r="F50" s="781"/>
      <c r="G50" s="781"/>
      <c r="H50" s="781"/>
      <c r="I50" s="781"/>
      <c r="J50" s="781"/>
      <c r="K50" s="781"/>
      <c r="L50" s="781"/>
      <c r="M50" s="781"/>
      <c r="N50" s="781"/>
      <c r="O50" s="781"/>
      <c r="P50" s="781"/>
      <c r="Q50" s="781"/>
      <c r="R50" s="781"/>
      <c r="S50" s="781"/>
      <c r="T50" s="781"/>
      <c r="U50" s="781"/>
      <c r="V50" s="781"/>
      <c r="W50" s="781"/>
      <c r="X50" s="781"/>
      <c r="Y50" s="781"/>
      <c r="Z50" s="781"/>
      <c r="AA50" s="781"/>
      <c r="AB50" s="781"/>
      <c r="AC50" s="781"/>
      <c r="AD50" s="781"/>
      <c r="AE50" s="781"/>
      <c r="AF50" s="781"/>
      <c r="AG50" s="781"/>
      <c r="AH50" s="781"/>
      <c r="AI50" s="781"/>
      <c r="AJ50" s="781"/>
      <c r="AK50" s="781"/>
      <c r="AL50" s="781"/>
      <c r="AM50" s="781"/>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row>
    <row r="51" spans="1:106" x14ac:dyDescent="0.3">
      <c r="A51" s="367" t="str">
        <f>'11. Detail Managment Report'!C37</f>
        <v>1. Operating Cash Flow to Sales (CFS)</v>
      </c>
      <c r="B51" s="368"/>
      <c r="C51" s="368">
        <v>3</v>
      </c>
      <c r="D51" s="384">
        <f>'9. Inputs-Analysis'!D45</f>
        <v>7.4443631180108563E-2</v>
      </c>
      <c r="E51" s="770">
        <f>'11. Detail Managment Report'!E37</f>
        <v>2</v>
      </c>
    </row>
    <row r="52" spans="1:106" ht="5.25" customHeight="1" x14ac:dyDescent="0.3">
      <c r="A52" s="376"/>
      <c r="B52" s="368"/>
      <c r="C52" s="368"/>
      <c r="D52" s="372"/>
      <c r="E52" s="388"/>
    </row>
    <row r="53" spans="1:106" x14ac:dyDescent="0.3">
      <c r="A53" s="367" t="str">
        <f>'11. Detail Managment Report'!C38</f>
        <v>2. Cashflow based accrual ratio (CAR)</v>
      </c>
      <c r="B53" s="368"/>
      <c r="C53" s="368">
        <v>2</v>
      </c>
      <c r="D53" s="369">
        <f>'9. Inputs-Analysis'!D48</f>
        <v>7.7292884750961464E-3</v>
      </c>
      <c r="E53" s="771">
        <f>'11. Detail Managment Report'!E38</f>
        <v>0</v>
      </c>
    </row>
    <row r="54" spans="1:106" x14ac:dyDescent="0.3">
      <c r="A54" s="399" t="s">
        <v>281</v>
      </c>
      <c r="B54" s="400"/>
      <c r="C54" s="400">
        <f>C50+C44+C35+C28+C23+C18</f>
        <v>60</v>
      </c>
      <c r="D54" s="400"/>
      <c r="E54" s="401">
        <f>E50+E44+E35+E28+E23+E18</f>
        <v>22</v>
      </c>
    </row>
    <row r="55" spans="1:106" s="37" customFormat="1" ht="15.75" customHeight="1" thickBot="1" x14ac:dyDescent="0.35">
      <c r="A55" s="396" t="s">
        <v>409</v>
      </c>
      <c r="B55" s="397"/>
      <c r="C55" s="1013">
        <f>E54/C54</f>
        <v>0.36666666666666664</v>
      </c>
      <c r="D55" s="1013"/>
      <c r="E55" s="1014"/>
      <c r="F55" s="781"/>
      <c r="G55" s="781"/>
      <c r="H55" s="781"/>
      <c r="I55" s="781"/>
      <c r="J55" s="781"/>
      <c r="K55" s="781"/>
      <c r="L55" s="781"/>
      <c r="M55" s="781"/>
      <c r="N55" s="781"/>
      <c r="O55" s="781"/>
      <c r="P55" s="781"/>
      <c r="Q55" s="781"/>
      <c r="R55" s="781"/>
      <c r="S55" s="781"/>
      <c r="T55" s="781"/>
      <c r="U55" s="781"/>
      <c r="V55" s="781"/>
      <c r="W55" s="781"/>
      <c r="X55" s="781"/>
      <c r="Y55" s="781"/>
      <c r="Z55" s="781"/>
      <c r="AA55" s="781"/>
      <c r="AB55" s="781"/>
      <c r="AC55" s="781"/>
      <c r="AD55" s="781"/>
      <c r="AE55" s="781"/>
      <c r="AF55" s="781"/>
      <c r="AG55" s="781"/>
      <c r="AH55" s="781"/>
      <c r="AI55" s="781"/>
      <c r="AJ55" s="781"/>
      <c r="AK55" s="781"/>
      <c r="AL55" s="781"/>
      <c r="AM55" s="781"/>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row>
    <row r="56" spans="1:106" s="786" customFormat="1" x14ac:dyDescent="0.3">
      <c r="A56" s="783"/>
      <c r="B56" s="784"/>
      <c r="C56" s="784"/>
      <c r="D56" s="785"/>
      <c r="E56" s="785"/>
      <c r="F56" s="781"/>
      <c r="G56" s="781"/>
      <c r="H56" s="781"/>
      <c r="I56" s="781"/>
      <c r="J56" s="781"/>
      <c r="K56" s="781"/>
      <c r="L56" s="781"/>
      <c r="M56" s="781"/>
      <c r="N56" s="781"/>
      <c r="O56" s="781"/>
      <c r="P56" s="781"/>
      <c r="Q56" s="781"/>
      <c r="R56" s="781"/>
      <c r="S56" s="781"/>
      <c r="T56" s="781"/>
      <c r="U56" s="781"/>
      <c r="V56" s="781"/>
      <c r="W56" s="781"/>
      <c r="X56" s="781"/>
      <c r="Y56" s="781"/>
      <c r="Z56" s="781"/>
      <c r="AA56" s="781"/>
      <c r="AB56" s="781"/>
      <c r="AC56" s="781"/>
      <c r="AD56" s="781"/>
      <c r="AE56" s="781"/>
      <c r="AF56" s="781"/>
      <c r="AG56" s="781"/>
      <c r="AH56" s="781"/>
      <c r="AI56" s="781"/>
      <c r="AJ56" s="781"/>
      <c r="AK56" s="781"/>
      <c r="AL56" s="781"/>
      <c r="AM56" s="781"/>
    </row>
    <row r="57" spans="1:106" s="786" customFormat="1" x14ac:dyDescent="0.3">
      <c r="A57" s="783"/>
      <c r="B57" s="784"/>
      <c r="C57" s="784"/>
      <c r="D57" s="785"/>
      <c r="E57" s="785"/>
      <c r="F57" s="781"/>
      <c r="G57" s="781"/>
      <c r="H57" s="781"/>
      <c r="I57" s="781"/>
      <c r="J57" s="781"/>
      <c r="K57" s="781"/>
      <c r="L57" s="781"/>
      <c r="M57" s="781"/>
      <c r="N57" s="781"/>
      <c r="O57" s="781"/>
      <c r="P57" s="781"/>
      <c r="Q57" s="781"/>
      <c r="R57" s="781"/>
      <c r="S57" s="781"/>
      <c r="T57" s="781"/>
      <c r="U57" s="781"/>
      <c r="V57" s="781"/>
      <c r="W57" s="781"/>
      <c r="X57" s="781"/>
      <c r="Y57" s="781"/>
      <c r="Z57" s="781"/>
      <c r="AA57" s="781"/>
      <c r="AB57" s="781"/>
      <c r="AC57" s="781"/>
      <c r="AD57" s="781"/>
      <c r="AE57" s="781"/>
      <c r="AF57" s="781"/>
      <c r="AG57" s="781"/>
      <c r="AH57" s="781"/>
      <c r="AI57" s="781"/>
      <c r="AJ57" s="781"/>
      <c r="AK57" s="781"/>
      <c r="AL57" s="781"/>
      <c r="AM57" s="781"/>
    </row>
    <row r="58" spans="1:106" s="786" customFormat="1" x14ac:dyDescent="0.3">
      <c r="A58" s="783"/>
      <c r="B58" s="784"/>
      <c r="C58" s="784"/>
      <c r="D58" s="785"/>
      <c r="E58" s="785"/>
      <c r="F58" s="781"/>
      <c r="G58" s="781"/>
      <c r="H58" s="781"/>
      <c r="I58" s="781"/>
      <c r="J58" s="781"/>
      <c r="K58" s="781"/>
      <c r="L58" s="781"/>
      <c r="M58" s="781"/>
      <c r="N58" s="781"/>
      <c r="O58" s="781"/>
      <c r="P58" s="781"/>
      <c r="Q58" s="781"/>
      <c r="R58" s="781"/>
      <c r="S58" s="781"/>
      <c r="T58" s="781"/>
      <c r="U58" s="781"/>
      <c r="V58" s="781"/>
      <c r="W58" s="781"/>
      <c r="X58" s="781"/>
      <c r="Y58" s="781"/>
      <c r="Z58" s="781"/>
      <c r="AA58" s="781"/>
      <c r="AB58" s="781"/>
      <c r="AC58" s="781"/>
      <c r="AD58" s="781"/>
      <c r="AE58" s="781"/>
      <c r="AF58" s="781"/>
      <c r="AG58" s="781"/>
      <c r="AH58" s="781"/>
      <c r="AI58" s="781"/>
      <c r="AJ58" s="781"/>
      <c r="AK58" s="781"/>
      <c r="AL58" s="781"/>
      <c r="AM58" s="781"/>
    </row>
    <row r="59" spans="1:106" s="786" customFormat="1" x14ac:dyDescent="0.3">
      <c r="A59" s="783"/>
      <c r="B59" s="784"/>
      <c r="C59" s="784"/>
      <c r="D59" s="785"/>
      <c r="E59" s="785"/>
      <c r="F59" s="781"/>
      <c r="G59" s="781"/>
      <c r="H59" s="781"/>
      <c r="I59" s="781"/>
      <c r="J59" s="781"/>
      <c r="K59" s="781"/>
      <c r="L59" s="781"/>
      <c r="M59" s="781"/>
      <c r="N59" s="781"/>
      <c r="O59" s="781"/>
      <c r="P59" s="781"/>
      <c r="Q59" s="781"/>
      <c r="R59" s="781"/>
      <c r="S59" s="781"/>
      <c r="T59" s="781"/>
      <c r="U59" s="781"/>
      <c r="V59" s="781"/>
      <c r="W59" s="781"/>
      <c r="X59" s="781"/>
      <c r="Y59" s="781"/>
      <c r="Z59" s="781"/>
      <c r="AA59" s="781"/>
      <c r="AB59" s="781"/>
      <c r="AC59" s="781"/>
      <c r="AD59" s="781"/>
      <c r="AE59" s="781"/>
      <c r="AF59" s="781"/>
      <c r="AG59" s="781"/>
      <c r="AH59" s="781"/>
      <c r="AI59" s="781"/>
      <c r="AJ59" s="781"/>
      <c r="AK59" s="781"/>
      <c r="AL59" s="781"/>
      <c r="AM59" s="781"/>
    </row>
    <row r="60" spans="1:106" s="786" customFormat="1" x14ac:dyDescent="0.3">
      <c r="A60" s="783"/>
      <c r="B60" s="784"/>
      <c r="C60" s="784"/>
      <c r="D60" s="785"/>
      <c r="E60" s="785"/>
      <c r="F60" s="781"/>
      <c r="G60" s="781"/>
      <c r="H60" s="781"/>
      <c r="I60" s="781"/>
      <c r="J60" s="781"/>
      <c r="K60" s="781"/>
      <c r="L60" s="781"/>
      <c r="M60" s="781"/>
      <c r="N60" s="781"/>
      <c r="O60" s="781"/>
      <c r="P60" s="781"/>
      <c r="Q60" s="781"/>
      <c r="R60" s="781"/>
      <c r="S60" s="781"/>
      <c r="T60" s="781"/>
      <c r="U60" s="781"/>
      <c r="V60" s="781"/>
      <c r="W60" s="781"/>
      <c r="X60" s="781"/>
      <c r="Y60" s="781"/>
      <c r="Z60" s="781"/>
      <c r="AA60" s="781"/>
      <c r="AB60" s="781"/>
      <c r="AC60" s="781"/>
      <c r="AD60" s="781"/>
      <c r="AE60" s="781"/>
      <c r="AF60" s="781"/>
      <c r="AG60" s="781"/>
      <c r="AH60" s="781"/>
      <c r="AI60" s="781"/>
      <c r="AJ60" s="781"/>
      <c r="AK60" s="781"/>
      <c r="AL60" s="781"/>
      <c r="AM60" s="781"/>
    </row>
    <row r="61" spans="1:106" s="786" customFormat="1" x14ac:dyDescent="0.3">
      <c r="A61" s="783"/>
      <c r="B61" s="784"/>
      <c r="C61" s="784"/>
      <c r="D61" s="785"/>
      <c r="E61" s="785"/>
      <c r="F61" s="781"/>
      <c r="G61" s="781"/>
      <c r="H61" s="781"/>
      <c r="I61" s="781"/>
      <c r="J61" s="781"/>
      <c r="K61" s="781"/>
      <c r="L61" s="781"/>
      <c r="M61" s="781"/>
      <c r="N61" s="781"/>
      <c r="O61" s="781"/>
      <c r="P61" s="781"/>
      <c r="Q61" s="781"/>
      <c r="R61" s="781"/>
      <c r="S61" s="781"/>
      <c r="T61" s="781"/>
      <c r="U61" s="781"/>
      <c r="V61" s="781"/>
      <c r="W61" s="781"/>
      <c r="X61" s="781"/>
      <c r="Y61" s="781"/>
      <c r="Z61" s="781"/>
      <c r="AA61" s="781"/>
      <c r="AB61" s="781"/>
      <c r="AC61" s="781"/>
      <c r="AD61" s="781"/>
      <c r="AE61" s="781"/>
      <c r="AF61" s="781"/>
      <c r="AG61" s="781"/>
      <c r="AH61" s="781"/>
      <c r="AI61" s="781"/>
      <c r="AJ61" s="781"/>
      <c r="AK61" s="781"/>
      <c r="AL61" s="781"/>
      <c r="AM61" s="781"/>
    </row>
    <row r="62" spans="1:106" s="786" customFormat="1" x14ac:dyDescent="0.3">
      <c r="A62" s="783"/>
      <c r="B62" s="784"/>
      <c r="C62" s="784"/>
      <c r="D62" s="785"/>
      <c r="E62" s="785"/>
      <c r="F62" s="781"/>
      <c r="G62" s="781"/>
      <c r="H62" s="781"/>
      <c r="I62" s="781"/>
      <c r="J62" s="781"/>
      <c r="K62" s="781"/>
      <c r="L62" s="781"/>
      <c r="M62" s="781"/>
      <c r="N62" s="781"/>
      <c r="O62" s="781"/>
      <c r="P62" s="781"/>
      <c r="Q62" s="781"/>
      <c r="R62" s="781"/>
      <c r="S62" s="781"/>
      <c r="T62" s="781"/>
      <c r="U62" s="781"/>
      <c r="V62" s="781"/>
      <c r="W62" s="781"/>
      <c r="X62" s="781"/>
      <c r="Y62" s="781"/>
      <c r="Z62" s="781"/>
      <c r="AA62" s="781"/>
      <c r="AB62" s="781"/>
      <c r="AC62" s="781"/>
      <c r="AD62" s="781"/>
      <c r="AE62" s="781"/>
      <c r="AF62" s="781"/>
      <c r="AG62" s="781"/>
      <c r="AH62" s="781"/>
      <c r="AI62" s="781"/>
      <c r="AJ62" s="781"/>
      <c r="AK62" s="781"/>
      <c r="AL62" s="781"/>
      <c r="AM62" s="781"/>
    </row>
    <row r="63" spans="1:106" s="786" customFormat="1" x14ac:dyDescent="0.3">
      <c r="A63" s="783"/>
      <c r="B63" s="784"/>
      <c r="C63" s="784"/>
      <c r="D63" s="785"/>
      <c r="E63" s="785"/>
      <c r="F63" s="781"/>
      <c r="G63" s="781"/>
      <c r="H63" s="781"/>
      <c r="I63" s="781"/>
      <c r="J63" s="781"/>
      <c r="K63" s="781"/>
      <c r="L63" s="781"/>
      <c r="M63" s="781"/>
      <c r="N63" s="781"/>
      <c r="O63" s="781"/>
      <c r="P63" s="781"/>
      <c r="Q63" s="781"/>
      <c r="R63" s="781"/>
      <c r="S63" s="781"/>
      <c r="T63" s="781"/>
      <c r="U63" s="781"/>
      <c r="V63" s="781"/>
      <c r="W63" s="781"/>
      <c r="X63" s="781"/>
      <c r="Y63" s="781"/>
      <c r="Z63" s="781"/>
      <c r="AA63" s="781"/>
      <c r="AB63" s="781"/>
      <c r="AC63" s="781"/>
      <c r="AD63" s="781"/>
      <c r="AE63" s="781"/>
      <c r="AF63" s="781"/>
      <c r="AG63" s="781"/>
      <c r="AH63" s="781"/>
      <c r="AI63" s="781"/>
      <c r="AJ63" s="781"/>
      <c r="AK63" s="781"/>
      <c r="AL63" s="781"/>
      <c r="AM63" s="781"/>
    </row>
    <row r="64" spans="1:106" s="786" customFormat="1" x14ac:dyDescent="0.3">
      <c r="A64" s="783"/>
      <c r="B64" s="784"/>
      <c r="C64" s="784"/>
      <c r="D64" s="785"/>
      <c r="E64" s="785"/>
      <c r="F64" s="781"/>
      <c r="G64" s="781"/>
      <c r="H64" s="781"/>
      <c r="I64" s="781"/>
      <c r="J64" s="781"/>
      <c r="K64" s="781"/>
      <c r="L64" s="781"/>
      <c r="M64" s="781"/>
      <c r="N64" s="781"/>
      <c r="O64" s="781"/>
      <c r="P64" s="781"/>
      <c r="Q64" s="781"/>
      <c r="R64" s="781"/>
      <c r="S64" s="781"/>
      <c r="T64" s="781"/>
      <c r="U64" s="781"/>
      <c r="V64" s="781"/>
      <c r="W64" s="781"/>
      <c r="X64" s="781"/>
      <c r="Y64" s="781"/>
      <c r="Z64" s="781"/>
      <c r="AA64" s="781"/>
      <c r="AB64" s="781"/>
      <c r="AC64" s="781"/>
      <c r="AD64" s="781"/>
      <c r="AE64" s="781"/>
      <c r="AF64" s="781"/>
      <c r="AG64" s="781"/>
      <c r="AH64" s="781"/>
      <c r="AI64" s="781"/>
      <c r="AJ64" s="781"/>
      <c r="AK64" s="781"/>
      <c r="AL64" s="781"/>
      <c r="AM64" s="781"/>
    </row>
    <row r="65" spans="1:39" s="786" customFormat="1" x14ac:dyDescent="0.3">
      <c r="A65" s="783"/>
      <c r="B65" s="784"/>
      <c r="C65" s="784"/>
      <c r="D65" s="785"/>
      <c r="E65" s="785"/>
      <c r="F65" s="781"/>
      <c r="G65" s="781"/>
      <c r="H65" s="781"/>
      <c r="I65" s="781"/>
      <c r="J65" s="781"/>
      <c r="K65" s="781"/>
      <c r="L65" s="781"/>
      <c r="M65" s="781"/>
      <c r="N65" s="781"/>
      <c r="O65" s="781"/>
      <c r="P65" s="781"/>
      <c r="Q65" s="781"/>
      <c r="R65" s="781"/>
      <c r="S65" s="781"/>
      <c r="T65" s="781"/>
      <c r="U65" s="781"/>
      <c r="V65" s="781"/>
      <c r="W65" s="781"/>
      <c r="X65" s="781"/>
      <c r="Y65" s="781"/>
      <c r="Z65" s="781"/>
      <c r="AA65" s="781"/>
      <c r="AB65" s="781"/>
      <c r="AC65" s="781"/>
      <c r="AD65" s="781"/>
      <c r="AE65" s="781"/>
      <c r="AF65" s="781"/>
      <c r="AG65" s="781"/>
      <c r="AH65" s="781"/>
      <c r="AI65" s="781"/>
      <c r="AJ65" s="781"/>
      <c r="AK65" s="781"/>
      <c r="AL65" s="781"/>
      <c r="AM65" s="781"/>
    </row>
    <row r="66" spans="1:39" s="786" customFormat="1" x14ac:dyDescent="0.3">
      <c r="A66" s="783"/>
      <c r="B66" s="784"/>
      <c r="C66" s="784"/>
      <c r="D66" s="785"/>
      <c r="E66" s="785"/>
      <c r="F66" s="781"/>
      <c r="G66" s="781"/>
      <c r="H66" s="781"/>
      <c r="I66" s="781"/>
      <c r="J66" s="781"/>
      <c r="K66" s="781"/>
      <c r="L66" s="781"/>
      <c r="M66" s="781"/>
      <c r="N66" s="781"/>
      <c r="O66" s="781"/>
      <c r="P66" s="781"/>
      <c r="Q66" s="781"/>
      <c r="R66" s="781"/>
      <c r="S66" s="781"/>
      <c r="T66" s="781"/>
      <c r="U66" s="781"/>
      <c r="V66" s="781"/>
      <c r="W66" s="781"/>
      <c r="X66" s="781"/>
      <c r="Y66" s="781"/>
      <c r="Z66" s="781"/>
      <c r="AA66" s="781"/>
      <c r="AB66" s="781"/>
      <c r="AC66" s="781"/>
      <c r="AD66" s="781"/>
      <c r="AE66" s="781"/>
      <c r="AF66" s="781"/>
      <c r="AG66" s="781"/>
      <c r="AH66" s="781"/>
      <c r="AI66" s="781"/>
      <c r="AJ66" s="781"/>
      <c r="AK66" s="781"/>
      <c r="AL66" s="781"/>
      <c r="AM66" s="781"/>
    </row>
    <row r="67" spans="1:39" s="786" customFormat="1" x14ac:dyDescent="0.3">
      <c r="A67" s="783"/>
      <c r="B67" s="784"/>
      <c r="C67" s="784"/>
      <c r="D67" s="785"/>
      <c r="E67" s="785"/>
      <c r="F67" s="781"/>
      <c r="G67" s="781"/>
      <c r="H67" s="781"/>
      <c r="I67" s="781"/>
      <c r="J67" s="781"/>
      <c r="K67" s="781"/>
      <c r="L67" s="781"/>
      <c r="M67" s="781"/>
      <c r="N67" s="781"/>
      <c r="O67" s="781"/>
      <c r="P67" s="781"/>
      <c r="Q67" s="781"/>
      <c r="R67" s="781"/>
      <c r="S67" s="781"/>
      <c r="T67" s="781"/>
      <c r="U67" s="781"/>
      <c r="V67" s="781"/>
      <c r="W67" s="781"/>
      <c r="X67" s="781"/>
      <c r="Y67" s="781"/>
      <c r="Z67" s="781"/>
      <c r="AA67" s="781"/>
      <c r="AB67" s="781"/>
      <c r="AC67" s="781"/>
      <c r="AD67" s="781"/>
      <c r="AE67" s="781"/>
      <c r="AF67" s="781"/>
      <c r="AG67" s="781"/>
      <c r="AH67" s="781"/>
      <c r="AI67" s="781"/>
      <c r="AJ67" s="781"/>
      <c r="AK67" s="781"/>
      <c r="AL67" s="781"/>
      <c r="AM67" s="781"/>
    </row>
    <row r="68" spans="1:39" s="786" customFormat="1" x14ac:dyDescent="0.3">
      <c r="A68" s="783"/>
      <c r="B68" s="784"/>
      <c r="C68" s="784"/>
      <c r="D68" s="785"/>
      <c r="E68" s="785"/>
      <c r="F68" s="781"/>
      <c r="G68" s="781"/>
      <c r="H68" s="781"/>
      <c r="I68" s="781"/>
      <c r="J68" s="781"/>
      <c r="K68" s="781"/>
      <c r="L68" s="781"/>
      <c r="M68" s="781"/>
      <c r="N68" s="781"/>
      <c r="O68" s="781"/>
      <c r="P68" s="781"/>
      <c r="Q68" s="781"/>
      <c r="R68" s="781"/>
      <c r="S68" s="781"/>
      <c r="T68" s="781"/>
      <c r="U68" s="781"/>
      <c r="V68" s="781"/>
      <c r="W68" s="781"/>
      <c r="X68" s="781"/>
      <c r="Y68" s="781"/>
      <c r="Z68" s="781"/>
      <c r="AA68" s="781"/>
      <c r="AB68" s="781"/>
      <c r="AC68" s="781"/>
      <c r="AD68" s="781"/>
      <c r="AE68" s="781"/>
      <c r="AF68" s="781"/>
      <c r="AG68" s="781"/>
      <c r="AH68" s="781"/>
      <c r="AI68" s="781"/>
      <c r="AJ68" s="781"/>
      <c r="AK68" s="781"/>
      <c r="AL68" s="781"/>
      <c r="AM68" s="781"/>
    </row>
    <row r="69" spans="1:39" s="786" customFormat="1" x14ac:dyDescent="0.3">
      <c r="A69" s="783"/>
      <c r="B69" s="784"/>
      <c r="C69" s="784"/>
      <c r="D69" s="785"/>
      <c r="E69" s="785"/>
      <c r="F69" s="781"/>
      <c r="G69" s="781"/>
      <c r="H69" s="781"/>
      <c r="I69" s="781"/>
      <c r="J69" s="781"/>
      <c r="K69" s="781"/>
      <c r="L69" s="781"/>
      <c r="M69" s="781"/>
      <c r="N69" s="781"/>
      <c r="O69" s="781"/>
      <c r="P69" s="781"/>
      <c r="Q69" s="781"/>
      <c r="R69" s="781"/>
      <c r="S69" s="781"/>
      <c r="T69" s="781"/>
      <c r="U69" s="781"/>
      <c r="V69" s="781"/>
      <c r="W69" s="781"/>
      <c r="X69" s="781"/>
      <c r="Y69" s="781"/>
      <c r="Z69" s="781"/>
      <c r="AA69" s="781"/>
      <c r="AB69" s="781"/>
      <c r="AC69" s="781"/>
      <c r="AD69" s="781"/>
      <c r="AE69" s="781"/>
      <c r="AF69" s="781"/>
      <c r="AG69" s="781"/>
      <c r="AH69" s="781"/>
      <c r="AI69" s="781"/>
      <c r="AJ69" s="781"/>
      <c r="AK69" s="781"/>
      <c r="AL69" s="781"/>
      <c r="AM69" s="781"/>
    </row>
    <row r="70" spans="1:39" s="786" customFormat="1" x14ac:dyDescent="0.3">
      <c r="A70" s="783"/>
      <c r="B70" s="784"/>
      <c r="C70" s="784"/>
      <c r="D70" s="785"/>
      <c r="E70" s="785"/>
      <c r="F70" s="781"/>
      <c r="G70" s="781"/>
      <c r="H70" s="781"/>
      <c r="I70" s="781"/>
      <c r="J70" s="781"/>
      <c r="K70" s="781"/>
      <c r="L70" s="781"/>
      <c r="M70" s="781"/>
      <c r="N70" s="781"/>
      <c r="O70" s="781"/>
      <c r="P70" s="781"/>
      <c r="Q70" s="781"/>
      <c r="R70" s="781"/>
      <c r="S70" s="781"/>
      <c r="T70" s="781"/>
      <c r="U70" s="781"/>
      <c r="V70" s="781"/>
      <c r="W70" s="781"/>
      <c r="X70" s="781"/>
      <c r="Y70" s="781"/>
      <c r="Z70" s="781"/>
      <c r="AA70" s="781"/>
      <c r="AB70" s="781"/>
      <c r="AC70" s="781"/>
      <c r="AD70" s="781"/>
      <c r="AE70" s="781"/>
      <c r="AF70" s="781"/>
      <c r="AG70" s="781"/>
      <c r="AH70" s="781"/>
      <c r="AI70" s="781"/>
      <c r="AJ70" s="781"/>
      <c r="AK70" s="781"/>
      <c r="AL70" s="781"/>
      <c r="AM70" s="781"/>
    </row>
    <row r="71" spans="1:39" s="786" customFormat="1" x14ac:dyDescent="0.3">
      <c r="A71" s="783"/>
      <c r="B71" s="784"/>
      <c r="C71" s="784"/>
      <c r="D71" s="785"/>
      <c r="E71" s="785"/>
      <c r="F71" s="781"/>
      <c r="G71" s="781"/>
      <c r="H71" s="781"/>
      <c r="I71" s="781"/>
      <c r="J71" s="781"/>
      <c r="K71" s="781"/>
      <c r="L71" s="781"/>
      <c r="M71" s="781"/>
      <c r="N71" s="781"/>
      <c r="O71" s="781"/>
      <c r="P71" s="781"/>
      <c r="Q71" s="781"/>
      <c r="R71" s="781"/>
      <c r="S71" s="781"/>
      <c r="T71" s="781"/>
      <c r="U71" s="781"/>
      <c r="V71" s="781"/>
      <c r="W71" s="781"/>
      <c r="X71" s="781"/>
      <c r="Y71" s="781"/>
      <c r="Z71" s="781"/>
      <c r="AA71" s="781"/>
      <c r="AB71" s="781"/>
      <c r="AC71" s="781"/>
      <c r="AD71" s="781"/>
      <c r="AE71" s="781"/>
      <c r="AF71" s="781"/>
      <c r="AG71" s="781"/>
      <c r="AH71" s="781"/>
      <c r="AI71" s="781"/>
      <c r="AJ71" s="781"/>
      <c r="AK71" s="781"/>
      <c r="AL71" s="781"/>
      <c r="AM71" s="781"/>
    </row>
    <row r="72" spans="1:39" s="786" customFormat="1" x14ac:dyDescent="0.3">
      <c r="A72" s="783"/>
      <c r="B72" s="784"/>
      <c r="C72" s="784"/>
      <c r="D72" s="785"/>
      <c r="E72" s="785"/>
      <c r="F72" s="781"/>
      <c r="G72" s="781"/>
      <c r="H72" s="781"/>
      <c r="I72" s="781"/>
      <c r="J72" s="781"/>
      <c r="K72" s="781"/>
      <c r="L72" s="781"/>
      <c r="M72" s="781"/>
      <c r="N72" s="781"/>
      <c r="O72" s="781"/>
      <c r="P72" s="781"/>
      <c r="Q72" s="781"/>
      <c r="R72" s="781"/>
      <c r="S72" s="781"/>
      <c r="T72" s="781"/>
      <c r="U72" s="781"/>
      <c r="V72" s="781"/>
      <c r="W72" s="781"/>
      <c r="X72" s="781"/>
      <c r="Y72" s="781"/>
      <c r="Z72" s="781"/>
      <c r="AA72" s="781"/>
      <c r="AB72" s="781"/>
      <c r="AC72" s="781"/>
      <c r="AD72" s="781"/>
      <c r="AE72" s="781"/>
      <c r="AF72" s="781"/>
      <c r="AG72" s="781"/>
      <c r="AH72" s="781"/>
      <c r="AI72" s="781"/>
      <c r="AJ72" s="781"/>
      <c r="AK72" s="781"/>
      <c r="AL72" s="781"/>
      <c r="AM72" s="781"/>
    </row>
    <row r="73" spans="1:39" s="786" customFormat="1" x14ac:dyDescent="0.3">
      <c r="A73" s="783"/>
      <c r="B73" s="784"/>
      <c r="C73" s="784"/>
      <c r="D73" s="785"/>
      <c r="E73" s="785"/>
      <c r="F73" s="781"/>
      <c r="G73" s="781"/>
      <c r="H73" s="781"/>
      <c r="I73" s="781"/>
      <c r="J73" s="781"/>
      <c r="K73" s="781"/>
      <c r="L73" s="781"/>
      <c r="M73" s="781"/>
      <c r="N73" s="781"/>
      <c r="O73" s="781"/>
      <c r="P73" s="781"/>
      <c r="Q73" s="781"/>
      <c r="R73" s="781"/>
      <c r="S73" s="781"/>
      <c r="T73" s="781"/>
      <c r="U73" s="781"/>
      <c r="V73" s="781"/>
      <c r="W73" s="781"/>
      <c r="X73" s="781"/>
      <c r="Y73" s="781"/>
      <c r="Z73" s="781"/>
      <c r="AA73" s="781"/>
      <c r="AB73" s="781"/>
      <c r="AC73" s="781"/>
      <c r="AD73" s="781"/>
      <c r="AE73" s="781"/>
      <c r="AF73" s="781"/>
      <c r="AG73" s="781"/>
      <c r="AH73" s="781"/>
      <c r="AI73" s="781"/>
      <c r="AJ73" s="781"/>
      <c r="AK73" s="781"/>
      <c r="AL73" s="781"/>
      <c r="AM73" s="781"/>
    </row>
    <row r="74" spans="1:39" s="786" customFormat="1" x14ac:dyDescent="0.3">
      <c r="A74" s="783"/>
      <c r="B74" s="784"/>
      <c r="C74" s="784"/>
      <c r="D74" s="785"/>
      <c r="E74" s="785"/>
      <c r="F74" s="781"/>
      <c r="G74" s="781"/>
      <c r="H74" s="781"/>
      <c r="I74" s="781"/>
      <c r="J74" s="781"/>
      <c r="K74" s="781"/>
      <c r="L74" s="781"/>
      <c r="M74" s="781"/>
      <c r="N74" s="781"/>
      <c r="O74" s="781"/>
      <c r="P74" s="781"/>
      <c r="Q74" s="781"/>
      <c r="R74" s="781"/>
      <c r="S74" s="781"/>
      <c r="T74" s="781"/>
      <c r="U74" s="781"/>
      <c r="V74" s="781"/>
      <c r="W74" s="781"/>
      <c r="X74" s="781"/>
      <c r="Y74" s="781"/>
      <c r="Z74" s="781"/>
      <c r="AA74" s="781"/>
      <c r="AB74" s="781"/>
      <c r="AC74" s="781"/>
      <c r="AD74" s="781"/>
      <c r="AE74" s="781"/>
      <c r="AF74" s="781"/>
      <c r="AG74" s="781"/>
      <c r="AH74" s="781"/>
      <c r="AI74" s="781"/>
      <c r="AJ74" s="781"/>
      <c r="AK74" s="781"/>
      <c r="AL74" s="781"/>
      <c r="AM74" s="781"/>
    </row>
    <row r="75" spans="1:39" s="786" customFormat="1" x14ac:dyDescent="0.3">
      <c r="A75" s="783"/>
      <c r="B75" s="784"/>
      <c r="C75" s="784"/>
      <c r="D75" s="785"/>
      <c r="E75" s="785"/>
      <c r="F75" s="781"/>
      <c r="G75" s="781"/>
      <c r="H75" s="781"/>
      <c r="I75" s="781"/>
      <c r="J75" s="781"/>
      <c r="K75" s="781"/>
      <c r="L75" s="781"/>
      <c r="M75" s="781"/>
      <c r="N75" s="781"/>
      <c r="O75" s="781"/>
      <c r="P75" s="781"/>
      <c r="Q75" s="781"/>
      <c r="R75" s="781"/>
      <c r="S75" s="781"/>
      <c r="T75" s="781"/>
      <c r="U75" s="781"/>
      <c r="V75" s="781"/>
      <c r="W75" s="781"/>
      <c r="X75" s="781"/>
      <c r="Y75" s="781"/>
      <c r="Z75" s="781"/>
      <c r="AA75" s="781"/>
      <c r="AB75" s="781"/>
      <c r="AC75" s="781"/>
      <c r="AD75" s="781"/>
      <c r="AE75" s="781"/>
      <c r="AF75" s="781"/>
      <c r="AG75" s="781"/>
      <c r="AH75" s="781"/>
      <c r="AI75" s="781"/>
      <c r="AJ75" s="781"/>
      <c r="AK75" s="781"/>
      <c r="AL75" s="781"/>
      <c r="AM75" s="781"/>
    </row>
    <row r="76" spans="1:39" s="786" customFormat="1" x14ac:dyDescent="0.3">
      <c r="A76" s="783"/>
      <c r="B76" s="784"/>
      <c r="C76" s="784"/>
      <c r="D76" s="785"/>
      <c r="E76" s="785"/>
      <c r="F76" s="781"/>
      <c r="G76" s="781"/>
      <c r="H76" s="781"/>
      <c r="I76" s="781"/>
      <c r="J76" s="781"/>
      <c r="K76" s="781"/>
      <c r="L76" s="781"/>
      <c r="M76" s="781"/>
      <c r="N76" s="781"/>
      <c r="O76" s="781"/>
      <c r="P76" s="781"/>
      <c r="Q76" s="781"/>
      <c r="R76" s="781"/>
      <c r="S76" s="781"/>
      <c r="T76" s="781"/>
      <c r="U76" s="781"/>
      <c r="V76" s="781"/>
      <c r="W76" s="781"/>
      <c r="X76" s="781"/>
      <c r="Y76" s="781"/>
      <c r="Z76" s="781"/>
      <c r="AA76" s="781"/>
      <c r="AB76" s="781"/>
      <c r="AC76" s="781"/>
      <c r="AD76" s="781"/>
      <c r="AE76" s="781"/>
      <c r="AF76" s="781"/>
      <c r="AG76" s="781"/>
      <c r="AH76" s="781"/>
      <c r="AI76" s="781"/>
      <c r="AJ76" s="781"/>
      <c r="AK76" s="781"/>
      <c r="AL76" s="781"/>
      <c r="AM76" s="781"/>
    </row>
    <row r="77" spans="1:39" s="786" customFormat="1" x14ac:dyDescent="0.3">
      <c r="A77" s="783"/>
      <c r="B77" s="784"/>
      <c r="C77" s="784"/>
      <c r="D77" s="785"/>
      <c r="E77" s="785"/>
      <c r="F77" s="781"/>
      <c r="G77" s="781"/>
      <c r="H77" s="781"/>
      <c r="I77" s="781"/>
      <c r="J77" s="781"/>
      <c r="K77" s="781"/>
      <c r="L77" s="781"/>
      <c r="M77" s="781"/>
      <c r="N77" s="781"/>
      <c r="O77" s="781"/>
      <c r="P77" s="781"/>
      <c r="Q77" s="781"/>
      <c r="R77" s="781"/>
      <c r="S77" s="781"/>
      <c r="T77" s="781"/>
      <c r="U77" s="781"/>
      <c r="V77" s="781"/>
      <c r="W77" s="781"/>
      <c r="X77" s="781"/>
      <c r="Y77" s="781"/>
      <c r="Z77" s="781"/>
      <c r="AA77" s="781"/>
      <c r="AB77" s="781"/>
      <c r="AC77" s="781"/>
      <c r="AD77" s="781"/>
      <c r="AE77" s="781"/>
      <c r="AF77" s="781"/>
      <c r="AG77" s="781"/>
      <c r="AH77" s="781"/>
      <c r="AI77" s="781"/>
      <c r="AJ77" s="781"/>
      <c r="AK77" s="781"/>
      <c r="AL77" s="781"/>
      <c r="AM77" s="781"/>
    </row>
    <row r="78" spans="1:39" s="786" customFormat="1" x14ac:dyDescent="0.3">
      <c r="A78" s="783"/>
      <c r="B78" s="784"/>
      <c r="C78" s="784"/>
      <c r="D78" s="785"/>
      <c r="E78" s="785"/>
      <c r="F78" s="781"/>
      <c r="G78" s="781"/>
      <c r="H78" s="781"/>
      <c r="I78" s="781"/>
      <c r="J78" s="781"/>
      <c r="K78" s="781"/>
      <c r="L78" s="781"/>
      <c r="M78" s="781"/>
      <c r="N78" s="781"/>
      <c r="O78" s="781"/>
      <c r="P78" s="781"/>
      <c r="Q78" s="781"/>
      <c r="R78" s="781"/>
      <c r="S78" s="781"/>
      <c r="T78" s="781"/>
      <c r="U78" s="781"/>
      <c r="V78" s="781"/>
      <c r="W78" s="781"/>
      <c r="X78" s="781"/>
      <c r="Y78" s="781"/>
      <c r="Z78" s="781"/>
      <c r="AA78" s="781"/>
      <c r="AB78" s="781"/>
      <c r="AC78" s="781"/>
      <c r="AD78" s="781"/>
      <c r="AE78" s="781"/>
      <c r="AF78" s="781"/>
      <c r="AG78" s="781"/>
      <c r="AH78" s="781"/>
      <c r="AI78" s="781"/>
      <c r="AJ78" s="781"/>
      <c r="AK78" s="781"/>
      <c r="AL78" s="781"/>
      <c r="AM78" s="781"/>
    </row>
    <row r="79" spans="1:39" s="786" customFormat="1" x14ac:dyDescent="0.3">
      <c r="A79" s="783"/>
      <c r="B79" s="784"/>
      <c r="C79" s="784"/>
      <c r="D79" s="785"/>
      <c r="E79" s="785"/>
      <c r="F79" s="781"/>
      <c r="G79" s="781"/>
      <c r="H79" s="781"/>
      <c r="I79" s="781"/>
      <c r="J79" s="781"/>
      <c r="K79" s="781"/>
      <c r="L79" s="781"/>
      <c r="M79" s="781"/>
      <c r="N79" s="781"/>
      <c r="O79" s="781"/>
      <c r="P79" s="781"/>
      <c r="Q79" s="781"/>
      <c r="R79" s="781"/>
      <c r="S79" s="781"/>
      <c r="T79" s="781"/>
      <c r="U79" s="781"/>
      <c r="V79" s="781"/>
      <c r="W79" s="781"/>
      <c r="X79" s="781"/>
      <c r="Y79" s="781"/>
      <c r="Z79" s="781"/>
      <c r="AA79" s="781"/>
      <c r="AB79" s="781"/>
      <c r="AC79" s="781"/>
      <c r="AD79" s="781"/>
      <c r="AE79" s="781"/>
      <c r="AF79" s="781"/>
      <c r="AG79" s="781"/>
      <c r="AH79" s="781"/>
      <c r="AI79" s="781"/>
      <c r="AJ79" s="781"/>
      <c r="AK79" s="781"/>
      <c r="AL79" s="781"/>
      <c r="AM79" s="781"/>
    </row>
    <row r="80" spans="1:39" s="786" customFormat="1" x14ac:dyDescent="0.3">
      <c r="A80" s="783"/>
      <c r="B80" s="784"/>
      <c r="C80" s="784"/>
      <c r="D80" s="785"/>
      <c r="E80" s="785"/>
      <c r="F80" s="781"/>
      <c r="G80" s="781"/>
      <c r="H80" s="781"/>
      <c r="I80" s="781"/>
      <c r="J80" s="781"/>
      <c r="K80" s="781"/>
      <c r="L80" s="781"/>
      <c r="M80" s="781"/>
      <c r="N80" s="781"/>
      <c r="O80" s="781"/>
      <c r="P80" s="781"/>
      <c r="Q80" s="781"/>
      <c r="R80" s="781"/>
      <c r="S80" s="781"/>
      <c r="T80" s="781"/>
      <c r="U80" s="781"/>
      <c r="V80" s="781"/>
      <c r="W80" s="781"/>
      <c r="X80" s="781"/>
      <c r="Y80" s="781"/>
      <c r="Z80" s="781"/>
      <c r="AA80" s="781"/>
      <c r="AB80" s="781"/>
      <c r="AC80" s="781"/>
      <c r="AD80" s="781"/>
      <c r="AE80" s="781"/>
      <c r="AF80" s="781"/>
      <c r="AG80" s="781"/>
      <c r="AH80" s="781"/>
      <c r="AI80" s="781"/>
      <c r="AJ80" s="781"/>
      <c r="AK80" s="781"/>
      <c r="AL80" s="781"/>
      <c r="AM80" s="781"/>
    </row>
    <row r="81" spans="1:39" s="786" customFormat="1" x14ac:dyDescent="0.3">
      <c r="A81" s="783"/>
      <c r="B81" s="784"/>
      <c r="C81" s="784"/>
      <c r="D81" s="785"/>
      <c r="E81" s="785"/>
      <c r="F81" s="781"/>
      <c r="G81" s="781"/>
      <c r="H81" s="781"/>
      <c r="I81" s="781"/>
      <c r="J81" s="781"/>
      <c r="K81" s="781"/>
      <c r="L81" s="781"/>
      <c r="M81" s="781"/>
      <c r="N81" s="781"/>
      <c r="O81" s="781"/>
      <c r="P81" s="781"/>
      <c r="Q81" s="781"/>
      <c r="R81" s="781"/>
      <c r="S81" s="781"/>
      <c r="T81" s="781"/>
      <c r="U81" s="781"/>
      <c r="V81" s="781"/>
      <c r="W81" s="781"/>
      <c r="X81" s="781"/>
      <c r="Y81" s="781"/>
      <c r="Z81" s="781"/>
      <c r="AA81" s="781"/>
      <c r="AB81" s="781"/>
      <c r="AC81" s="781"/>
      <c r="AD81" s="781"/>
      <c r="AE81" s="781"/>
      <c r="AF81" s="781"/>
      <c r="AG81" s="781"/>
      <c r="AH81" s="781"/>
      <c r="AI81" s="781"/>
      <c r="AJ81" s="781"/>
      <c r="AK81" s="781"/>
      <c r="AL81" s="781"/>
      <c r="AM81" s="781"/>
    </row>
    <row r="82" spans="1:39" s="786" customFormat="1" x14ac:dyDescent="0.3">
      <c r="A82" s="783"/>
      <c r="B82" s="784"/>
      <c r="C82" s="784"/>
      <c r="D82" s="785"/>
      <c r="E82" s="785"/>
      <c r="F82" s="781"/>
      <c r="G82" s="781"/>
      <c r="H82" s="781"/>
      <c r="I82" s="781"/>
      <c r="J82" s="781"/>
      <c r="K82" s="781"/>
      <c r="L82" s="781"/>
      <c r="M82" s="781"/>
      <c r="N82" s="781"/>
      <c r="O82" s="781"/>
      <c r="P82" s="781"/>
      <c r="Q82" s="781"/>
      <c r="R82" s="781"/>
      <c r="S82" s="781"/>
      <c r="T82" s="781"/>
      <c r="U82" s="781"/>
      <c r="V82" s="781"/>
      <c r="W82" s="781"/>
      <c r="X82" s="781"/>
      <c r="Y82" s="781"/>
      <c r="Z82" s="781"/>
      <c r="AA82" s="781"/>
      <c r="AB82" s="781"/>
      <c r="AC82" s="781"/>
      <c r="AD82" s="781"/>
      <c r="AE82" s="781"/>
      <c r="AF82" s="781"/>
      <c r="AG82" s="781"/>
      <c r="AH82" s="781"/>
      <c r="AI82" s="781"/>
      <c r="AJ82" s="781"/>
      <c r="AK82" s="781"/>
      <c r="AL82" s="781"/>
      <c r="AM82" s="781"/>
    </row>
    <row r="83" spans="1:39" s="786" customFormat="1" x14ac:dyDescent="0.3">
      <c r="A83" s="783"/>
      <c r="B83" s="784"/>
      <c r="C83" s="784"/>
      <c r="D83" s="785"/>
      <c r="E83" s="785"/>
      <c r="F83" s="781"/>
      <c r="G83" s="781"/>
      <c r="H83" s="781"/>
      <c r="I83" s="781"/>
      <c r="J83" s="781"/>
      <c r="K83" s="781"/>
      <c r="L83" s="781"/>
      <c r="M83" s="781"/>
      <c r="N83" s="781"/>
      <c r="O83" s="781"/>
      <c r="P83" s="781"/>
      <c r="Q83" s="781"/>
      <c r="R83" s="781"/>
      <c r="S83" s="781"/>
      <c r="T83" s="781"/>
      <c r="U83" s="781"/>
      <c r="V83" s="781"/>
      <c r="W83" s="781"/>
      <c r="X83" s="781"/>
      <c r="Y83" s="781"/>
      <c r="Z83" s="781"/>
      <c r="AA83" s="781"/>
      <c r="AB83" s="781"/>
      <c r="AC83" s="781"/>
      <c r="AD83" s="781"/>
      <c r="AE83" s="781"/>
      <c r="AF83" s="781"/>
      <c r="AG83" s="781"/>
      <c r="AH83" s="781"/>
      <c r="AI83" s="781"/>
      <c r="AJ83" s="781"/>
      <c r="AK83" s="781"/>
      <c r="AL83" s="781"/>
      <c r="AM83" s="781"/>
    </row>
    <row r="84" spans="1:39" s="786" customFormat="1" x14ac:dyDescent="0.3">
      <c r="A84" s="783"/>
      <c r="B84" s="784"/>
      <c r="C84" s="784"/>
      <c r="D84" s="785"/>
      <c r="E84" s="785"/>
      <c r="F84" s="781"/>
      <c r="G84" s="781"/>
      <c r="H84" s="781"/>
      <c r="I84" s="781"/>
      <c r="J84" s="781"/>
      <c r="K84" s="781"/>
      <c r="L84" s="781"/>
      <c r="M84" s="781"/>
      <c r="N84" s="781"/>
      <c r="O84" s="781"/>
      <c r="P84" s="781"/>
      <c r="Q84" s="781"/>
      <c r="R84" s="781"/>
      <c r="S84" s="781"/>
      <c r="T84" s="781"/>
      <c r="U84" s="781"/>
      <c r="V84" s="781"/>
      <c r="W84" s="781"/>
      <c r="X84" s="781"/>
      <c r="Y84" s="781"/>
      <c r="Z84" s="781"/>
      <c r="AA84" s="781"/>
      <c r="AB84" s="781"/>
      <c r="AC84" s="781"/>
      <c r="AD84" s="781"/>
      <c r="AE84" s="781"/>
      <c r="AF84" s="781"/>
      <c r="AG84" s="781"/>
      <c r="AH84" s="781"/>
      <c r="AI84" s="781"/>
      <c r="AJ84" s="781"/>
      <c r="AK84" s="781"/>
      <c r="AL84" s="781"/>
      <c r="AM84" s="781"/>
    </row>
    <row r="85" spans="1:39" s="786" customFormat="1" x14ac:dyDescent="0.3">
      <c r="A85" s="783"/>
      <c r="B85" s="784"/>
      <c r="C85" s="784"/>
      <c r="D85" s="785"/>
      <c r="E85" s="785"/>
      <c r="F85" s="781"/>
      <c r="G85" s="781"/>
      <c r="H85" s="781"/>
      <c r="I85" s="781"/>
      <c r="J85" s="781"/>
      <c r="K85" s="781"/>
      <c r="L85" s="781"/>
      <c r="M85" s="781"/>
      <c r="N85" s="781"/>
      <c r="O85" s="781"/>
      <c r="P85" s="781"/>
      <c r="Q85" s="781"/>
      <c r="R85" s="781"/>
      <c r="S85" s="781"/>
      <c r="T85" s="781"/>
      <c r="U85" s="781"/>
      <c r="V85" s="781"/>
      <c r="W85" s="781"/>
      <c r="X85" s="781"/>
      <c r="Y85" s="781"/>
      <c r="Z85" s="781"/>
      <c r="AA85" s="781"/>
      <c r="AB85" s="781"/>
      <c r="AC85" s="781"/>
      <c r="AD85" s="781"/>
      <c r="AE85" s="781"/>
      <c r="AF85" s="781"/>
      <c r="AG85" s="781"/>
      <c r="AH85" s="781"/>
      <c r="AI85" s="781"/>
      <c r="AJ85" s="781"/>
      <c r="AK85" s="781"/>
      <c r="AL85" s="781"/>
      <c r="AM85" s="781"/>
    </row>
    <row r="86" spans="1:39" s="786" customFormat="1" x14ac:dyDescent="0.3">
      <c r="A86" s="783"/>
      <c r="B86" s="784"/>
      <c r="C86" s="784"/>
      <c r="D86" s="785"/>
      <c r="E86" s="785"/>
      <c r="F86" s="781"/>
      <c r="G86" s="781"/>
      <c r="H86" s="781"/>
      <c r="I86" s="781"/>
      <c r="J86" s="781"/>
      <c r="K86" s="781"/>
      <c r="L86" s="781"/>
      <c r="M86" s="781"/>
      <c r="N86" s="781"/>
      <c r="O86" s="781"/>
      <c r="P86" s="781"/>
      <c r="Q86" s="781"/>
      <c r="R86" s="781"/>
      <c r="S86" s="781"/>
      <c r="T86" s="781"/>
      <c r="U86" s="781"/>
      <c r="V86" s="781"/>
      <c r="W86" s="781"/>
      <c r="X86" s="781"/>
      <c r="Y86" s="781"/>
      <c r="Z86" s="781"/>
      <c r="AA86" s="781"/>
      <c r="AB86" s="781"/>
      <c r="AC86" s="781"/>
      <c r="AD86" s="781"/>
      <c r="AE86" s="781"/>
      <c r="AF86" s="781"/>
      <c r="AG86" s="781"/>
      <c r="AH86" s="781"/>
      <c r="AI86" s="781"/>
      <c r="AJ86" s="781"/>
      <c r="AK86" s="781"/>
      <c r="AL86" s="781"/>
      <c r="AM86" s="781"/>
    </row>
    <row r="87" spans="1:39" s="786" customFormat="1" x14ac:dyDescent="0.3">
      <c r="A87" s="783"/>
      <c r="B87" s="784"/>
      <c r="C87" s="784"/>
      <c r="D87" s="785"/>
      <c r="E87" s="785"/>
      <c r="F87" s="781"/>
      <c r="G87" s="781"/>
      <c r="H87" s="781"/>
      <c r="I87" s="781"/>
      <c r="J87" s="781"/>
      <c r="K87" s="781"/>
      <c r="L87" s="781"/>
      <c r="M87" s="781"/>
      <c r="N87" s="781"/>
      <c r="O87" s="781"/>
      <c r="P87" s="781"/>
      <c r="Q87" s="781"/>
      <c r="R87" s="781"/>
      <c r="S87" s="781"/>
      <c r="T87" s="781"/>
      <c r="U87" s="781"/>
      <c r="V87" s="781"/>
      <c r="W87" s="781"/>
      <c r="X87" s="781"/>
      <c r="Y87" s="781"/>
      <c r="Z87" s="781"/>
      <c r="AA87" s="781"/>
      <c r="AB87" s="781"/>
      <c r="AC87" s="781"/>
      <c r="AD87" s="781"/>
      <c r="AE87" s="781"/>
      <c r="AF87" s="781"/>
      <c r="AG87" s="781"/>
      <c r="AH87" s="781"/>
      <c r="AI87" s="781"/>
      <c r="AJ87" s="781"/>
      <c r="AK87" s="781"/>
      <c r="AL87" s="781"/>
      <c r="AM87" s="781"/>
    </row>
    <row r="88" spans="1:39" s="786" customFormat="1" x14ac:dyDescent="0.3">
      <c r="A88" s="783"/>
      <c r="B88" s="784"/>
      <c r="C88" s="784"/>
      <c r="D88" s="785"/>
      <c r="E88" s="785"/>
      <c r="F88" s="781"/>
      <c r="G88" s="781"/>
      <c r="H88" s="781"/>
      <c r="I88" s="781"/>
      <c r="J88" s="781"/>
      <c r="K88" s="781"/>
      <c r="L88" s="781"/>
      <c r="M88" s="781"/>
      <c r="N88" s="781"/>
      <c r="O88" s="781"/>
      <c r="P88" s="781"/>
      <c r="Q88" s="781"/>
      <c r="R88" s="781"/>
      <c r="S88" s="781"/>
      <c r="T88" s="781"/>
      <c r="U88" s="781"/>
      <c r="V88" s="781"/>
      <c r="W88" s="781"/>
      <c r="X88" s="781"/>
      <c r="Y88" s="781"/>
      <c r="Z88" s="781"/>
      <c r="AA88" s="781"/>
      <c r="AB88" s="781"/>
      <c r="AC88" s="781"/>
      <c r="AD88" s="781"/>
      <c r="AE88" s="781"/>
      <c r="AF88" s="781"/>
      <c r="AG88" s="781"/>
      <c r="AH88" s="781"/>
      <c r="AI88" s="781"/>
      <c r="AJ88" s="781"/>
      <c r="AK88" s="781"/>
      <c r="AL88" s="781"/>
      <c r="AM88" s="781"/>
    </row>
    <row r="89" spans="1:39" s="786" customFormat="1" x14ac:dyDescent="0.3">
      <c r="A89" s="783"/>
      <c r="B89" s="784"/>
      <c r="C89" s="784"/>
      <c r="D89" s="785"/>
      <c r="E89" s="785"/>
      <c r="F89" s="781"/>
      <c r="G89" s="781"/>
      <c r="H89" s="781"/>
      <c r="I89" s="781"/>
      <c r="J89" s="781"/>
      <c r="K89" s="781"/>
      <c r="L89" s="781"/>
      <c r="M89" s="781"/>
      <c r="N89" s="781"/>
      <c r="O89" s="781"/>
      <c r="P89" s="781"/>
      <c r="Q89" s="781"/>
      <c r="R89" s="781"/>
      <c r="S89" s="781"/>
      <c r="T89" s="781"/>
      <c r="U89" s="781"/>
      <c r="V89" s="781"/>
      <c r="W89" s="781"/>
      <c r="X89" s="781"/>
      <c r="Y89" s="781"/>
      <c r="Z89" s="781"/>
      <c r="AA89" s="781"/>
      <c r="AB89" s="781"/>
      <c r="AC89" s="781"/>
      <c r="AD89" s="781"/>
      <c r="AE89" s="781"/>
      <c r="AF89" s="781"/>
      <c r="AG89" s="781"/>
      <c r="AH89" s="781"/>
      <c r="AI89" s="781"/>
      <c r="AJ89" s="781"/>
      <c r="AK89" s="781"/>
      <c r="AL89" s="781"/>
      <c r="AM89" s="781"/>
    </row>
    <row r="90" spans="1:39" s="786" customFormat="1" x14ac:dyDescent="0.3">
      <c r="A90" s="783"/>
      <c r="B90" s="784"/>
      <c r="C90" s="784"/>
      <c r="D90" s="785"/>
      <c r="E90" s="785"/>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row>
    <row r="91" spans="1:39" s="786" customFormat="1" x14ac:dyDescent="0.3">
      <c r="A91" s="783"/>
      <c r="B91" s="784"/>
      <c r="C91" s="784"/>
      <c r="D91" s="785"/>
      <c r="E91" s="785"/>
      <c r="F91" s="781"/>
      <c r="G91" s="781"/>
      <c r="H91" s="781"/>
      <c r="I91" s="781"/>
      <c r="J91" s="781"/>
      <c r="K91" s="781"/>
      <c r="L91" s="781"/>
      <c r="M91" s="781"/>
      <c r="N91" s="781"/>
      <c r="O91" s="781"/>
      <c r="P91" s="781"/>
      <c r="Q91" s="781"/>
      <c r="R91" s="781"/>
      <c r="S91" s="781"/>
      <c r="T91" s="781"/>
      <c r="U91" s="781"/>
      <c r="V91" s="781"/>
      <c r="W91" s="781"/>
      <c r="X91" s="781"/>
      <c r="Y91" s="781"/>
      <c r="Z91" s="781"/>
      <c r="AA91" s="781"/>
      <c r="AB91" s="781"/>
      <c r="AC91" s="781"/>
      <c r="AD91" s="781"/>
      <c r="AE91" s="781"/>
      <c r="AF91" s="781"/>
      <c r="AG91" s="781"/>
      <c r="AH91" s="781"/>
      <c r="AI91" s="781"/>
      <c r="AJ91" s="781"/>
      <c r="AK91" s="781"/>
      <c r="AL91" s="781"/>
      <c r="AM91" s="781"/>
    </row>
    <row r="92" spans="1:39" s="786" customFormat="1" x14ac:dyDescent="0.3">
      <c r="A92" s="783"/>
      <c r="B92" s="784"/>
      <c r="C92" s="784"/>
      <c r="D92" s="785"/>
      <c r="E92" s="785"/>
      <c r="F92" s="781"/>
      <c r="G92" s="781"/>
      <c r="H92" s="781"/>
      <c r="I92" s="781"/>
      <c r="J92" s="781"/>
      <c r="K92" s="781"/>
      <c r="L92" s="781"/>
      <c r="M92" s="781"/>
      <c r="N92" s="781"/>
      <c r="O92" s="781"/>
      <c r="P92" s="781"/>
      <c r="Q92" s="781"/>
      <c r="R92" s="781"/>
      <c r="S92" s="781"/>
      <c r="T92" s="781"/>
      <c r="U92" s="781"/>
      <c r="V92" s="781"/>
      <c r="W92" s="781"/>
      <c r="X92" s="781"/>
      <c r="Y92" s="781"/>
      <c r="Z92" s="781"/>
      <c r="AA92" s="781"/>
      <c r="AB92" s="781"/>
      <c r="AC92" s="781"/>
      <c r="AD92" s="781"/>
      <c r="AE92" s="781"/>
      <c r="AF92" s="781"/>
      <c r="AG92" s="781"/>
      <c r="AH92" s="781"/>
      <c r="AI92" s="781"/>
      <c r="AJ92" s="781"/>
      <c r="AK92" s="781"/>
      <c r="AL92" s="781"/>
      <c r="AM92" s="781"/>
    </row>
    <row r="93" spans="1:39" s="786" customFormat="1" x14ac:dyDescent="0.3">
      <c r="A93" s="783"/>
      <c r="B93" s="784"/>
      <c r="C93" s="784"/>
      <c r="D93" s="785"/>
      <c r="E93" s="785"/>
      <c r="F93" s="781"/>
      <c r="G93" s="781"/>
      <c r="H93" s="781"/>
      <c r="I93" s="781"/>
      <c r="J93" s="781"/>
      <c r="K93" s="781"/>
      <c r="L93" s="781"/>
      <c r="M93" s="781"/>
      <c r="N93" s="781"/>
      <c r="O93" s="781"/>
      <c r="P93" s="781"/>
      <c r="Q93" s="781"/>
      <c r="R93" s="781"/>
      <c r="S93" s="781"/>
      <c r="T93" s="781"/>
      <c r="U93" s="781"/>
      <c r="V93" s="781"/>
      <c r="W93" s="781"/>
      <c r="X93" s="781"/>
      <c r="Y93" s="781"/>
      <c r="Z93" s="781"/>
      <c r="AA93" s="781"/>
      <c r="AB93" s="781"/>
      <c r="AC93" s="781"/>
      <c r="AD93" s="781"/>
      <c r="AE93" s="781"/>
      <c r="AF93" s="781"/>
      <c r="AG93" s="781"/>
      <c r="AH93" s="781"/>
      <c r="AI93" s="781"/>
      <c r="AJ93" s="781"/>
      <c r="AK93" s="781"/>
      <c r="AL93" s="781"/>
      <c r="AM93" s="781"/>
    </row>
    <row r="94" spans="1:39" s="786" customFormat="1" x14ac:dyDescent="0.3">
      <c r="A94" s="783"/>
      <c r="B94" s="784"/>
      <c r="C94" s="784"/>
      <c r="D94" s="785"/>
      <c r="E94" s="785"/>
      <c r="F94" s="781"/>
      <c r="G94" s="781"/>
      <c r="H94" s="781"/>
      <c r="I94" s="781"/>
      <c r="J94" s="781"/>
      <c r="K94" s="781"/>
      <c r="L94" s="781"/>
      <c r="M94" s="781"/>
      <c r="N94" s="781"/>
      <c r="O94" s="781"/>
      <c r="P94" s="781"/>
      <c r="Q94" s="781"/>
      <c r="R94" s="781"/>
      <c r="S94" s="781"/>
      <c r="T94" s="781"/>
      <c r="U94" s="781"/>
      <c r="V94" s="781"/>
      <c r="W94" s="781"/>
      <c r="X94" s="781"/>
      <c r="Y94" s="781"/>
      <c r="Z94" s="781"/>
      <c r="AA94" s="781"/>
      <c r="AB94" s="781"/>
      <c r="AC94" s="781"/>
      <c r="AD94" s="781"/>
      <c r="AE94" s="781"/>
      <c r="AF94" s="781"/>
      <c r="AG94" s="781"/>
      <c r="AH94" s="781"/>
      <c r="AI94" s="781"/>
      <c r="AJ94" s="781"/>
      <c r="AK94" s="781"/>
      <c r="AL94" s="781"/>
      <c r="AM94" s="781"/>
    </row>
    <row r="95" spans="1:39" s="786" customFormat="1" x14ac:dyDescent="0.3">
      <c r="A95" s="783"/>
      <c r="B95" s="784"/>
      <c r="C95" s="784"/>
      <c r="D95" s="785"/>
      <c r="E95" s="785"/>
      <c r="F95" s="781"/>
      <c r="G95" s="781"/>
      <c r="H95" s="781"/>
      <c r="I95" s="781"/>
      <c r="J95" s="781"/>
      <c r="K95" s="781"/>
      <c r="L95" s="781"/>
      <c r="M95" s="781"/>
      <c r="N95" s="781"/>
      <c r="O95" s="781"/>
      <c r="P95" s="781"/>
      <c r="Q95" s="781"/>
      <c r="R95" s="781"/>
      <c r="S95" s="781"/>
      <c r="T95" s="781"/>
      <c r="U95" s="781"/>
      <c r="V95" s="781"/>
      <c r="W95" s="781"/>
      <c r="X95" s="781"/>
      <c r="Y95" s="781"/>
      <c r="Z95" s="781"/>
      <c r="AA95" s="781"/>
      <c r="AB95" s="781"/>
      <c r="AC95" s="781"/>
      <c r="AD95" s="781"/>
      <c r="AE95" s="781"/>
      <c r="AF95" s="781"/>
      <c r="AG95" s="781"/>
      <c r="AH95" s="781"/>
      <c r="AI95" s="781"/>
      <c r="AJ95" s="781"/>
      <c r="AK95" s="781"/>
      <c r="AL95" s="781"/>
      <c r="AM95" s="781"/>
    </row>
    <row r="96" spans="1:39" s="786" customFormat="1" x14ac:dyDescent="0.3">
      <c r="A96" s="783"/>
      <c r="B96" s="784"/>
      <c r="C96" s="784"/>
      <c r="D96" s="785"/>
      <c r="E96" s="785"/>
      <c r="F96" s="781"/>
      <c r="G96" s="781"/>
      <c r="H96" s="781"/>
      <c r="I96" s="781"/>
      <c r="J96" s="781"/>
      <c r="K96" s="781"/>
      <c r="L96" s="781"/>
      <c r="M96" s="781"/>
      <c r="N96" s="781"/>
      <c r="O96" s="781"/>
      <c r="P96" s="781"/>
      <c r="Q96" s="781"/>
      <c r="R96" s="781"/>
      <c r="S96" s="781"/>
      <c r="T96" s="781"/>
      <c r="U96" s="781"/>
      <c r="V96" s="781"/>
      <c r="W96" s="781"/>
      <c r="X96" s="781"/>
      <c r="Y96" s="781"/>
      <c r="Z96" s="781"/>
      <c r="AA96" s="781"/>
      <c r="AB96" s="781"/>
      <c r="AC96" s="781"/>
      <c r="AD96" s="781"/>
      <c r="AE96" s="781"/>
      <c r="AF96" s="781"/>
      <c r="AG96" s="781"/>
      <c r="AH96" s="781"/>
      <c r="AI96" s="781"/>
      <c r="AJ96" s="781"/>
      <c r="AK96" s="781"/>
      <c r="AL96" s="781"/>
      <c r="AM96" s="781"/>
    </row>
    <row r="97" spans="1:39" s="786" customFormat="1" x14ac:dyDescent="0.3">
      <c r="A97" s="783"/>
      <c r="B97" s="784"/>
      <c r="C97" s="784"/>
      <c r="D97" s="785"/>
      <c r="E97" s="785"/>
      <c r="F97" s="781"/>
      <c r="G97" s="781"/>
      <c r="H97" s="781"/>
      <c r="I97" s="781"/>
      <c r="J97" s="781"/>
      <c r="K97" s="781"/>
      <c r="L97" s="781"/>
      <c r="M97" s="781"/>
      <c r="N97" s="781"/>
      <c r="O97" s="781"/>
      <c r="P97" s="781"/>
      <c r="Q97" s="781"/>
      <c r="R97" s="781"/>
      <c r="S97" s="781"/>
      <c r="T97" s="781"/>
      <c r="U97" s="781"/>
      <c r="V97" s="781"/>
      <c r="W97" s="781"/>
      <c r="X97" s="781"/>
      <c r="Y97" s="781"/>
      <c r="Z97" s="781"/>
      <c r="AA97" s="781"/>
      <c r="AB97" s="781"/>
      <c r="AC97" s="781"/>
      <c r="AD97" s="781"/>
      <c r="AE97" s="781"/>
      <c r="AF97" s="781"/>
      <c r="AG97" s="781"/>
      <c r="AH97" s="781"/>
      <c r="AI97" s="781"/>
      <c r="AJ97" s="781"/>
      <c r="AK97" s="781"/>
      <c r="AL97" s="781"/>
      <c r="AM97" s="781"/>
    </row>
    <row r="98" spans="1:39" s="786" customFormat="1" x14ac:dyDescent="0.3">
      <c r="A98" s="783"/>
      <c r="B98" s="784"/>
      <c r="C98" s="784"/>
      <c r="D98" s="785"/>
      <c r="E98" s="785"/>
      <c r="F98" s="781"/>
      <c r="G98" s="781"/>
      <c r="H98" s="781"/>
      <c r="I98" s="781"/>
      <c r="J98" s="781"/>
      <c r="K98" s="781"/>
      <c r="L98" s="781"/>
      <c r="M98" s="781"/>
      <c r="N98" s="781"/>
      <c r="O98" s="781"/>
      <c r="P98" s="781"/>
      <c r="Q98" s="781"/>
      <c r="R98" s="781"/>
      <c r="S98" s="781"/>
      <c r="T98" s="781"/>
      <c r="U98" s="781"/>
      <c r="V98" s="781"/>
      <c r="W98" s="781"/>
      <c r="X98" s="781"/>
      <c r="Y98" s="781"/>
      <c r="Z98" s="781"/>
      <c r="AA98" s="781"/>
      <c r="AB98" s="781"/>
      <c r="AC98" s="781"/>
      <c r="AD98" s="781"/>
      <c r="AE98" s="781"/>
      <c r="AF98" s="781"/>
      <c r="AG98" s="781"/>
      <c r="AH98" s="781"/>
      <c r="AI98" s="781"/>
      <c r="AJ98" s="781"/>
      <c r="AK98" s="781"/>
      <c r="AL98" s="781"/>
      <c r="AM98" s="781"/>
    </row>
    <row r="99" spans="1:39" s="786" customFormat="1" x14ac:dyDescent="0.3">
      <c r="A99" s="783"/>
      <c r="B99" s="784"/>
      <c r="C99" s="784"/>
      <c r="D99" s="785"/>
      <c r="E99" s="785"/>
      <c r="F99" s="781"/>
      <c r="G99" s="781"/>
      <c r="H99" s="781"/>
      <c r="I99" s="781"/>
      <c r="J99" s="781"/>
      <c r="K99" s="781"/>
      <c r="L99" s="781"/>
      <c r="M99" s="781"/>
      <c r="N99" s="781"/>
      <c r="O99" s="781"/>
      <c r="P99" s="781"/>
      <c r="Q99" s="781"/>
      <c r="R99" s="781"/>
      <c r="S99" s="781"/>
      <c r="T99" s="781"/>
      <c r="U99" s="781"/>
      <c r="V99" s="781"/>
      <c r="W99" s="781"/>
      <c r="X99" s="781"/>
      <c r="Y99" s="781"/>
      <c r="Z99" s="781"/>
      <c r="AA99" s="781"/>
      <c r="AB99" s="781"/>
      <c r="AC99" s="781"/>
      <c r="AD99" s="781"/>
      <c r="AE99" s="781"/>
      <c r="AF99" s="781"/>
      <c r="AG99" s="781"/>
      <c r="AH99" s="781"/>
      <c r="AI99" s="781"/>
      <c r="AJ99" s="781"/>
      <c r="AK99" s="781"/>
      <c r="AL99" s="781"/>
      <c r="AM99" s="781"/>
    </row>
    <row r="100" spans="1:39" s="786" customFormat="1" x14ac:dyDescent="0.3">
      <c r="A100" s="783"/>
      <c r="B100" s="784"/>
      <c r="C100" s="784"/>
      <c r="D100" s="785"/>
      <c r="E100" s="785"/>
      <c r="F100" s="781"/>
      <c r="G100" s="781"/>
      <c r="H100" s="781"/>
      <c r="I100" s="781"/>
      <c r="J100" s="781"/>
      <c r="K100" s="781"/>
      <c r="L100" s="781"/>
      <c r="M100" s="781"/>
      <c r="N100" s="781"/>
      <c r="O100" s="781"/>
      <c r="P100" s="781"/>
      <c r="Q100" s="781"/>
      <c r="R100" s="781"/>
      <c r="S100" s="781"/>
      <c r="T100" s="781"/>
      <c r="U100" s="781"/>
      <c r="V100" s="781"/>
      <c r="W100" s="781"/>
      <c r="X100" s="781"/>
      <c r="Y100" s="781"/>
      <c r="Z100" s="781"/>
      <c r="AA100" s="781"/>
      <c r="AB100" s="781"/>
      <c r="AC100" s="781"/>
      <c r="AD100" s="781"/>
      <c r="AE100" s="781"/>
      <c r="AF100" s="781"/>
      <c r="AG100" s="781"/>
      <c r="AH100" s="781"/>
      <c r="AI100" s="781"/>
      <c r="AJ100" s="781"/>
      <c r="AK100" s="781"/>
      <c r="AL100" s="781"/>
      <c r="AM100" s="781"/>
    </row>
    <row r="101" spans="1:39" s="786" customFormat="1" x14ac:dyDescent="0.3">
      <c r="A101" s="783"/>
      <c r="B101" s="784"/>
      <c r="C101" s="784"/>
      <c r="D101" s="785"/>
      <c r="E101" s="785"/>
      <c r="F101" s="781"/>
      <c r="G101" s="781"/>
      <c r="H101" s="781"/>
      <c r="I101" s="781"/>
      <c r="J101" s="781"/>
      <c r="K101" s="781"/>
      <c r="L101" s="781"/>
      <c r="M101" s="781"/>
      <c r="N101" s="781"/>
      <c r="O101" s="781"/>
      <c r="P101" s="781"/>
      <c r="Q101" s="781"/>
      <c r="R101" s="781"/>
      <c r="S101" s="781"/>
      <c r="T101" s="781"/>
      <c r="U101" s="781"/>
      <c r="V101" s="781"/>
      <c r="W101" s="781"/>
      <c r="X101" s="781"/>
      <c r="Y101" s="781"/>
      <c r="Z101" s="781"/>
      <c r="AA101" s="781"/>
      <c r="AB101" s="781"/>
      <c r="AC101" s="781"/>
      <c r="AD101" s="781"/>
      <c r="AE101" s="781"/>
      <c r="AF101" s="781"/>
      <c r="AG101" s="781"/>
      <c r="AH101" s="781"/>
      <c r="AI101" s="781"/>
      <c r="AJ101" s="781"/>
      <c r="AK101" s="781"/>
      <c r="AL101" s="781"/>
      <c r="AM101" s="781"/>
    </row>
    <row r="102" spans="1:39" s="786" customFormat="1" x14ac:dyDescent="0.3">
      <c r="A102" s="783"/>
      <c r="B102" s="784"/>
      <c r="C102" s="784"/>
      <c r="D102" s="785"/>
      <c r="E102" s="785"/>
      <c r="F102" s="781"/>
      <c r="G102" s="781"/>
      <c r="H102" s="781"/>
      <c r="I102" s="781"/>
      <c r="J102" s="781"/>
      <c r="K102" s="781"/>
      <c r="L102" s="781"/>
      <c r="M102" s="781"/>
      <c r="N102" s="781"/>
      <c r="O102" s="781"/>
      <c r="P102" s="781"/>
      <c r="Q102" s="781"/>
      <c r="R102" s="781"/>
      <c r="S102" s="781"/>
      <c r="T102" s="781"/>
      <c r="U102" s="781"/>
      <c r="V102" s="781"/>
      <c r="W102" s="781"/>
      <c r="X102" s="781"/>
      <c r="Y102" s="781"/>
      <c r="Z102" s="781"/>
      <c r="AA102" s="781"/>
      <c r="AB102" s="781"/>
      <c r="AC102" s="781"/>
      <c r="AD102" s="781"/>
      <c r="AE102" s="781"/>
      <c r="AF102" s="781"/>
      <c r="AG102" s="781"/>
      <c r="AH102" s="781"/>
      <c r="AI102" s="781"/>
      <c r="AJ102" s="781"/>
      <c r="AK102" s="781"/>
      <c r="AL102" s="781"/>
      <c r="AM102" s="781"/>
    </row>
    <row r="103" spans="1:39" s="786" customFormat="1" x14ac:dyDescent="0.3">
      <c r="A103" s="783"/>
      <c r="B103" s="784"/>
      <c r="C103" s="784"/>
      <c r="D103" s="785"/>
      <c r="E103" s="785"/>
      <c r="F103" s="781"/>
      <c r="G103" s="781"/>
      <c r="H103" s="781"/>
      <c r="I103" s="781"/>
      <c r="J103" s="781"/>
      <c r="K103" s="781"/>
      <c r="L103" s="781"/>
      <c r="M103" s="781"/>
      <c r="N103" s="781"/>
      <c r="O103" s="781"/>
      <c r="P103" s="781"/>
      <c r="Q103" s="781"/>
      <c r="R103" s="781"/>
      <c r="S103" s="781"/>
      <c r="T103" s="781"/>
      <c r="U103" s="781"/>
      <c r="V103" s="781"/>
      <c r="W103" s="781"/>
      <c r="X103" s="781"/>
      <c r="Y103" s="781"/>
      <c r="Z103" s="781"/>
      <c r="AA103" s="781"/>
      <c r="AB103" s="781"/>
      <c r="AC103" s="781"/>
      <c r="AD103" s="781"/>
      <c r="AE103" s="781"/>
      <c r="AF103" s="781"/>
      <c r="AG103" s="781"/>
      <c r="AH103" s="781"/>
      <c r="AI103" s="781"/>
      <c r="AJ103" s="781"/>
      <c r="AK103" s="781"/>
      <c r="AL103" s="781"/>
      <c r="AM103" s="781"/>
    </row>
    <row r="104" spans="1:39" s="786" customFormat="1" x14ac:dyDescent="0.3">
      <c r="A104" s="783"/>
      <c r="B104" s="784"/>
      <c r="C104" s="784"/>
      <c r="D104" s="785"/>
      <c r="E104" s="785"/>
      <c r="F104" s="781"/>
      <c r="G104" s="781"/>
      <c r="H104" s="781"/>
      <c r="I104" s="781"/>
      <c r="J104" s="781"/>
      <c r="K104" s="781"/>
      <c r="L104" s="781"/>
      <c r="M104" s="781"/>
      <c r="N104" s="781"/>
      <c r="O104" s="781"/>
      <c r="P104" s="781"/>
      <c r="Q104" s="781"/>
      <c r="R104" s="781"/>
      <c r="S104" s="781"/>
      <c r="T104" s="781"/>
      <c r="U104" s="781"/>
      <c r="V104" s="781"/>
      <c r="W104" s="781"/>
      <c r="X104" s="781"/>
      <c r="Y104" s="781"/>
      <c r="Z104" s="781"/>
      <c r="AA104" s="781"/>
      <c r="AB104" s="781"/>
      <c r="AC104" s="781"/>
      <c r="AD104" s="781"/>
      <c r="AE104" s="781"/>
      <c r="AF104" s="781"/>
      <c r="AG104" s="781"/>
      <c r="AH104" s="781"/>
      <c r="AI104" s="781"/>
      <c r="AJ104" s="781"/>
      <c r="AK104" s="781"/>
      <c r="AL104" s="781"/>
      <c r="AM104" s="781"/>
    </row>
    <row r="105" spans="1:39" s="786" customFormat="1" x14ac:dyDescent="0.3">
      <c r="A105" s="783"/>
      <c r="B105" s="784"/>
      <c r="C105" s="784"/>
      <c r="D105" s="785"/>
      <c r="E105" s="785"/>
      <c r="F105" s="781"/>
      <c r="G105" s="781"/>
      <c r="H105" s="781"/>
      <c r="I105" s="781"/>
      <c r="J105" s="781"/>
      <c r="K105" s="781"/>
      <c r="L105" s="781"/>
      <c r="M105" s="781"/>
      <c r="N105" s="781"/>
      <c r="O105" s="781"/>
      <c r="P105" s="781"/>
      <c r="Q105" s="781"/>
      <c r="R105" s="781"/>
      <c r="S105" s="781"/>
      <c r="T105" s="781"/>
      <c r="U105" s="781"/>
      <c r="V105" s="781"/>
      <c r="W105" s="781"/>
      <c r="X105" s="781"/>
      <c r="Y105" s="781"/>
      <c r="Z105" s="781"/>
      <c r="AA105" s="781"/>
      <c r="AB105" s="781"/>
      <c r="AC105" s="781"/>
      <c r="AD105" s="781"/>
      <c r="AE105" s="781"/>
      <c r="AF105" s="781"/>
      <c r="AG105" s="781"/>
      <c r="AH105" s="781"/>
      <c r="AI105" s="781"/>
      <c r="AJ105" s="781"/>
      <c r="AK105" s="781"/>
      <c r="AL105" s="781"/>
      <c r="AM105" s="781"/>
    </row>
    <row r="106" spans="1:39" s="786" customFormat="1" x14ac:dyDescent="0.3">
      <c r="A106" s="783"/>
      <c r="B106" s="784"/>
      <c r="C106" s="784"/>
      <c r="D106" s="785"/>
      <c r="E106" s="785"/>
      <c r="F106" s="781"/>
      <c r="G106" s="781"/>
      <c r="H106" s="781"/>
      <c r="I106" s="781"/>
      <c r="J106" s="781"/>
      <c r="K106" s="781"/>
      <c r="L106" s="781"/>
      <c r="M106" s="781"/>
      <c r="N106" s="781"/>
      <c r="O106" s="781"/>
      <c r="P106" s="781"/>
      <c r="Q106" s="781"/>
      <c r="R106" s="781"/>
      <c r="S106" s="781"/>
      <c r="T106" s="781"/>
      <c r="U106" s="781"/>
      <c r="V106" s="781"/>
      <c r="W106" s="781"/>
      <c r="X106" s="781"/>
      <c r="Y106" s="781"/>
      <c r="Z106" s="781"/>
      <c r="AA106" s="781"/>
      <c r="AB106" s="781"/>
      <c r="AC106" s="781"/>
      <c r="AD106" s="781"/>
      <c r="AE106" s="781"/>
      <c r="AF106" s="781"/>
      <c r="AG106" s="781"/>
      <c r="AH106" s="781"/>
      <c r="AI106" s="781"/>
      <c r="AJ106" s="781"/>
      <c r="AK106" s="781"/>
      <c r="AL106" s="781"/>
      <c r="AM106" s="781"/>
    </row>
    <row r="107" spans="1:39" s="786" customFormat="1" x14ac:dyDescent="0.3">
      <c r="A107" s="783"/>
      <c r="B107" s="784"/>
      <c r="C107" s="784"/>
      <c r="D107" s="785"/>
      <c r="E107" s="785"/>
      <c r="F107" s="781"/>
      <c r="G107" s="781"/>
      <c r="H107" s="781"/>
      <c r="I107" s="781"/>
      <c r="J107" s="781"/>
      <c r="K107" s="781"/>
      <c r="L107" s="781"/>
      <c r="M107" s="781"/>
      <c r="N107" s="781"/>
      <c r="O107" s="781"/>
      <c r="P107" s="781"/>
      <c r="Q107" s="781"/>
      <c r="R107" s="781"/>
      <c r="S107" s="781"/>
      <c r="T107" s="781"/>
      <c r="U107" s="781"/>
      <c r="V107" s="781"/>
      <c r="W107" s="781"/>
      <c r="X107" s="781"/>
      <c r="Y107" s="781"/>
      <c r="Z107" s="781"/>
      <c r="AA107" s="781"/>
      <c r="AB107" s="781"/>
      <c r="AC107" s="781"/>
      <c r="AD107" s="781"/>
      <c r="AE107" s="781"/>
      <c r="AF107" s="781"/>
      <c r="AG107" s="781"/>
      <c r="AH107" s="781"/>
      <c r="AI107" s="781"/>
      <c r="AJ107" s="781"/>
      <c r="AK107" s="781"/>
      <c r="AL107" s="781"/>
      <c r="AM107" s="781"/>
    </row>
    <row r="108" spans="1:39" s="786" customFormat="1" x14ac:dyDescent="0.3">
      <c r="A108" s="783"/>
      <c r="B108" s="784"/>
      <c r="C108" s="784"/>
      <c r="D108" s="785"/>
      <c r="E108" s="785"/>
      <c r="F108" s="781"/>
      <c r="G108" s="781"/>
      <c r="H108" s="781"/>
      <c r="I108" s="781"/>
      <c r="J108" s="781"/>
      <c r="K108" s="781"/>
      <c r="L108" s="781"/>
      <c r="M108" s="781"/>
      <c r="N108" s="781"/>
      <c r="O108" s="781"/>
      <c r="P108" s="781"/>
      <c r="Q108" s="781"/>
      <c r="R108" s="781"/>
      <c r="S108" s="781"/>
      <c r="T108" s="781"/>
      <c r="U108" s="781"/>
      <c r="V108" s="781"/>
      <c r="W108" s="781"/>
      <c r="X108" s="781"/>
      <c r="Y108" s="781"/>
      <c r="Z108" s="781"/>
      <c r="AA108" s="781"/>
      <c r="AB108" s="781"/>
      <c r="AC108" s="781"/>
      <c r="AD108" s="781"/>
      <c r="AE108" s="781"/>
      <c r="AF108" s="781"/>
      <c r="AG108" s="781"/>
      <c r="AH108" s="781"/>
      <c r="AI108" s="781"/>
      <c r="AJ108" s="781"/>
      <c r="AK108" s="781"/>
      <c r="AL108" s="781"/>
      <c r="AM108" s="781"/>
    </row>
    <row r="109" spans="1:39" s="786" customFormat="1" x14ac:dyDescent="0.3">
      <c r="A109" s="783"/>
      <c r="B109" s="784"/>
      <c r="C109" s="784"/>
      <c r="D109" s="785"/>
      <c r="E109" s="785"/>
      <c r="F109" s="781"/>
      <c r="G109" s="781"/>
      <c r="H109" s="781"/>
      <c r="I109" s="781"/>
      <c r="J109" s="781"/>
      <c r="K109" s="781"/>
      <c r="L109" s="781"/>
      <c r="M109" s="781"/>
      <c r="N109" s="781"/>
      <c r="O109" s="781"/>
      <c r="P109" s="781"/>
      <c r="Q109" s="781"/>
      <c r="R109" s="781"/>
      <c r="S109" s="781"/>
      <c r="T109" s="781"/>
      <c r="U109" s="781"/>
      <c r="V109" s="781"/>
      <c r="W109" s="781"/>
      <c r="X109" s="781"/>
      <c r="Y109" s="781"/>
      <c r="Z109" s="781"/>
      <c r="AA109" s="781"/>
      <c r="AB109" s="781"/>
      <c r="AC109" s="781"/>
      <c r="AD109" s="781"/>
      <c r="AE109" s="781"/>
      <c r="AF109" s="781"/>
      <c r="AG109" s="781"/>
      <c r="AH109" s="781"/>
      <c r="AI109" s="781"/>
      <c r="AJ109" s="781"/>
      <c r="AK109" s="781"/>
      <c r="AL109" s="781"/>
      <c r="AM109" s="781"/>
    </row>
    <row r="110" spans="1:39" s="786" customFormat="1" x14ac:dyDescent="0.3">
      <c r="A110" s="783"/>
      <c r="B110" s="784"/>
      <c r="C110" s="784"/>
      <c r="D110" s="785"/>
      <c r="E110" s="785"/>
      <c r="F110" s="781"/>
      <c r="G110" s="781"/>
      <c r="H110" s="781"/>
      <c r="I110" s="781"/>
      <c r="J110" s="781"/>
      <c r="K110" s="781"/>
      <c r="L110" s="781"/>
      <c r="M110" s="781"/>
      <c r="N110" s="781"/>
      <c r="O110" s="781"/>
      <c r="P110" s="781"/>
      <c r="Q110" s="781"/>
      <c r="R110" s="781"/>
      <c r="S110" s="781"/>
      <c r="T110" s="781"/>
      <c r="U110" s="781"/>
      <c r="V110" s="781"/>
      <c r="W110" s="781"/>
      <c r="X110" s="781"/>
      <c r="Y110" s="781"/>
      <c r="Z110" s="781"/>
      <c r="AA110" s="781"/>
      <c r="AB110" s="781"/>
      <c r="AC110" s="781"/>
      <c r="AD110" s="781"/>
      <c r="AE110" s="781"/>
      <c r="AF110" s="781"/>
      <c r="AG110" s="781"/>
      <c r="AH110" s="781"/>
      <c r="AI110" s="781"/>
      <c r="AJ110" s="781"/>
      <c r="AK110" s="781"/>
      <c r="AL110" s="781"/>
      <c r="AM110" s="781"/>
    </row>
    <row r="111" spans="1:39" s="786" customFormat="1" x14ac:dyDescent="0.3">
      <c r="A111" s="783"/>
      <c r="B111" s="784"/>
      <c r="C111" s="784"/>
      <c r="D111" s="785"/>
      <c r="E111" s="785"/>
      <c r="F111" s="781"/>
      <c r="G111" s="781"/>
      <c r="H111" s="781"/>
      <c r="I111" s="781"/>
      <c r="J111" s="781"/>
      <c r="K111" s="781"/>
      <c r="L111" s="781"/>
      <c r="M111" s="781"/>
      <c r="N111" s="781"/>
      <c r="O111" s="781"/>
      <c r="P111" s="781"/>
      <c r="Q111" s="781"/>
      <c r="R111" s="781"/>
      <c r="S111" s="781"/>
      <c r="T111" s="781"/>
      <c r="U111" s="781"/>
      <c r="V111" s="781"/>
      <c r="W111" s="781"/>
      <c r="X111" s="781"/>
      <c r="Y111" s="781"/>
      <c r="Z111" s="781"/>
      <c r="AA111" s="781"/>
      <c r="AB111" s="781"/>
      <c r="AC111" s="781"/>
      <c r="AD111" s="781"/>
      <c r="AE111" s="781"/>
      <c r="AF111" s="781"/>
      <c r="AG111" s="781"/>
      <c r="AH111" s="781"/>
      <c r="AI111" s="781"/>
      <c r="AJ111" s="781"/>
      <c r="AK111" s="781"/>
      <c r="AL111" s="781"/>
      <c r="AM111" s="781"/>
    </row>
    <row r="112" spans="1:39" s="786" customFormat="1" x14ac:dyDescent="0.3">
      <c r="A112" s="783"/>
      <c r="B112" s="784"/>
      <c r="C112" s="784"/>
      <c r="D112" s="785"/>
      <c r="E112" s="785"/>
      <c r="F112" s="781"/>
      <c r="G112" s="781"/>
      <c r="H112" s="781"/>
      <c r="I112" s="781"/>
      <c r="J112" s="781"/>
      <c r="K112" s="781"/>
      <c r="L112" s="781"/>
      <c r="M112" s="781"/>
      <c r="N112" s="781"/>
      <c r="O112" s="781"/>
      <c r="P112" s="781"/>
      <c r="Q112" s="781"/>
      <c r="R112" s="781"/>
      <c r="S112" s="781"/>
      <c r="T112" s="781"/>
      <c r="U112" s="781"/>
      <c r="V112" s="781"/>
      <c r="W112" s="781"/>
      <c r="X112" s="781"/>
      <c r="Y112" s="781"/>
      <c r="Z112" s="781"/>
      <c r="AA112" s="781"/>
      <c r="AB112" s="781"/>
      <c r="AC112" s="781"/>
      <c r="AD112" s="781"/>
      <c r="AE112" s="781"/>
      <c r="AF112" s="781"/>
      <c r="AG112" s="781"/>
      <c r="AH112" s="781"/>
      <c r="AI112" s="781"/>
      <c r="AJ112" s="781"/>
      <c r="AK112" s="781"/>
      <c r="AL112" s="781"/>
      <c r="AM112" s="781"/>
    </row>
    <row r="113" spans="1:39" s="786" customFormat="1" x14ac:dyDescent="0.3">
      <c r="A113" s="783"/>
      <c r="B113" s="784"/>
      <c r="C113" s="784"/>
      <c r="D113" s="785"/>
      <c r="E113" s="785"/>
      <c r="F113" s="781"/>
      <c r="G113" s="781"/>
      <c r="H113" s="781"/>
      <c r="I113" s="781"/>
      <c r="J113" s="781"/>
      <c r="K113" s="781"/>
      <c r="L113" s="781"/>
      <c r="M113" s="781"/>
      <c r="N113" s="781"/>
      <c r="O113" s="781"/>
      <c r="P113" s="781"/>
      <c r="Q113" s="781"/>
      <c r="R113" s="781"/>
      <c r="S113" s="781"/>
      <c r="T113" s="781"/>
      <c r="U113" s="781"/>
      <c r="V113" s="781"/>
      <c r="W113" s="781"/>
      <c r="X113" s="781"/>
      <c r="Y113" s="781"/>
      <c r="Z113" s="781"/>
      <c r="AA113" s="781"/>
      <c r="AB113" s="781"/>
      <c r="AC113" s="781"/>
      <c r="AD113" s="781"/>
      <c r="AE113" s="781"/>
      <c r="AF113" s="781"/>
      <c r="AG113" s="781"/>
      <c r="AH113" s="781"/>
      <c r="AI113" s="781"/>
      <c r="AJ113" s="781"/>
      <c r="AK113" s="781"/>
      <c r="AL113" s="781"/>
      <c r="AM113" s="781"/>
    </row>
    <row r="114" spans="1:39" s="786" customFormat="1" x14ac:dyDescent="0.3">
      <c r="A114" s="783"/>
      <c r="B114" s="784"/>
      <c r="C114" s="784"/>
      <c r="D114" s="785"/>
      <c r="E114" s="785"/>
      <c r="F114" s="781"/>
      <c r="G114" s="781"/>
      <c r="H114" s="781"/>
      <c r="I114" s="781"/>
      <c r="J114" s="781"/>
      <c r="K114" s="781"/>
      <c r="L114" s="781"/>
      <c r="M114" s="781"/>
      <c r="N114" s="781"/>
      <c r="O114" s="781"/>
      <c r="P114" s="781"/>
      <c r="Q114" s="781"/>
      <c r="R114" s="781"/>
      <c r="S114" s="781"/>
      <c r="T114" s="781"/>
      <c r="U114" s="781"/>
      <c r="V114" s="781"/>
      <c r="W114" s="781"/>
      <c r="X114" s="781"/>
      <c r="Y114" s="781"/>
      <c r="Z114" s="781"/>
      <c r="AA114" s="781"/>
      <c r="AB114" s="781"/>
      <c r="AC114" s="781"/>
      <c r="AD114" s="781"/>
      <c r="AE114" s="781"/>
      <c r="AF114" s="781"/>
      <c r="AG114" s="781"/>
      <c r="AH114" s="781"/>
      <c r="AI114" s="781"/>
      <c r="AJ114" s="781"/>
      <c r="AK114" s="781"/>
      <c r="AL114" s="781"/>
      <c r="AM114" s="781"/>
    </row>
    <row r="115" spans="1:39" s="786" customFormat="1" x14ac:dyDescent="0.3">
      <c r="A115" s="783"/>
      <c r="B115" s="784"/>
      <c r="C115" s="784"/>
      <c r="D115" s="785"/>
      <c r="E115" s="785"/>
      <c r="F115" s="781"/>
      <c r="G115" s="781"/>
      <c r="H115" s="781"/>
      <c r="I115" s="781"/>
      <c r="J115" s="781"/>
      <c r="K115" s="781"/>
      <c r="L115" s="781"/>
      <c r="M115" s="781"/>
      <c r="N115" s="781"/>
      <c r="O115" s="781"/>
      <c r="P115" s="781"/>
      <c r="Q115" s="781"/>
      <c r="R115" s="781"/>
      <c r="S115" s="781"/>
      <c r="T115" s="781"/>
      <c r="U115" s="781"/>
      <c r="V115" s="781"/>
      <c r="W115" s="781"/>
      <c r="X115" s="781"/>
      <c r="Y115" s="781"/>
      <c r="Z115" s="781"/>
      <c r="AA115" s="781"/>
      <c r="AB115" s="781"/>
      <c r="AC115" s="781"/>
      <c r="AD115" s="781"/>
      <c r="AE115" s="781"/>
      <c r="AF115" s="781"/>
      <c r="AG115" s="781"/>
      <c r="AH115" s="781"/>
      <c r="AI115" s="781"/>
      <c r="AJ115" s="781"/>
      <c r="AK115" s="781"/>
      <c r="AL115" s="781"/>
      <c r="AM115" s="781"/>
    </row>
    <row r="116" spans="1:39" s="786" customFormat="1" x14ac:dyDescent="0.3">
      <c r="A116" s="783"/>
      <c r="B116" s="784"/>
      <c r="C116" s="784"/>
      <c r="D116" s="785"/>
      <c r="E116" s="785"/>
      <c r="F116" s="781"/>
      <c r="G116" s="781"/>
      <c r="H116" s="781"/>
      <c r="I116" s="781"/>
      <c r="J116" s="781"/>
      <c r="K116" s="781"/>
      <c r="L116" s="781"/>
      <c r="M116" s="781"/>
      <c r="N116" s="781"/>
      <c r="O116" s="781"/>
      <c r="P116" s="781"/>
      <c r="Q116" s="781"/>
      <c r="R116" s="781"/>
      <c r="S116" s="781"/>
      <c r="T116" s="781"/>
      <c r="U116" s="781"/>
      <c r="V116" s="781"/>
      <c r="W116" s="781"/>
      <c r="X116" s="781"/>
      <c r="Y116" s="781"/>
      <c r="Z116" s="781"/>
      <c r="AA116" s="781"/>
      <c r="AB116" s="781"/>
      <c r="AC116" s="781"/>
      <c r="AD116" s="781"/>
      <c r="AE116" s="781"/>
      <c r="AF116" s="781"/>
      <c r="AG116" s="781"/>
      <c r="AH116" s="781"/>
      <c r="AI116" s="781"/>
      <c r="AJ116" s="781"/>
      <c r="AK116" s="781"/>
      <c r="AL116" s="781"/>
      <c r="AM116" s="781"/>
    </row>
    <row r="117" spans="1:39" s="786" customFormat="1" x14ac:dyDescent="0.3">
      <c r="A117" s="783"/>
      <c r="B117" s="784"/>
      <c r="C117" s="784"/>
      <c r="D117" s="785"/>
      <c r="E117" s="785"/>
      <c r="F117" s="781"/>
      <c r="G117" s="781"/>
      <c r="H117" s="781"/>
      <c r="I117" s="781"/>
      <c r="J117" s="781"/>
      <c r="K117" s="781"/>
      <c r="L117" s="781"/>
      <c r="M117" s="781"/>
      <c r="N117" s="781"/>
      <c r="O117" s="781"/>
      <c r="P117" s="781"/>
      <c r="Q117" s="781"/>
      <c r="R117" s="781"/>
      <c r="S117" s="781"/>
      <c r="T117" s="781"/>
      <c r="U117" s="781"/>
      <c r="V117" s="781"/>
      <c r="W117" s="781"/>
      <c r="X117" s="781"/>
      <c r="Y117" s="781"/>
      <c r="Z117" s="781"/>
      <c r="AA117" s="781"/>
      <c r="AB117" s="781"/>
      <c r="AC117" s="781"/>
      <c r="AD117" s="781"/>
      <c r="AE117" s="781"/>
      <c r="AF117" s="781"/>
      <c r="AG117" s="781"/>
      <c r="AH117" s="781"/>
      <c r="AI117" s="781"/>
      <c r="AJ117" s="781"/>
      <c r="AK117" s="781"/>
      <c r="AL117" s="781"/>
      <c r="AM117" s="781"/>
    </row>
    <row r="118" spans="1:39" s="786" customFormat="1" x14ac:dyDescent="0.3">
      <c r="A118" s="783"/>
      <c r="B118" s="784"/>
      <c r="C118" s="784"/>
      <c r="D118" s="785"/>
      <c r="E118" s="785"/>
      <c r="F118" s="781"/>
      <c r="G118" s="781"/>
      <c r="H118" s="781"/>
      <c r="I118" s="781"/>
      <c r="J118" s="781"/>
      <c r="K118" s="781"/>
      <c r="L118" s="781"/>
      <c r="M118" s="781"/>
      <c r="N118" s="781"/>
      <c r="O118" s="781"/>
      <c r="P118" s="781"/>
      <c r="Q118" s="781"/>
      <c r="R118" s="781"/>
      <c r="S118" s="781"/>
      <c r="T118" s="781"/>
      <c r="U118" s="781"/>
      <c r="V118" s="781"/>
      <c r="W118" s="781"/>
      <c r="X118" s="781"/>
      <c r="Y118" s="781"/>
      <c r="Z118" s="781"/>
      <c r="AA118" s="781"/>
      <c r="AB118" s="781"/>
      <c r="AC118" s="781"/>
      <c r="AD118" s="781"/>
      <c r="AE118" s="781"/>
      <c r="AF118" s="781"/>
      <c r="AG118" s="781"/>
      <c r="AH118" s="781"/>
      <c r="AI118" s="781"/>
      <c r="AJ118" s="781"/>
      <c r="AK118" s="781"/>
      <c r="AL118" s="781"/>
      <c r="AM118" s="781"/>
    </row>
    <row r="119" spans="1:39" s="786" customFormat="1" x14ac:dyDescent="0.3">
      <c r="A119" s="783"/>
      <c r="B119" s="784"/>
      <c r="C119" s="784"/>
      <c r="D119" s="785"/>
      <c r="E119" s="785"/>
      <c r="F119" s="781"/>
      <c r="G119" s="781"/>
      <c r="H119" s="781"/>
      <c r="I119" s="781"/>
      <c r="J119" s="781"/>
      <c r="K119" s="781"/>
      <c r="L119" s="781"/>
      <c r="M119" s="781"/>
      <c r="N119" s="781"/>
      <c r="O119" s="781"/>
      <c r="P119" s="781"/>
      <c r="Q119" s="781"/>
      <c r="R119" s="781"/>
      <c r="S119" s="781"/>
      <c r="T119" s="781"/>
      <c r="U119" s="781"/>
      <c r="V119" s="781"/>
      <c r="W119" s="781"/>
      <c r="X119" s="781"/>
      <c r="Y119" s="781"/>
      <c r="Z119" s="781"/>
      <c r="AA119" s="781"/>
      <c r="AB119" s="781"/>
      <c r="AC119" s="781"/>
      <c r="AD119" s="781"/>
      <c r="AE119" s="781"/>
      <c r="AF119" s="781"/>
      <c r="AG119" s="781"/>
      <c r="AH119" s="781"/>
      <c r="AI119" s="781"/>
      <c r="AJ119" s="781"/>
      <c r="AK119" s="781"/>
      <c r="AL119" s="781"/>
      <c r="AM119" s="781"/>
    </row>
    <row r="120" spans="1:39" s="786" customFormat="1" x14ac:dyDescent="0.3">
      <c r="A120" s="783"/>
      <c r="B120" s="784"/>
      <c r="C120" s="784"/>
      <c r="D120" s="785"/>
      <c r="E120" s="785"/>
      <c r="F120" s="781"/>
      <c r="G120" s="781"/>
      <c r="H120" s="781"/>
      <c r="I120" s="781"/>
      <c r="J120" s="781"/>
      <c r="K120" s="781"/>
      <c r="L120" s="781"/>
      <c r="M120" s="781"/>
      <c r="N120" s="781"/>
      <c r="O120" s="781"/>
      <c r="P120" s="781"/>
      <c r="Q120" s="781"/>
      <c r="R120" s="781"/>
      <c r="S120" s="781"/>
      <c r="T120" s="781"/>
      <c r="U120" s="781"/>
      <c r="V120" s="781"/>
      <c r="W120" s="781"/>
      <c r="X120" s="781"/>
      <c r="Y120" s="781"/>
      <c r="Z120" s="781"/>
      <c r="AA120" s="781"/>
      <c r="AB120" s="781"/>
      <c r="AC120" s="781"/>
      <c r="AD120" s="781"/>
      <c r="AE120" s="781"/>
      <c r="AF120" s="781"/>
      <c r="AG120" s="781"/>
      <c r="AH120" s="781"/>
      <c r="AI120" s="781"/>
      <c r="AJ120" s="781"/>
      <c r="AK120" s="781"/>
      <c r="AL120" s="781"/>
      <c r="AM120" s="781"/>
    </row>
    <row r="121" spans="1:39" s="786" customFormat="1" x14ac:dyDescent="0.3">
      <c r="A121" s="783"/>
      <c r="B121" s="784"/>
      <c r="C121" s="784"/>
      <c r="D121" s="785"/>
      <c r="E121" s="785"/>
      <c r="F121" s="781"/>
      <c r="G121" s="781"/>
      <c r="H121" s="781"/>
      <c r="I121" s="781"/>
      <c r="J121" s="781"/>
      <c r="K121" s="781"/>
      <c r="L121" s="781"/>
      <c r="M121" s="781"/>
      <c r="N121" s="781"/>
      <c r="O121" s="781"/>
      <c r="P121" s="781"/>
      <c r="Q121" s="781"/>
      <c r="R121" s="781"/>
      <c r="S121" s="781"/>
      <c r="T121" s="781"/>
      <c r="U121" s="781"/>
      <c r="V121" s="781"/>
      <c r="W121" s="781"/>
      <c r="X121" s="781"/>
      <c r="Y121" s="781"/>
      <c r="Z121" s="781"/>
      <c r="AA121" s="781"/>
      <c r="AB121" s="781"/>
      <c r="AC121" s="781"/>
      <c r="AD121" s="781"/>
      <c r="AE121" s="781"/>
      <c r="AF121" s="781"/>
      <c r="AG121" s="781"/>
      <c r="AH121" s="781"/>
      <c r="AI121" s="781"/>
      <c r="AJ121" s="781"/>
      <c r="AK121" s="781"/>
      <c r="AL121" s="781"/>
      <c r="AM121" s="781"/>
    </row>
    <row r="122" spans="1:39" s="786" customFormat="1" x14ac:dyDescent="0.3">
      <c r="A122" s="783"/>
      <c r="B122" s="784"/>
      <c r="C122" s="784"/>
      <c r="D122" s="785"/>
      <c r="E122" s="785"/>
      <c r="F122" s="781"/>
      <c r="G122" s="781"/>
      <c r="H122" s="781"/>
      <c r="I122" s="781"/>
      <c r="J122" s="781"/>
      <c r="K122" s="781"/>
      <c r="L122" s="781"/>
      <c r="M122" s="781"/>
      <c r="N122" s="781"/>
      <c r="O122" s="781"/>
      <c r="P122" s="781"/>
      <c r="Q122" s="781"/>
      <c r="R122" s="781"/>
      <c r="S122" s="781"/>
      <c r="T122" s="781"/>
      <c r="U122" s="781"/>
      <c r="V122" s="781"/>
      <c r="W122" s="781"/>
      <c r="X122" s="781"/>
      <c r="Y122" s="781"/>
      <c r="Z122" s="781"/>
      <c r="AA122" s="781"/>
      <c r="AB122" s="781"/>
      <c r="AC122" s="781"/>
      <c r="AD122" s="781"/>
      <c r="AE122" s="781"/>
      <c r="AF122" s="781"/>
      <c r="AG122" s="781"/>
      <c r="AH122" s="781"/>
      <c r="AI122" s="781"/>
      <c r="AJ122" s="781"/>
      <c r="AK122" s="781"/>
      <c r="AL122" s="781"/>
      <c r="AM122" s="781"/>
    </row>
    <row r="123" spans="1:39" s="786" customFormat="1" x14ac:dyDescent="0.3">
      <c r="A123" s="783"/>
      <c r="B123" s="784"/>
      <c r="C123" s="784"/>
      <c r="D123" s="785"/>
      <c r="E123" s="785"/>
      <c r="F123" s="781"/>
      <c r="G123" s="781"/>
      <c r="H123" s="781"/>
      <c r="I123" s="781"/>
      <c r="J123" s="781"/>
      <c r="K123" s="781"/>
      <c r="L123" s="781"/>
      <c r="M123" s="781"/>
      <c r="N123" s="781"/>
      <c r="O123" s="781"/>
      <c r="P123" s="781"/>
      <c r="Q123" s="781"/>
      <c r="R123" s="781"/>
      <c r="S123" s="781"/>
      <c r="T123" s="781"/>
      <c r="U123" s="781"/>
      <c r="V123" s="781"/>
      <c r="W123" s="781"/>
      <c r="X123" s="781"/>
      <c r="Y123" s="781"/>
      <c r="Z123" s="781"/>
      <c r="AA123" s="781"/>
      <c r="AB123" s="781"/>
      <c r="AC123" s="781"/>
      <c r="AD123" s="781"/>
      <c r="AE123" s="781"/>
      <c r="AF123" s="781"/>
      <c r="AG123" s="781"/>
      <c r="AH123" s="781"/>
      <c r="AI123" s="781"/>
      <c r="AJ123" s="781"/>
      <c r="AK123" s="781"/>
      <c r="AL123" s="781"/>
      <c r="AM123" s="781"/>
    </row>
    <row r="124" spans="1:39" s="786" customFormat="1" x14ac:dyDescent="0.3">
      <c r="A124" s="783"/>
      <c r="B124" s="784"/>
      <c r="C124" s="784"/>
      <c r="D124" s="785"/>
      <c r="E124" s="785"/>
      <c r="F124" s="781"/>
      <c r="G124" s="781"/>
      <c r="H124" s="781"/>
      <c r="I124" s="781"/>
      <c r="J124" s="781"/>
      <c r="K124" s="781"/>
      <c r="L124" s="781"/>
      <c r="M124" s="781"/>
      <c r="N124" s="781"/>
      <c r="O124" s="781"/>
      <c r="P124" s="781"/>
      <c r="Q124" s="781"/>
      <c r="R124" s="781"/>
      <c r="S124" s="781"/>
      <c r="T124" s="781"/>
      <c r="U124" s="781"/>
      <c r="V124" s="781"/>
      <c r="W124" s="781"/>
      <c r="X124" s="781"/>
      <c r="Y124" s="781"/>
      <c r="Z124" s="781"/>
      <c r="AA124" s="781"/>
      <c r="AB124" s="781"/>
      <c r="AC124" s="781"/>
      <c r="AD124" s="781"/>
      <c r="AE124" s="781"/>
      <c r="AF124" s="781"/>
      <c r="AG124" s="781"/>
      <c r="AH124" s="781"/>
      <c r="AI124" s="781"/>
      <c r="AJ124" s="781"/>
      <c r="AK124" s="781"/>
      <c r="AL124" s="781"/>
      <c r="AM124" s="781"/>
    </row>
    <row r="125" spans="1:39" s="786" customFormat="1" x14ac:dyDescent="0.3">
      <c r="A125" s="783"/>
      <c r="B125" s="784"/>
      <c r="C125" s="784"/>
      <c r="D125" s="785"/>
      <c r="E125" s="785"/>
      <c r="F125" s="781"/>
      <c r="G125" s="781"/>
      <c r="H125" s="781"/>
      <c r="I125" s="781"/>
      <c r="J125" s="781"/>
      <c r="K125" s="781"/>
      <c r="L125" s="781"/>
      <c r="M125" s="781"/>
      <c r="N125" s="781"/>
      <c r="O125" s="781"/>
      <c r="P125" s="781"/>
      <c r="Q125" s="781"/>
      <c r="R125" s="781"/>
      <c r="S125" s="781"/>
      <c r="T125" s="781"/>
      <c r="U125" s="781"/>
      <c r="V125" s="781"/>
      <c r="W125" s="781"/>
      <c r="X125" s="781"/>
      <c r="Y125" s="781"/>
      <c r="Z125" s="781"/>
      <c r="AA125" s="781"/>
      <c r="AB125" s="781"/>
      <c r="AC125" s="781"/>
      <c r="AD125" s="781"/>
      <c r="AE125" s="781"/>
      <c r="AF125" s="781"/>
      <c r="AG125" s="781"/>
      <c r="AH125" s="781"/>
      <c r="AI125" s="781"/>
      <c r="AJ125" s="781"/>
      <c r="AK125" s="781"/>
      <c r="AL125" s="781"/>
      <c r="AM125" s="781"/>
    </row>
    <row r="126" spans="1:39" s="786" customFormat="1" x14ac:dyDescent="0.3">
      <c r="A126" s="783"/>
      <c r="B126" s="784"/>
      <c r="C126" s="784"/>
      <c r="D126" s="785"/>
      <c r="E126" s="785"/>
      <c r="F126" s="781"/>
      <c r="G126" s="781"/>
      <c r="H126" s="781"/>
      <c r="I126" s="781"/>
      <c r="J126" s="781"/>
      <c r="K126" s="781"/>
      <c r="L126" s="781"/>
      <c r="M126" s="781"/>
      <c r="N126" s="781"/>
      <c r="O126" s="781"/>
      <c r="P126" s="781"/>
      <c r="Q126" s="781"/>
      <c r="R126" s="781"/>
      <c r="S126" s="781"/>
      <c r="T126" s="781"/>
      <c r="U126" s="781"/>
      <c r="V126" s="781"/>
      <c r="W126" s="781"/>
      <c r="X126" s="781"/>
      <c r="Y126" s="781"/>
      <c r="Z126" s="781"/>
      <c r="AA126" s="781"/>
      <c r="AB126" s="781"/>
      <c r="AC126" s="781"/>
      <c r="AD126" s="781"/>
      <c r="AE126" s="781"/>
      <c r="AF126" s="781"/>
      <c r="AG126" s="781"/>
      <c r="AH126" s="781"/>
      <c r="AI126" s="781"/>
      <c r="AJ126" s="781"/>
      <c r="AK126" s="781"/>
      <c r="AL126" s="781"/>
      <c r="AM126" s="781"/>
    </row>
    <row r="127" spans="1:39" s="786" customFormat="1" x14ac:dyDescent="0.3">
      <c r="A127" s="783"/>
      <c r="B127" s="784"/>
      <c r="C127" s="784"/>
      <c r="D127" s="785"/>
      <c r="E127" s="785"/>
      <c r="F127" s="781"/>
      <c r="G127" s="781"/>
      <c r="H127" s="781"/>
      <c r="I127" s="781"/>
      <c r="J127" s="781"/>
      <c r="K127" s="781"/>
      <c r="L127" s="781"/>
      <c r="M127" s="781"/>
      <c r="N127" s="781"/>
      <c r="O127" s="781"/>
      <c r="P127" s="781"/>
      <c r="Q127" s="781"/>
      <c r="R127" s="781"/>
      <c r="S127" s="781"/>
      <c r="T127" s="781"/>
      <c r="U127" s="781"/>
      <c r="V127" s="781"/>
      <c r="W127" s="781"/>
      <c r="X127" s="781"/>
      <c r="Y127" s="781"/>
      <c r="Z127" s="781"/>
      <c r="AA127" s="781"/>
      <c r="AB127" s="781"/>
      <c r="AC127" s="781"/>
      <c r="AD127" s="781"/>
      <c r="AE127" s="781"/>
      <c r="AF127" s="781"/>
      <c r="AG127" s="781"/>
      <c r="AH127" s="781"/>
      <c r="AI127" s="781"/>
      <c r="AJ127" s="781"/>
      <c r="AK127" s="781"/>
      <c r="AL127" s="781"/>
      <c r="AM127" s="781"/>
    </row>
    <row r="128" spans="1:39" s="786" customFormat="1" x14ac:dyDescent="0.3">
      <c r="A128" s="783"/>
      <c r="B128" s="784"/>
      <c r="C128" s="784"/>
      <c r="D128" s="785"/>
      <c r="E128" s="785"/>
      <c r="F128" s="781"/>
      <c r="G128" s="781"/>
      <c r="H128" s="781"/>
      <c r="I128" s="781"/>
      <c r="J128" s="781"/>
      <c r="K128" s="781"/>
      <c r="L128" s="781"/>
      <c r="M128" s="781"/>
      <c r="N128" s="781"/>
      <c r="O128" s="781"/>
      <c r="P128" s="781"/>
      <c r="Q128" s="781"/>
      <c r="R128" s="781"/>
      <c r="S128" s="781"/>
      <c r="T128" s="781"/>
      <c r="U128" s="781"/>
      <c r="V128" s="781"/>
      <c r="W128" s="781"/>
      <c r="X128" s="781"/>
      <c r="Y128" s="781"/>
      <c r="Z128" s="781"/>
      <c r="AA128" s="781"/>
      <c r="AB128" s="781"/>
      <c r="AC128" s="781"/>
      <c r="AD128" s="781"/>
      <c r="AE128" s="781"/>
      <c r="AF128" s="781"/>
      <c r="AG128" s="781"/>
      <c r="AH128" s="781"/>
      <c r="AI128" s="781"/>
      <c r="AJ128" s="781"/>
      <c r="AK128" s="781"/>
      <c r="AL128" s="781"/>
      <c r="AM128" s="781"/>
    </row>
    <row r="129" spans="1:39" s="786" customFormat="1" x14ac:dyDescent="0.3">
      <c r="A129" s="783"/>
      <c r="B129" s="784"/>
      <c r="C129" s="784"/>
      <c r="D129" s="785"/>
      <c r="E129" s="785"/>
      <c r="F129" s="781"/>
      <c r="G129" s="781"/>
      <c r="H129" s="781"/>
      <c r="I129" s="781"/>
      <c r="J129" s="781"/>
      <c r="K129" s="781"/>
      <c r="L129" s="781"/>
      <c r="M129" s="781"/>
      <c r="N129" s="781"/>
      <c r="O129" s="781"/>
      <c r="P129" s="781"/>
      <c r="Q129" s="781"/>
      <c r="R129" s="781"/>
      <c r="S129" s="781"/>
      <c r="T129" s="781"/>
      <c r="U129" s="781"/>
      <c r="V129" s="781"/>
      <c r="W129" s="781"/>
      <c r="X129" s="781"/>
      <c r="Y129" s="781"/>
      <c r="Z129" s="781"/>
      <c r="AA129" s="781"/>
      <c r="AB129" s="781"/>
      <c r="AC129" s="781"/>
      <c r="AD129" s="781"/>
      <c r="AE129" s="781"/>
      <c r="AF129" s="781"/>
      <c r="AG129" s="781"/>
      <c r="AH129" s="781"/>
      <c r="AI129" s="781"/>
      <c r="AJ129" s="781"/>
      <c r="AK129" s="781"/>
      <c r="AL129" s="781"/>
      <c r="AM129" s="781"/>
    </row>
    <row r="130" spans="1:39" s="786" customFormat="1" x14ac:dyDescent="0.3">
      <c r="A130" s="783"/>
      <c r="B130" s="784"/>
      <c r="C130" s="784"/>
      <c r="D130" s="785"/>
      <c r="E130" s="785"/>
      <c r="F130" s="781"/>
      <c r="G130" s="781"/>
      <c r="H130" s="781"/>
      <c r="I130" s="781"/>
      <c r="J130" s="781"/>
      <c r="K130" s="781"/>
      <c r="L130" s="781"/>
      <c r="M130" s="781"/>
      <c r="N130" s="781"/>
      <c r="O130" s="781"/>
      <c r="P130" s="781"/>
      <c r="Q130" s="781"/>
      <c r="R130" s="781"/>
      <c r="S130" s="781"/>
      <c r="T130" s="781"/>
      <c r="U130" s="781"/>
      <c r="V130" s="781"/>
      <c r="W130" s="781"/>
      <c r="X130" s="781"/>
      <c r="Y130" s="781"/>
      <c r="Z130" s="781"/>
      <c r="AA130" s="781"/>
      <c r="AB130" s="781"/>
      <c r="AC130" s="781"/>
      <c r="AD130" s="781"/>
      <c r="AE130" s="781"/>
      <c r="AF130" s="781"/>
      <c r="AG130" s="781"/>
      <c r="AH130" s="781"/>
      <c r="AI130" s="781"/>
      <c r="AJ130" s="781"/>
      <c r="AK130" s="781"/>
      <c r="AL130" s="781"/>
      <c r="AM130" s="781"/>
    </row>
    <row r="131" spans="1:39" s="786" customFormat="1" x14ac:dyDescent="0.3">
      <c r="A131" s="783"/>
      <c r="B131" s="784"/>
      <c r="C131" s="784"/>
      <c r="D131" s="785"/>
      <c r="E131" s="785"/>
      <c r="F131" s="781"/>
      <c r="G131" s="781"/>
      <c r="H131" s="781"/>
      <c r="I131" s="781"/>
      <c r="J131" s="781"/>
      <c r="K131" s="781"/>
      <c r="L131" s="781"/>
      <c r="M131" s="781"/>
      <c r="N131" s="781"/>
      <c r="O131" s="781"/>
      <c r="P131" s="781"/>
      <c r="Q131" s="781"/>
      <c r="R131" s="781"/>
      <c r="S131" s="781"/>
      <c r="T131" s="781"/>
      <c r="U131" s="781"/>
      <c r="V131" s="781"/>
      <c r="W131" s="781"/>
      <c r="X131" s="781"/>
      <c r="Y131" s="781"/>
      <c r="Z131" s="781"/>
      <c r="AA131" s="781"/>
      <c r="AB131" s="781"/>
      <c r="AC131" s="781"/>
      <c r="AD131" s="781"/>
      <c r="AE131" s="781"/>
      <c r="AF131" s="781"/>
      <c r="AG131" s="781"/>
      <c r="AH131" s="781"/>
      <c r="AI131" s="781"/>
      <c r="AJ131" s="781"/>
      <c r="AK131" s="781"/>
      <c r="AL131" s="781"/>
      <c r="AM131" s="781"/>
    </row>
    <row r="132" spans="1:39" s="786" customFormat="1" x14ac:dyDescent="0.3">
      <c r="A132" s="783"/>
      <c r="B132" s="784"/>
      <c r="C132" s="784"/>
      <c r="D132" s="785"/>
      <c r="E132" s="785"/>
      <c r="F132" s="781"/>
      <c r="G132" s="781"/>
      <c r="H132" s="781"/>
      <c r="I132" s="781"/>
      <c r="J132" s="781"/>
      <c r="K132" s="781"/>
      <c r="L132" s="781"/>
      <c r="M132" s="781"/>
      <c r="N132" s="781"/>
      <c r="O132" s="781"/>
      <c r="P132" s="781"/>
      <c r="Q132" s="781"/>
      <c r="R132" s="781"/>
      <c r="S132" s="781"/>
      <c r="T132" s="781"/>
      <c r="U132" s="781"/>
      <c r="V132" s="781"/>
      <c r="W132" s="781"/>
      <c r="X132" s="781"/>
      <c r="Y132" s="781"/>
      <c r="Z132" s="781"/>
      <c r="AA132" s="781"/>
      <c r="AB132" s="781"/>
      <c r="AC132" s="781"/>
      <c r="AD132" s="781"/>
      <c r="AE132" s="781"/>
      <c r="AF132" s="781"/>
      <c r="AG132" s="781"/>
      <c r="AH132" s="781"/>
      <c r="AI132" s="781"/>
      <c r="AJ132" s="781"/>
      <c r="AK132" s="781"/>
      <c r="AL132" s="781"/>
      <c r="AM132" s="781"/>
    </row>
    <row r="133" spans="1:39" s="786" customFormat="1" x14ac:dyDescent="0.3">
      <c r="A133" s="783"/>
      <c r="B133" s="784"/>
      <c r="C133" s="784"/>
      <c r="D133" s="785"/>
      <c r="E133" s="785"/>
      <c r="F133" s="781"/>
      <c r="G133" s="781"/>
      <c r="H133" s="781"/>
      <c r="I133" s="781"/>
      <c r="J133" s="781"/>
      <c r="K133" s="781"/>
      <c r="L133" s="781"/>
      <c r="M133" s="781"/>
      <c r="N133" s="781"/>
      <c r="O133" s="781"/>
      <c r="P133" s="781"/>
      <c r="Q133" s="781"/>
      <c r="R133" s="781"/>
      <c r="S133" s="781"/>
      <c r="T133" s="781"/>
      <c r="U133" s="781"/>
      <c r="V133" s="781"/>
      <c r="W133" s="781"/>
      <c r="X133" s="781"/>
      <c r="Y133" s="781"/>
      <c r="Z133" s="781"/>
      <c r="AA133" s="781"/>
      <c r="AB133" s="781"/>
      <c r="AC133" s="781"/>
      <c r="AD133" s="781"/>
      <c r="AE133" s="781"/>
      <c r="AF133" s="781"/>
      <c r="AG133" s="781"/>
      <c r="AH133" s="781"/>
      <c r="AI133" s="781"/>
      <c r="AJ133" s="781"/>
      <c r="AK133" s="781"/>
      <c r="AL133" s="781"/>
      <c r="AM133" s="781"/>
    </row>
    <row r="134" spans="1:39" s="786" customFormat="1" x14ac:dyDescent="0.3">
      <c r="A134" s="783"/>
      <c r="B134" s="784"/>
      <c r="C134" s="784"/>
      <c r="D134" s="785"/>
      <c r="E134" s="785"/>
      <c r="F134" s="781"/>
      <c r="G134" s="781"/>
      <c r="H134" s="781"/>
      <c r="I134" s="781"/>
      <c r="J134" s="781"/>
      <c r="K134" s="781"/>
      <c r="L134" s="781"/>
      <c r="M134" s="781"/>
      <c r="N134" s="781"/>
      <c r="O134" s="781"/>
      <c r="P134" s="781"/>
      <c r="Q134" s="781"/>
      <c r="R134" s="781"/>
      <c r="S134" s="781"/>
      <c r="T134" s="781"/>
      <c r="U134" s="781"/>
      <c r="V134" s="781"/>
      <c r="W134" s="781"/>
      <c r="X134" s="781"/>
      <c r="Y134" s="781"/>
      <c r="Z134" s="781"/>
      <c r="AA134" s="781"/>
      <c r="AB134" s="781"/>
      <c r="AC134" s="781"/>
      <c r="AD134" s="781"/>
      <c r="AE134" s="781"/>
      <c r="AF134" s="781"/>
      <c r="AG134" s="781"/>
      <c r="AH134" s="781"/>
      <c r="AI134" s="781"/>
      <c r="AJ134" s="781"/>
      <c r="AK134" s="781"/>
      <c r="AL134" s="781"/>
      <c r="AM134" s="781"/>
    </row>
    <row r="135" spans="1:39" s="786" customFormat="1" x14ac:dyDescent="0.3">
      <c r="A135" s="783"/>
      <c r="B135" s="784"/>
      <c r="C135" s="784"/>
      <c r="D135" s="785"/>
      <c r="E135" s="785"/>
      <c r="F135" s="781"/>
      <c r="G135" s="781"/>
      <c r="H135" s="781"/>
      <c r="I135" s="781"/>
      <c r="J135" s="781"/>
      <c r="K135" s="781"/>
      <c r="L135" s="781"/>
      <c r="M135" s="781"/>
      <c r="N135" s="781"/>
      <c r="O135" s="781"/>
      <c r="P135" s="781"/>
      <c r="Q135" s="781"/>
      <c r="R135" s="781"/>
      <c r="S135" s="781"/>
      <c r="T135" s="781"/>
      <c r="U135" s="781"/>
      <c r="V135" s="781"/>
      <c r="W135" s="781"/>
      <c r="X135" s="781"/>
      <c r="Y135" s="781"/>
      <c r="Z135" s="781"/>
      <c r="AA135" s="781"/>
      <c r="AB135" s="781"/>
      <c r="AC135" s="781"/>
      <c r="AD135" s="781"/>
      <c r="AE135" s="781"/>
      <c r="AF135" s="781"/>
      <c r="AG135" s="781"/>
      <c r="AH135" s="781"/>
      <c r="AI135" s="781"/>
      <c r="AJ135" s="781"/>
      <c r="AK135" s="781"/>
      <c r="AL135" s="781"/>
      <c r="AM135" s="781"/>
    </row>
    <row r="136" spans="1:39" s="786" customFormat="1" x14ac:dyDescent="0.3">
      <c r="A136" s="783"/>
      <c r="B136" s="784"/>
      <c r="C136" s="784"/>
      <c r="D136" s="785"/>
      <c r="E136" s="785"/>
      <c r="F136" s="781"/>
      <c r="G136" s="781"/>
      <c r="H136" s="781"/>
      <c r="I136" s="781"/>
      <c r="J136" s="781"/>
      <c r="K136" s="781"/>
      <c r="L136" s="781"/>
      <c r="M136" s="781"/>
      <c r="N136" s="781"/>
      <c r="O136" s="781"/>
      <c r="P136" s="781"/>
      <c r="Q136" s="781"/>
      <c r="R136" s="781"/>
      <c r="S136" s="781"/>
      <c r="T136" s="781"/>
      <c r="U136" s="781"/>
      <c r="V136" s="781"/>
      <c r="W136" s="781"/>
      <c r="X136" s="781"/>
      <c r="Y136" s="781"/>
      <c r="Z136" s="781"/>
      <c r="AA136" s="781"/>
      <c r="AB136" s="781"/>
      <c r="AC136" s="781"/>
      <c r="AD136" s="781"/>
      <c r="AE136" s="781"/>
      <c r="AF136" s="781"/>
      <c r="AG136" s="781"/>
      <c r="AH136" s="781"/>
      <c r="AI136" s="781"/>
      <c r="AJ136" s="781"/>
      <c r="AK136" s="781"/>
      <c r="AL136" s="781"/>
      <c r="AM136" s="781"/>
    </row>
    <row r="137" spans="1:39" s="786" customFormat="1" x14ac:dyDescent="0.3">
      <c r="A137" s="783"/>
      <c r="B137" s="784"/>
      <c r="C137" s="784"/>
      <c r="D137" s="785"/>
      <c r="E137" s="785"/>
      <c r="F137" s="781"/>
      <c r="G137" s="781"/>
      <c r="H137" s="781"/>
      <c r="I137" s="781"/>
      <c r="J137" s="781"/>
      <c r="K137" s="781"/>
      <c r="L137" s="781"/>
      <c r="M137" s="781"/>
      <c r="N137" s="781"/>
      <c r="O137" s="781"/>
      <c r="P137" s="781"/>
      <c r="Q137" s="781"/>
      <c r="R137" s="781"/>
      <c r="S137" s="781"/>
      <c r="T137" s="781"/>
      <c r="U137" s="781"/>
      <c r="V137" s="781"/>
      <c r="W137" s="781"/>
      <c r="X137" s="781"/>
      <c r="Y137" s="781"/>
      <c r="Z137" s="781"/>
      <c r="AA137" s="781"/>
      <c r="AB137" s="781"/>
      <c r="AC137" s="781"/>
      <c r="AD137" s="781"/>
      <c r="AE137" s="781"/>
      <c r="AF137" s="781"/>
      <c r="AG137" s="781"/>
      <c r="AH137" s="781"/>
      <c r="AI137" s="781"/>
      <c r="AJ137" s="781"/>
      <c r="AK137" s="781"/>
      <c r="AL137" s="781"/>
      <c r="AM137" s="781"/>
    </row>
    <row r="138" spans="1:39" s="786" customFormat="1" x14ac:dyDescent="0.3">
      <c r="A138" s="783"/>
      <c r="B138" s="784"/>
      <c r="C138" s="784"/>
      <c r="D138" s="785"/>
      <c r="E138" s="785"/>
      <c r="F138" s="781"/>
      <c r="G138" s="781"/>
      <c r="H138" s="781"/>
      <c r="I138" s="781"/>
      <c r="J138" s="781"/>
      <c r="K138" s="781"/>
      <c r="L138" s="781"/>
      <c r="M138" s="781"/>
      <c r="N138" s="781"/>
      <c r="O138" s="781"/>
      <c r="P138" s="781"/>
      <c r="Q138" s="781"/>
      <c r="R138" s="781"/>
      <c r="S138" s="781"/>
      <c r="T138" s="781"/>
      <c r="U138" s="781"/>
      <c r="V138" s="781"/>
      <c r="W138" s="781"/>
      <c r="X138" s="781"/>
      <c r="Y138" s="781"/>
      <c r="Z138" s="781"/>
      <c r="AA138" s="781"/>
      <c r="AB138" s="781"/>
      <c r="AC138" s="781"/>
      <c r="AD138" s="781"/>
      <c r="AE138" s="781"/>
      <c r="AF138" s="781"/>
      <c r="AG138" s="781"/>
      <c r="AH138" s="781"/>
      <c r="AI138" s="781"/>
      <c r="AJ138" s="781"/>
      <c r="AK138" s="781"/>
      <c r="AL138" s="781"/>
      <c r="AM138" s="781"/>
    </row>
    <row r="139" spans="1:39" s="786" customFormat="1" x14ac:dyDescent="0.3">
      <c r="A139" s="783"/>
      <c r="B139" s="784"/>
      <c r="C139" s="784"/>
      <c r="D139" s="785"/>
      <c r="E139" s="785"/>
      <c r="F139" s="781"/>
      <c r="G139" s="781"/>
      <c r="H139" s="781"/>
      <c r="I139" s="781"/>
      <c r="J139" s="781"/>
      <c r="K139" s="781"/>
      <c r="L139" s="781"/>
      <c r="M139" s="781"/>
      <c r="N139" s="781"/>
      <c r="O139" s="781"/>
      <c r="P139" s="781"/>
      <c r="Q139" s="781"/>
      <c r="R139" s="781"/>
      <c r="S139" s="781"/>
      <c r="T139" s="781"/>
      <c r="U139" s="781"/>
      <c r="V139" s="781"/>
      <c r="W139" s="781"/>
      <c r="X139" s="781"/>
      <c r="Y139" s="781"/>
      <c r="Z139" s="781"/>
      <c r="AA139" s="781"/>
      <c r="AB139" s="781"/>
      <c r="AC139" s="781"/>
      <c r="AD139" s="781"/>
      <c r="AE139" s="781"/>
      <c r="AF139" s="781"/>
      <c r="AG139" s="781"/>
      <c r="AH139" s="781"/>
      <c r="AI139" s="781"/>
      <c r="AJ139" s="781"/>
      <c r="AK139" s="781"/>
      <c r="AL139" s="781"/>
      <c r="AM139" s="781"/>
    </row>
    <row r="140" spans="1:39" s="786" customFormat="1" x14ac:dyDescent="0.3">
      <c r="A140" s="783"/>
      <c r="B140" s="784"/>
      <c r="C140" s="784"/>
      <c r="D140" s="785"/>
      <c r="E140" s="785"/>
      <c r="F140" s="781"/>
      <c r="G140" s="781"/>
      <c r="H140" s="781"/>
      <c r="I140" s="781"/>
      <c r="J140" s="781"/>
      <c r="K140" s="781"/>
      <c r="L140" s="781"/>
      <c r="M140" s="781"/>
      <c r="N140" s="781"/>
      <c r="O140" s="781"/>
      <c r="P140" s="781"/>
      <c r="Q140" s="781"/>
      <c r="R140" s="781"/>
      <c r="S140" s="781"/>
      <c r="T140" s="781"/>
      <c r="U140" s="781"/>
      <c r="V140" s="781"/>
      <c r="W140" s="781"/>
      <c r="X140" s="781"/>
      <c r="Y140" s="781"/>
      <c r="Z140" s="781"/>
      <c r="AA140" s="781"/>
      <c r="AB140" s="781"/>
      <c r="AC140" s="781"/>
      <c r="AD140" s="781"/>
      <c r="AE140" s="781"/>
      <c r="AF140" s="781"/>
      <c r="AG140" s="781"/>
      <c r="AH140" s="781"/>
      <c r="AI140" s="781"/>
      <c r="AJ140" s="781"/>
      <c r="AK140" s="781"/>
      <c r="AL140" s="781"/>
      <c r="AM140" s="781"/>
    </row>
    <row r="141" spans="1:39" s="786" customFormat="1" x14ac:dyDescent="0.3">
      <c r="A141" s="783"/>
      <c r="B141" s="784"/>
      <c r="C141" s="784"/>
      <c r="D141" s="785"/>
      <c r="E141" s="785"/>
      <c r="F141" s="781"/>
      <c r="G141" s="781"/>
      <c r="H141" s="781"/>
      <c r="I141" s="781"/>
      <c r="J141" s="781"/>
      <c r="K141" s="781"/>
      <c r="L141" s="781"/>
      <c r="M141" s="781"/>
      <c r="N141" s="781"/>
      <c r="O141" s="781"/>
      <c r="P141" s="781"/>
      <c r="Q141" s="781"/>
      <c r="R141" s="781"/>
      <c r="S141" s="781"/>
      <c r="T141" s="781"/>
      <c r="U141" s="781"/>
      <c r="V141" s="781"/>
      <c r="W141" s="781"/>
      <c r="X141" s="781"/>
      <c r="Y141" s="781"/>
      <c r="Z141" s="781"/>
      <c r="AA141" s="781"/>
      <c r="AB141" s="781"/>
      <c r="AC141" s="781"/>
      <c r="AD141" s="781"/>
      <c r="AE141" s="781"/>
      <c r="AF141" s="781"/>
      <c r="AG141" s="781"/>
      <c r="AH141" s="781"/>
      <c r="AI141" s="781"/>
      <c r="AJ141" s="781"/>
      <c r="AK141" s="781"/>
      <c r="AL141" s="781"/>
      <c r="AM141" s="781"/>
    </row>
    <row r="142" spans="1:39" s="786" customFormat="1" x14ac:dyDescent="0.3">
      <c r="A142" s="783"/>
      <c r="B142" s="784"/>
      <c r="C142" s="784"/>
      <c r="D142" s="785"/>
      <c r="E142" s="785"/>
      <c r="F142" s="781"/>
      <c r="G142" s="781"/>
      <c r="H142" s="781"/>
      <c r="I142" s="781"/>
      <c r="J142" s="781"/>
      <c r="K142" s="781"/>
      <c r="L142" s="781"/>
      <c r="M142" s="781"/>
      <c r="N142" s="781"/>
      <c r="O142" s="781"/>
      <c r="P142" s="781"/>
      <c r="Q142" s="781"/>
      <c r="R142" s="781"/>
      <c r="S142" s="781"/>
      <c r="T142" s="781"/>
      <c r="U142" s="781"/>
      <c r="V142" s="781"/>
      <c r="W142" s="781"/>
      <c r="X142" s="781"/>
      <c r="Y142" s="781"/>
      <c r="Z142" s="781"/>
      <c r="AA142" s="781"/>
      <c r="AB142" s="781"/>
      <c r="AC142" s="781"/>
      <c r="AD142" s="781"/>
      <c r="AE142" s="781"/>
      <c r="AF142" s="781"/>
      <c r="AG142" s="781"/>
      <c r="AH142" s="781"/>
      <c r="AI142" s="781"/>
      <c r="AJ142" s="781"/>
      <c r="AK142" s="781"/>
      <c r="AL142" s="781"/>
      <c r="AM142" s="781"/>
    </row>
    <row r="143" spans="1:39" s="786" customFormat="1" x14ac:dyDescent="0.3">
      <c r="A143" s="783"/>
      <c r="B143" s="784"/>
      <c r="C143" s="784"/>
      <c r="D143" s="785"/>
      <c r="E143" s="785"/>
      <c r="F143" s="781"/>
      <c r="G143" s="781"/>
      <c r="H143" s="781"/>
      <c r="I143" s="781"/>
      <c r="J143" s="781"/>
      <c r="K143" s="781"/>
      <c r="L143" s="781"/>
      <c r="M143" s="781"/>
      <c r="N143" s="781"/>
      <c r="O143" s="781"/>
      <c r="P143" s="781"/>
      <c r="Q143" s="781"/>
      <c r="R143" s="781"/>
      <c r="S143" s="781"/>
      <c r="T143" s="781"/>
      <c r="U143" s="781"/>
      <c r="V143" s="781"/>
      <c r="W143" s="781"/>
      <c r="X143" s="781"/>
      <c r="Y143" s="781"/>
      <c r="Z143" s="781"/>
      <c r="AA143" s="781"/>
      <c r="AB143" s="781"/>
      <c r="AC143" s="781"/>
      <c r="AD143" s="781"/>
      <c r="AE143" s="781"/>
      <c r="AF143" s="781"/>
      <c r="AG143" s="781"/>
      <c r="AH143" s="781"/>
      <c r="AI143" s="781"/>
      <c r="AJ143" s="781"/>
      <c r="AK143" s="781"/>
      <c r="AL143" s="781"/>
      <c r="AM143" s="781"/>
    </row>
    <row r="144" spans="1:39" s="786" customFormat="1" x14ac:dyDescent="0.3">
      <c r="A144" s="783"/>
      <c r="B144" s="784"/>
      <c r="C144" s="784"/>
      <c r="D144" s="785"/>
      <c r="E144" s="785"/>
      <c r="F144" s="781"/>
      <c r="G144" s="781"/>
      <c r="H144" s="781"/>
      <c r="I144" s="781"/>
      <c r="J144" s="781"/>
      <c r="K144" s="781"/>
      <c r="L144" s="781"/>
      <c r="M144" s="781"/>
      <c r="N144" s="781"/>
      <c r="O144" s="781"/>
      <c r="P144" s="781"/>
      <c r="Q144" s="781"/>
      <c r="R144" s="781"/>
      <c r="S144" s="781"/>
      <c r="T144" s="781"/>
      <c r="U144" s="781"/>
      <c r="V144" s="781"/>
      <c r="W144" s="781"/>
      <c r="X144" s="781"/>
      <c r="Y144" s="781"/>
      <c r="Z144" s="781"/>
      <c r="AA144" s="781"/>
      <c r="AB144" s="781"/>
      <c r="AC144" s="781"/>
      <c r="AD144" s="781"/>
      <c r="AE144" s="781"/>
      <c r="AF144" s="781"/>
      <c r="AG144" s="781"/>
      <c r="AH144" s="781"/>
      <c r="AI144" s="781"/>
      <c r="AJ144" s="781"/>
      <c r="AK144" s="781"/>
      <c r="AL144" s="781"/>
      <c r="AM144" s="781"/>
    </row>
    <row r="145" spans="1:39" s="786" customFormat="1" x14ac:dyDescent="0.3">
      <c r="A145" s="783"/>
      <c r="B145" s="784"/>
      <c r="C145" s="784"/>
      <c r="D145" s="785"/>
      <c r="E145" s="785"/>
      <c r="F145" s="781"/>
      <c r="G145" s="781"/>
      <c r="H145" s="781"/>
      <c r="I145" s="781"/>
      <c r="J145" s="781"/>
      <c r="K145" s="781"/>
      <c r="L145" s="781"/>
      <c r="M145" s="781"/>
      <c r="N145" s="781"/>
      <c r="O145" s="781"/>
      <c r="P145" s="781"/>
      <c r="Q145" s="781"/>
      <c r="R145" s="781"/>
      <c r="S145" s="781"/>
      <c r="T145" s="781"/>
      <c r="U145" s="781"/>
      <c r="V145" s="781"/>
      <c r="W145" s="781"/>
      <c r="X145" s="781"/>
      <c r="Y145" s="781"/>
      <c r="Z145" s="781"/>
      <c r="AA145" s="781"/>
      <c r="AB145" s="781"/>
      <c r="AC145" s="781"/>
      <c r="AD145" s="781"/>
      <c r="AE145" s="781"/>
      <c r="AF145" s="781"/>
      <c r="AG145" s="781"/>
      <c r="AH145" s="781"/>
      <c r="AI145" s="781"/>
      <c r="AJ145" s="781"/>
      <c r="AK145" s="781"/>
      <c r="AL145" s="781"/>
      <c r="AM145" s="781"/>
    </row>
    <row r="146" spans="1:39" s="786" customFormat="1" x14ac:dyDescent="0.3">
      <c r="A146" s="783"/>
      <c r="B146" s="784"/>
      <c r="C146" s="784"/>
      <c r="D146" s="785"/>
      <c r="E146" s="785"/>
      <c r="F146" s="781"/>
      <c r="G146" s="781"/>
      <c r="H146" s="781"/>
      <c r="I146" s="781"/>
      <c r="J146" s="781"/>
      <c r="K146" s="781"/>
      <c r="L146" s="781"/>
      <c r="M146" s="781"/>
      <c r="N146" s="781"/>
      <c r="O146" s="781"/>
      <c r="P146" s="781"/>
      <c r="Q146" s="781"/>
      <c r="R146" s="781"/>
      <c r="S146" s="781"/>
      <c r="T146" s="781"/>
      <c r="U146" s="781"/>
      <c r="V146" s="781"/>
      <c r="W146" s="781"/>
      <c r="X146" s="781"/>
      <c r="Y146" s="781"/>
      <c r="Z146" s="781"/>
      <c r="AA146" s="781"/>
      <c r="AB146" s="781"/>
      <c r="AC146" s="781"/>
      <c r="AD146" s="781"/>
      <c r="AE146" s="781"/>
      <c r="AF146" s="781"/>
      <c r="AG146" s="781"/>
      <c r="AH146" s="781"/>
      <c r="AI146" s="781"/>
      <c r="AJ146" s="781"/>
      <c r="AK146" s="781"/>
      <c r="AL146" s="781"/>
      <c r="AM146" s="781"/>
    </row>
    <row r="147" spans="1:39" s="786" customFormat="1" x14ac:dyDescent="0.3">
      <c r="A147" s="783"/>
      <c r="B147" s="784"/>
      <c r="C147" s="784"/>
      <c r="D147" s="785"/>
      <c r="E147" s="785"/>
      <c r="F147" s="781"/>
      <c r="G147" s="781"/>
      <c r="H147" s="781"/>
      <c r="I147" s="781"/>
      <c r="J147" s="781"/>
      <c r="K147" s="781"/>
      <c r="L147" s="781"/>
      <c r="M147" s="781"/>
      <c r="N147" s="781"/>
      <c r="O147" s="781"/>
      <c r="P147" s="781"/>
      <c r="Q147" s="781"/>
      <c r="R147" s="781"/>
      <c r="S147" s="781"/>
      <c r="T147" s="781"/>
      <c r="U147" s="781"/>
      <c r="V147" s="781"/>
      <c r="W147" s="781"/>
      <c r="X147" s="781"/>
      <c r="Y147" s="781"/>
      <c r="Z147" s="781"/>
      <c r="AA147" s="781"/>
      <c r="AB147" s="781"/>
      <c r="AC147" s="781"/>
      <c r="AD147" s="781"/>
      <c r="AE147" s="781"/>
      <c r="AF147" s="781"/>
      <c r="AG147" s="781"/>
      <c r="AH147" s="781"/>
      <c r="AI147" s="781"/>
      <c r="AJ147" s="781"/>
      <c r="AK147" s="781"/>
      <c r="AL147" s="781"/>
      <c r="AM147" s="781"/>
    </row>
    <row r="148" spans="1:39" s="786" customFormat="1" x14ac:dyDescent="0.3">
      <c r="A148" s="783"/>
      <c r="B148" s="784"/>
      <c r="C148" s="784"/>
      <c r="D148" s="785"/>
      <c r="E148" s="785"/>
      <c r="F148" s="781"/>
      <c r="G148" s="781"/>
      <c r="H148" s="781"/>
      <c r="I148" s="781"/>
      <c r="J148" s="781"/>
      <c r="K148" s="781"/>
      <c r="L148" s="781"/>
      <c r="M148" s="781"/>
      <c r="N148" s="781"/>
      <c r="O148" s="781"/>
      <c r="P148" s="781"/>
      <c r="Q148" s="781"/>
      <c r="R148" s="781"/>
      <c r="S148" s="781"/>
      <c r="T148" s="781"/>
      <c r="U148" s="781"/>
      <c r="V148" s="781"/>
      <c r="W148" s="781"/>
      <c r="X148" s="781"/>
      <c r="Y148" s="781"/>
      <c r="Z148" s="781"/>
      <c r="AA148" s="781"/>
      <c r="AB148" s="781"/>
      <c r="AC148" s="781"/>
      <c r="AD148" s="781"/>
      <c r="AE148" s="781"/>
      <c r="AF148" s="781"/>
      <c r="AG148" s="781"/>
      <c r="AH148" s="781"/>
      <c r="AI148" s="781"/>
      <c r="AJ148" s="781"/>
      <c r="AK148" s="781"/>
      <c r="AL148" s="781"/>
      <c r="AM148" s="781"/>
    </row>
    <row r="149" spans="1:39" s="786" customFormat="1" x14ac:dyDescent="0.3">
      <c r="A149" s="783"/>
      <c r="B149" s="784"/>
      <c r="C149" s="784"/>
      <c r="D149" s="785"/>
      <c r="E149" s="785"/>
      <c r="F149" s="781"/>
      <c r="G149" s="781"/>
      <c r="H149" s="781"/>
      <c r="I149" s="781"/>
      <c r="J149" s="781"/>
      <c r="K149" s="781"/>
      <c r="L149" s="781"/>
      <c r="M149" s="781"/>
      <c r="N149" s="781"/>
      <c r="O149" s="781"/>
      <c r="P149" s="781"/>
      <c r="Q149" s="781"/>
      <c r="R149" s="781"/>
      <c r="S149" s="781"/>
      <c r="T149" s="781"/>
      <c r="U149" s="781"/>
      <c r="V149" s="781"/>
      <c r="W149" s="781"/>
      <c r="X149" s="781"/>
      <c r="Y149" s="781"/>
      <c r="Z149" s="781"/>
      <c r="AA149" s="781"/>
      <c r="AB149" s="781"/>
      <c r="AC149" s="781"/>
      <c r="AD149" s="781"/>
      <c r="AE149" s="781"/>
      <c r="AF149" s="781"/>
      <c r="AG149" s="781"/>
      <c r="AH149" s="781"/>
      <c r="AI149" s="781"/>
      <c r="AJ149" s="781"/>
      <c r="AK149" s="781"/>
      <c r="AL149" s="781"/>
      <c r="AM149" s="781"/>
    </row>
    <row r="150" spans="1:39" s="786" customFormat="1" x14ac:dyDescent="0.3">
      <c r="A150" s="783"/>
      <c r="B150" s="784"/>
      <c r="C150" s="784"/>
      <c r="D150" s="785"/>
      <c r="E150" s="785"/>
      <c r="F150" s="781"/>
      <c r="G150" s="781"/>
      <c r="H150" s="781"/>
      <c r="I150" s="781"/>
      <c r="J150" s="781"/>
      <c r="K150" s="781"/>
      <c r="L150" s="781"/>
      <c r="M150" s="781"/>
      <c r="N150" s="781"/>
      <c r="O150" s="781"/>
      <c r="P150" s="781"/>
      <c r="Q150" s="781"/>
      <c r="R150" s="781"/>
      <c r="S150" s="781"/>
      <c r="T150" s="781"/>
      <c r="U150" s="781"/>
      <c r="V150" s="781"/>
      <c r="W150" s="781"/>
      <c r="X150" s="781"/>
      <c r="Y150" s="781"/>
      <c r="Z150" s="781"/>
      <c r="AA150" s="781"/>
      <c r="AB150" s="781"/>
      <c r="AC150" s="781"/>
      <c r="AD150" s="781"/>
      <c r="AE150" s="781"/>
      <c r="AF150" s="781"/>
      <c r="AG150" s="781"/>
      <c r="AH150" s="781"/>
      <c r="AI150" s="781"/>
      <c r="AJ150" s="781"/>
      <c r="AK150" s="781"/>
      <c r="AL150" s="781"/>
      <c r="AM150" s="781"/>
    </row>
    <row r="151" spans="1:39" s="786" customFormat="1" x14ac:dyDescent="0.3">
      <c r="A151" s="783"/>
      <c r="B151" s="784"/>
      <c r="C151" s="784"/>
      <c r="D151" s="785"/>
      <c r="E151" s="785"/>
      <c r="F151" s="781"/>
      <c r="G151" s="781"/>
      <c r="H151" s="781"/>
      <c r="I151" s="781"/>
      <c r="J151" s="781"/>
      <c r="K151" s="781"/>
      <c r="L151" s="781"/>
      <c r="M151" s="781"/>
      <c r="N151" s="781"/>
      <c r="O151" s="781"/>
      <c r="P151" s="781"/>
      <c r="Q151" s="781"/>
      <c r="R151" s="781"/>
      <c r="S151" s="781"/>
      <c r="T151" s="781"/>
      <c r="U151" s="781"/>
      <c r="V151" s="781"/>
      <c r="W151" s="781"/>
      <c r="X151" s="781"/>
      <c r="Y151" s="781"/>
      <c r="Z151" s="781"/>
      <c r="AA151" s="781"/>
      <c r="AB151" s="781"/>
      <c r="AC151" s="781"/>
      <c r="AD151" s="781"/>
      <c r="AE151" s="781"/>
      <c r="AF151" s="781"/>
      <c r="AG151" s="781"/>
      <c r="AH151" s="781"/>
      <c r="AI151" s="781"/>
      <c r="AJ151" s="781"/>
      <c r="AK151" s="781"/>
      <c r="AL151" s="781"/>
      <c r="AM151" s="781"/>
    </row>
    <row r="152" spans="1:39" s="786" customFormat="1" x14ac:dyDescent="0.3">
      <c r="A152" s="783"/>
      <c r="B152" s="784"/>
      <c r="C152" s="784"/>
      <c r="D152" s="785"/>
      <c r="E152" s="785"/>
      <c r="F152" s="781"/>
      <c r="G152" s="781"/>
      <c r="H152" s="781"/>
      <c r="I152" s="781"/>
      <c r="J152" s="781"/>
      <c r="K152" s="781"/>
      <c r="L152" s="781"/>
      <c r="M152" s="781"/>
      <c r="N152" s="781"/>
      <c r="O152" s="781"/>
      <c r="P152" s="781"/>
      <c r="Q152" s="781"/>
      <c r="R152" s="781"/>
      <c r="S152" s="781"/>
      <c r="T152" s="781"/>
      <c r="U152" s="781"/>
      <c r="V152" s="781"/>
      <c r="W152" s="781"/>
      <c r="X152" s="781"/>
      <c r="Y152" s="781"/>
      <c r="Z152" s="781"/>
      <c r="AA152" s="781"/>
      <c r="AB152" s="781"/>
      <c r="AC152" s="781"/>
      <c r="AD152" s="781"/>
      <c r="AE152" s="781"/>
      <c r="AF152" s="781"/>
      <c r="AG152" s="781"/>
      <c r="AH152" s="781"/>
      <c r="AI152" s="781"/>
      <c r="AJ152" s="781"/>
      <c r="AK152" s="781"/>
      <c r="AL152" s="781"/>
      <c r="AM152" s="781"/>
    </row>
    <row r="153" spans="1:39" s="786" customFormat="1" x14ac:dyDescent="0.3">
      <c r="A153" s="783"/>
      <c r="B153" s="784"/>
      <c r="C153" s="784"/>
      <c r="D153" s="785"/>
      <c r="E153" s="785"/>
      <c r="F153" s="781"/>
      <c r="G153" s="781"/>
      <c r="H153" s="781"/>
      <c r="I153" s="781"/>
      <c r="J153" s="781"/>
      <c r="K153" s="781"/>
      <c r="L153" s="781"/>
      <c r="M153" s="781"/>
      <c r="N153" s="781"/>
      <c r="O153" s="781"/>
      <c r="P153" s="781"/>
      <c r="Q153" s="781"/>
      <c r="R153" s="781"/>
      <c r="S153" s="781"/>
      <c r="T153" s="781"/>
      <c r="U153" s="781"/>
      <c r="V153" s="781"/>
      <c r="W153" s="781"/>
      <c r="X153" s="781"/>
      <c r="Y153" s="781"/>
      <c r="Z153" s="781"/>
      <c r="AA153" s="781"/>
      <c r="AB153" s="781"/>
      <c r="AC153" s="781"/>
      <c r="AD153" s="781"/>
      <c r="AE153" s="781"/>
      <c r="AF153" s="781"/>
      <c r="AG153" s="781"/>
      <c r="AH153" s="781"/>
      <c r="AI153" s="781"/>
      <c r="AJ153" s="781"/>
      <c r="AK153" s="781"/>
      <c r="AL153" s="781"/>
      <c r="AM153" s="781"/>
    </row>
    <row r="154" spans="1:39" s="786" customFormat="1" x14ac:dyDescent="0.3">
      <c r="A154" s="783"/>
      <c r="B154" s="784"/>
      <c r="C154" s="784"/>
      <c r="D154" s="785"/>
      <c r="E154" s="785"/>
      <c r="F154" s="781"/>
      <c r="G154" s="781"/>
      <c r="H154" s="781"/>
      <c r="I154" s="781"/>
      <c r="J154" s="781"/>
      <c r="K154" s="781"/>
      <c r="L154" s="781"/>
      <c r="M154" s="781"/>
      <c r="N154" s="781"/>
      <c r="O154" s="781"/>
      <c r="P154" s="781"/>
      <c r="Q154" s="781"/>
      <c r="R154" s="781"/>
      <c r="S154" s="781"/>
      <c r="T154" s="781"/>
      <c r="U154" s="781"/>
      <c r="V154" s="781"/>
      <c r="W154" s="781"/>
      <c r="X154" s="781"/>
      <c r="Y154" s="781"/>
      <c r="Z154" s="781"/>
      <c r="AA154" s="781"/>
      <c r="AB154" s="781"/>
      <c r="AC154" s="781"/>
      <c r="AD154" s="781"/>
      <c r="AE154" s="781"/>
      <c r="AF154" s="781"/>
      <c r="AG154" s="781"/>
      <c r="AH154" s="781"/>
      <c r="AI154" s="781"/>
      <c r="AJ154" s="781"/>
      <c r="AK154" s="781"/>
      <c r="AL154" s="781"/>
      <c r="AM154" s="781"/>
    </row>
    <row r="155" spans="1:39" s="786" customFormat="1" x14ac:dyDescent="0.3">
      <c r="A155" s="783"/>
      <c r="B155" s="784"/>
      <c r="C155" s="784"/>
      <c r="D155" s="785"/>
      <c r="E155" s="785"/>
      <c r="F155" s="781"/>
      <c r="G155" s="781"/>
      <c r="H155" s="781"/>
      <c r="I155" s="781"/>
      <c r="J155" s="781"/>
      <c r="K155" s="781"/>
      <c r="L155" s="781"/>
      <c r="M155" s="781"/>
      <c r="N155" s="781"/>
      <c r="O155" s="781"/>
      <c r="P155" s="781"/>
      <c r="Q155" s="781"/>
      <c r="R155" s="781"/>
      <c r="S155" s="781"/>
      <c r="T155" s="781"/>
      <c r="U155" s="781"/>
      <c r="V155" s="781"/>
      <c r="W155" s="781"/>
      <c r="X155" s="781"/>
      <c r="Y155" s="781"/>
      <c r="Z155" s="781"/>
      <c r="AA155" s="781"/>
      <c r="AB155" s="781"/>
      <c r="AC155" s="781"/>
      <c r="AD155" s="781"/>
      <c r="AE155" s="781"/>
      <c r="AF155" s="781"/>
      <c r="AG155" s="781"/>
      <c r="AH155" s="781"/>
      <c r="AI155" s="781"/>
      <c r="AJ155" s="781"/>
      <c r="AK155" s="781"/>
      <c r="AL155" s="781"/>
      <c r="AM155" s="781"/>
    </row>
    <row r="156" spans="1:39" s="786" customFormat="1" x14ac:dyDescent="0.3">
      <c r="A156" s="783"/>
      <c r="B156" s="784"/>
      <c r="C156" s="784"/>
      <c r="D156" s="785"/>
      <c r="E156" s="785"/>
      <c r="F156" s="781"/>
      <c r="G156" s="781"/>
      <c r="H156" s="781"/>
      <c r="I156" s="781"/>
      <c r="J156" s="781"/>
      <c r="K156" s="781"/>
      <c r="L156" s="781"/>
      <c r="M156" s="781"/>
      <c r="N156" s="781"/>
      <c r="O156" s="781"/>
      <c r="P156" s="781"/>
      <c r="Q156" s="781"/>
      <c r="R156" s="781"/>
      <c r="S156" s="781"/>
      <c r="T156" s="781"/>
      <c r="U156" s="781"/>
      <c r="V156" s="781"/>
      <c r="W156" s="781"/>
      <c r="X156" s="781"/>
      <c r="Y156" s="781"/>
      <c r="Z156" s="781"/>
      <c r="AA156" s="781"/>
      <c r="AB156" s="781"/>
      <c r="AC156" s="781"/>
      <c r="AD156" s="781"/>
      <c r="AE156" s="781"/>
      <c r="AF156" s="781"/>
      <c r="AG156" s="781"/>
      <c r="AH156" s="781"/>
      <c r="AI156" s="781"/>
      <c r="AJ156" s="781"/>
      <c r="AK156" s="781"/>
      <c r="AL156" s="781"/>
      <c r="AM156" s="781"/>
    </row>
    <row r="157" spans="1:39" s="786" customFormat="1" x14ac:dyDescent="0.3">
      <c r="A157" s="783"/>
      <c r="B157" s="784"/>
      <c r="C157" s="784"/>
      <c r="D157" s="785"/>
      <c r="E157" s="785"/>
      <c r="F157" s="781"/>
      <c r="G157" s="781"/>
      <c r="H157" s="781"/>
      <c r="I157" s="781"/>
      <c r="J157" s="781"/>
      <c r="K157" s="781"/>
      <c r="L157" s="781"/>
      <c r="M157" s="781"/>
      <c r="N157" s="781"/>
      <c r="O157" s="781"/>
      <c r="P157" s="781"/>
      <c r="Q157" s="781"/>
      <c r="R157" s="781"/>
      <c r="S157" s="781"/>
      <c r="T157" s="781"/>
      <c r="U157" s="781"/>
      <c r="V157" s="781"/>
      <c r="W157" s="781"/>
      <c r="X157" s="781"/>
      <c r="Y157" s="781"/>
      <c r="Z157" s="781"/>
      <c r="AA157" s="781"/>
      <c r="AB157" s="781"/>
      <c r="AC157" s="781"/>
      <c r="AD157" s="781"/>
      <c r="AE157" s="781"/>
      <c r="AF157" s="781"/>
      <c r="AG157" s="781"/>
      <c r="AH157" s="781"/>
      <c r="AI157" s="781"/>
      <c r="AJ157" s="781"/>
      <c r="AK157" s="781"/>
      <c r="AL157" s="781"/>
      <c r="AM157" s="781"/>
    </row>
    <row r="158" spans="1:39" s="786" customFormat="1" x14ac:dyDescent="0.3">
      <c r="A158" s="783"/>
      <c r="B158" s="784"/>
      <c r="C158" s="784"/>
      <c r="D158" s="785"/>
      <c r="E158" s="785"/>
      <c r="F158" s="781"/>
      <c r="G158" s="781"/>
      <c r="H158" s="781"/>
      <c r="I158" s="781"/>
      <c r="J158" s="781"/>
      <c r="K158" s="781"/>
      <c r="L158" s="781"/>
      <c r="M158" s="781"/>
      <c r="N158" s="781"/>
      <c r="O158" s="781"/>
      <c r="P158" s="781"/>
      <c r="Q158" s="781"/>
      <c r="R158" s="781"/>
      <c r="S158" s="781"/>
      <c r="T158" s="781"/>
      <c r="U158" s="781"/>
      <c r="V158" s="781"/>
      <c r="W158" s="781"/>
      <c r="X158" s="781"/>
      <c r="Y158" s="781"/>
      <c r="Z158" s="781"/>
      <c r="AA158" s="781"/>
      <c r="AB158" s="781"/>
      <c r="AC158" s="781"/>
      <c r="AD158" s="781"/>
      <c r="AE158" s="781"/>
      <c r="AF158" s="781"/>
      <c r="AG158" s="781"/>
      <c r="AH158" s="781"/>
      <c r="AI158" s="781"/>
      <c r="AJ158" s="781"/>
      <c r="AK158" s="781"/>
      <c r="AL158" s="781"/>
      <c r="AM158" s="781"/>
    </row>
    <row r="159" spans="1:39" s="786" customFormat="1" x14ac:dyDescent="0.3">
      <c r="A159" s="783"/>
      <c r="B159" s="784"/>
      <c r="C159" s="784"/>
      <c r="D159" s="785"/>
      <c r="E159" s="785"/>
      <c r="F159" s="781"/>
      <c r="G159" s="781"/>
      <c r="H159" s="781"/>
      <c r="I159" s="781"/>
      <c r="J159" s="781"/>
      <c r="K159" s="781"/>
      <c r="L159" s="781"/>
      <c r="M159" s="781"/>
      <c r="N159" s="781"/>
      <c r="O159" s="781"/>
      <c r="P159" s="781"/>
      <c r="Q159" s="781"/>
      <c r="R159" s="781"/>
      <c r="S159" s="781"/>
      <c r="T159" s="781"/>
      <c r="U159" s="781"/>
      <c r="V159" s="781"/>
      <c r="W159" s="781"/>
      <c r="X159" s="781"/>
      <c r="Y159" s="781"/>
      <c r="Z159" s="781"/>
      <c r="AA159" s="781"/>
      <c r="AB159" s="781"/>
      <c r="AC159" s="781"/>
      <c r="AD159" s="781"/>
      <c r="AE159" s="781"/>
      <c r="AF159" s="781"/>
      <c r="AG159" s="781"/>
      <c r="AH159" s="781"/>
      <c r="AI159" s="781"/>
      <c r="AJ159" s="781"/>
      <c r="AK159" s="781"/>
      <c r="AL159" s="781"/>
      <c r="AM159" s="781"/>
    </row>
    <row r="160" spans="1:39" s="786" customFormat="1" x14ac:dyDescent="0.3">
      <c r="A160" s="783"/>
      <c r="B160" s="784"/>
      <c r="C160" s="784"/>
      <c r="D160" s="785"/>
      <c r="E160" s="785"/>
      <c r="F160" s="781"/>
      <c r="G160" s="781"/>
      <c r="H160" s="781"/>
      <c r="I160" s="781"/>
      <c r="J160" s="781"/>
      <c r="K160" s="781"/>
      <c r="L160" s="781"/>
      <c r="M160" s="781"/>
      <c r="N160" s="781"/>
      <c r="O160" s="781"/>
      <c r="P160" s="781"/>
      <c r="Q160" s="781"/>
      <c r="R160" s="781"/>
      <c r="S160" s="781"/>
      <c r="T160" s="781"/>
      <c r="U160" s="781"/>
      <c r="V160" s="781"/>
      <c r="W160" s="781"/>
      <c r="X160" s="781"/>
      <c r="Y160" s="781"/>
      <c r="Z160" s="781"/>
      <c r="AA160" s="781"/>
      <c r="AB160" s="781"/>
      <c r="AC160" s="781"/>
      <c r="AD160" s="781"/>
      <c r="AE160" s="781"/>
      <c r="AF160" s="781"/>
      <c r="AG160" s="781"/>
      <c r="AH160" s="781"/>
      <c r="AI160" s="781"/>
      <c r="AJ160" s="781"/>
      <c r="AK160" s="781"/>
      <c r="AL160" s="781"/>
      <c r="AM160" s="781"/>
    </row>
    <row r="161" spans="1:39" s="786" customFormat="1" x14ac:dyDescent="0.3">
      <c r="A161" s="783"/>
      <c r="B161" s="784"/>
      <c r="C161" s="784"/>
      <c r="D161" s="785"/>
      <c r="E161" s="785"/>
      <c r="F161" s="781"/>
      <c r="G161" s="781"/>
      <c r="H161" s="781"/>
      <c r="I161" s="781"/>
      <c r="J161" s="781"/>
      <c r="K161" s="781"/>
      <c r="L161" s="781"/>
      <c r="M161" s="781"/>
      <c r="N161" s="781"/>
      <c r="O161" s="781"/>
      <c r="P161" s="781"/>
      <c r="Q161" s="781"/>
      <c r="R161" s="781"/>
      <c r="S161" s="781"/>
      <c r="T161" s="781"/>
      <c r="U161" s="781"/>
      <c r="V161" s="781"/>
      <c r="W161" s="781"/>
      <c r="X161" s="781"/>
      <c r="Y161" s="781"/>
      <c r="Z161" s="781"/>
      <c r="AA161" s="781"/>
      <c r="AB161" s="781"/>
      <c r="AC161" s="781"/>
      <c r="AD161" s="781"/>
      <c r="AE161" s="781"/>
      <c r="AF161" s="781"/>
      <c r="AG161" s="781"/>
      <c r="AH161" s="781"/>
      <c r="AI161" s="781"/>
      <c r="AJ161" s="781"/>
      <c r="AK161" s="781"/>
      <c r="AL161" s="781"/>
      <c r="AM161" s="781"/>
    </row>
    <row r="162" spans="1:39" s="786" customFormat="1" x14ac:dyDescent="0.3">
      <c r="A162" s="783"/>
      <c r="B162" s="784"/>
      <c r="C162" s="784"/>
      <c r="D162" s="785"/>
      <c r="E162" s="785"/>
      <c r="F162" s="781"/>
      <c r="G162" s="781"/>
      <c r="H162" s="781"/>
      <c r="I162" s="781"/>
      <c r="J162" s="781"/>
      <c r="K162" s="781"/>
      <c r="L162" s="781"/>
      <c r="M162" s="781"/>
      <c r="N162" s="781"/>
      <c r="O162" s="781"/>
      <c r="P162" s="781"/>
      <c r="Q162" s="781"/>
      <c r="R162" s="781"/>
      <c r="S162" s="781"/>
      <c r="T162" s="781"/>
      <c r="U162" s="781"/>
      <c r="V162" s="781"/>
      <c r="W162" s="781"/>
      <c r="X162" s="781"/>
      <c r="Y162" s="781"/>
      <c r="Z162" s="781"/>
      <c r="AA162" s="781"/>
      <c r="AB162" s="781"/>
      <c r="AC162" s="781"/>
      <c r="AD162" s="781"/>
      <c r="AE162" s="781"/>
      <c r="AF162" s="781"/>
      <c r="AG162" s="781"/>
      <c r="AH162" s="781"/>
      <c r="AI162" s="781"/>
      <c r="AJ162" s="781"/>
      <c r="AK162" s="781"/>
      <c r="AL162" s="781"/>
      <c r="AM162" s="781"/>
    </row>
    <row r="163" spans="1:39" s="786" customFormat="1" x14ac:dyDescent="0.3">
      <c r="A163" s="783"/>
      <c r="B163" s="784"/>
      <c r="C163" s="784"/>
      <c r="D163" s="785"/>
      <c r="E163" s="785"/>
      <c r="F163" s="781"/>
      <c r="G163" s="781"/>
      <c r="H163" s="781"/>
      <c r="I163" s="781"/>
      <c r="J163" s="781"/>
      <c r="K163" s="781"/>
      <c r="L163" s="781"/>
      <c r="M163" s="781"/>
      <c r="N163" s="781"/>
      <c r="O163" s="781"/>
      <c r="P163" s="781"/>
      <c r="Q163" s="781"/>
      <c r="R163" s="781"/>
      <c r="S163" s="781"/>
      <c r="T163" s="781"/>
      <c r="U163" s="781"/>
      <c r="V163" s="781"/>
      <c r="W163" s="781"/>
      <c r="X163" s="781"/>
      <c r="Y163" s="781"/>
      <c r="Z163" s="781"/>
      <c r="AA163" s="781"/>
      <c r="AB163" s="781"/>
      <c r="AC163" s="781"/>
      <c r="AD163" s="781"/>
      <c r="AE163" s="781"/>
      <c r="AF163" s="781"/>
      <c r="AG163" s="781"/>
      <c r="AH163" s="781"/>
      <c r="AI163" s="781"/>
      <c r="AJ163" s="781"/>
      <c r="AK163" s="781"/>
      <c r="AL163" s="781"/>
      <c r="AM163" s="781"/>
    </row>
    <row r="164" spans="1:39" s="786" customFormat="1" x14ac:dyDescent="0.3">
      <c r="A164" s="783"/>
      <c r="B164" s="784"/>
      <c r="C164" s="784"/>
      <c r="D164" s="785"/>
      <c r="E164" s="785"/>
      <c r="F164" s="781"/>
      <c r="G164" s="781"/>
      <c r="H164" s="781"/>
      <c r="I164" s="781"/>
      <c r="J164" s="781"/>
      <c r="K164" s="781"/>
      <c r="L164" s="781"/>
      <c r="M164" s="781"/>
      <c r="N164" s="781"/>
      <c r="O164" s="781"/>
      <c r="P164" s="781"/>
      <c r="Q164" s="781"/>
      <c r="R164" s="781"/>
      <c r="S164" s="781"/>
      <c r="T164" s="781"/>
      <c r="U164" s="781"/>
      <c r="V164" s="781"/>
      <c r="W164" s="781"/>
      <c r="X164" s="781"/>
      <c r="Y164" s="781"/>
      <c r="Z164" s="781"/>
      <c r="AA164" s="781"/>
      <c r="AB164" s="781"/>
      <c r="AC164" s="781"/>
      <c r="AD164" s="781"/>
      <c r="AE164" s="781"/>
      <c r="AF164" s="781"/>
      <c r="AG164" s="781"/>
      <c r="AH164" s="781"/>
      <c r="AI164" s="781"/>
      <c r="AJ164" s="781"/>
      <c r="AK164" s="781"/>
      <c r="AL164" s="781"/>
      <c r="AM164" s="781"/>
    </row>
    <row r="165" spans="1:39" s="786" customFormat="1" x14ac:dyDescent="0.3">
      <c r="A165" s="783"/>
      <c r="B165" s="784"/>
      <c r="C165" s="784"/>
      <c r="D165" s="785"/>
      <c r="E165" s="785"/>
      <c r="F165" s="781"/>
      <c r="G165" s="781"/>
      <c r="H165" s="781"/>
      <c r="I165" s="781"/>
      <c r="J165" s="781"/>
      <c r="K165" s="781"/>
      <c r="L165" s="781"/>
      <c r="M165" s="781"/>
      <c r="N165" s="781"/>
      <c r="O165" s="781"/>
      <c r="P165" s="781"/>
      <c r="Q165" s="781"/>
      <c r="R165" s="781"/>
      <c r="S165" s="781"/>
      <c r="T165" s="781"/>
      <c r="U165" s="781"/>
      <c r="V165" s="781"/>
      <c r="W165" s="781"/>
      <c r="X165" s="781"/>
      <c r="Y165" s="781"/>
      <c r="Z165" s="781"/>
      <c r="AA165" s="781"/>
      <c r="AB165" s="781"/>
      <c r="AC165" s="781"/>
      <c r="AD165" s="781"/>
      <c r="AE165" s="781"/>
      <c r="AF165" s="781"/>
      <c r="AG165" s="781"/>
      <c r="AH165" s="781"/>
      <c r="AI165" s="781"/>
      <c r="AJ165" s="781"/>
      <c r="AK165" s="781"/>
      <c r="AL165" s="781"/>
      <c r="AM165" s="781"/>
    </row>
    <row r="166" spans="1:39" s="786" customFormat="1" x14ac:dyDescent="0.3">
      <c r="A166" s="783"/>
      <c r="B166" s="784"/>
      <c r="C166" s="784"/>
      <c r="D166" s="785"/>
      <c r="E166" s="785"/>
      <c r="F166" s="781"/>
      <c r="G166" s="781"/>
      <c r="H166" s="781"/>
      <c r="I166" s="781"/>
      <c r="J166" s="781"/>
      <c r="K166" s="781"/>
      <c r="L166" s="781"/>
      <c r="M166" s="781"/>
      <c r="N166" s="781"/>
      <c r="O166" s="781"/>
      <c r="P166" s="781"/>
      <c r="Q166" s="781"/>
      <c r="R166" s="781"/>
      <c r="S166" s="781"/>
      <c r="T166" s="781"/>
      <c r="U166" s="781"/>
      <c r="V166" s="781"/>
      <c r="W166" s="781"/>
      <c r="X166" s="781"/>
      <c r="Y166" s="781"/>
      <c r="Z166" s="781"/>
      <c r="AA166" s="781"/>
      <c r="AB166" s="781"/>
      <c r="AC166" s="781"/>
      <c r="AD166" s="781"/>
      <c r="AE166" s="781"/>
      <c r="AF166" s="781"/>
      <c r="AG166" s="781"/>
      <c r="AH166" s="781"/>
      <c r="AI166" s="781"/>
      <c r="AJ166" s="781"/>
      <c r="AK166" s="781"/>
      <c r="AL166" s="781"/>
      <c r="AM166" s="781"/>
    </row>
    <row r="167" spans="1:39" s="786" customFormat="1" x14ac:dyDescent="0.3">
      <c r="A167" s="783"/>
      <c r="B167" s="784"/>
      <c r="C167" s="784"/>
      <c r="D167" s="785"/>
      <c r="E167" s="785"/>
      <c r="F167" s="781"/>
      <c r="G167" s="781"/>
      <c r="H167" s="781"/>
      <c r="I167" s="781"/>
      <c r="J167" s="781"/>
      <c r="K167" s="781"/>
      <c r="L167" s="781"/>
      <c r="M167" s="781"/>
      <c r="N167" s="781"/>
      <c r="O167" s="781"/>
      <c r="P167" s="781"/>
      <c r="Q167" s="781"/>
      <c r="R167" s="781"/>
      <c r="S167" s="781"/>
      <c r="T167" s="781"/>
      <c r="U167" s="781"/>
      <c r="V167" s="781"/>
      <c r="W167" s="781"/>
      <c r="X167" s="781"/>
      <c r="Y167" s="781"/>
      <c r="Z167" s="781"/>
      <c r="AA167" s="781"/>
      <c r="AB167" s="781"/>
      <c r="AC167" s="781"/>
      <c r="AD167" s="781"/>
      <c r="AE167" s="781"/>
      <c r="AF167" s="781"/>
      <c r="AG167" s="781"/>
      <c r="AH167" s="781"/>
      <c r="AI167" s="781"/>
      <c r="AJ167" s="781"/>
      <c r="AK167" s="781"/>
      <c r="AL167" s="781"/>
      <c r="AM167" s="781"/>
    </row>
    <row r="168" spans="1:39" s="786" customFormat="1" x14ac:dyDescent="0.3">
      <c r="A168" s="783"/>
      <c r="B168" s="784"/>
      <c r="C168" s="784"/>
      <c r="D168" s="785"/>
      <c r="E168" s="785"/>
      <c r="F168" s="781"/>
      <c r="G168" s="781"/>
      <c r="H168" s="781"/>
      <c r="I168" s="781"/>
      <c r="J168" s="781"/>
      <c r="K168" s="781"/>
      <c r="L168" s="781"/>
      <c r="M168" s="781"/>
      <c r="N168" s="781"/>
      <c r="O168" s="781"/>
      <c r="P168" s="781"/>
      <c r="Q168" s="781"/>
      <c r="R168" s="781"/>
      <c r="S168" s="781"/>
      <c r="T168" s="781"/>
      <c r="U168" s="781"/>
      <c r="V168" s="781"/>
      <c r="W168" s="781"/>
      <c r="X168" s="781"/>
      <c r="Y168" s="781"/>
      <c r="Z168" s="781"/>
      <c r="AA168" s="781"/>
      <c r="AB168" s="781"/>
      <c r="AC168" s="781"/>
      <c r="AD168" s="781"/>
      <c r="AE168" s="781"/>
      <c r="AF168" s="781"/>
      <c r="AG168" s="781"/>
      <c r="AH168" s="781"/>
      <c r="AI168" s="781"/>
      <c r="AJ168" s="781"/>
      <c r="AK168" s="781"/>
      <c r="AL168" s="781"/>
      <c r="AM168" s="781"/>
    </row>
    <row r="169" spans="1:39" s="786" customFormat="1" x14ac:dyDescent="0.3">
      <c r="A169" s="783"/>
      <c r="B169" s="784"/>
      <c r="C169" s="784"/>
      <c r="D169" s="785"/>
      <c r="E169" s="785"/>
      <c r="F169" s="781"/>
      <c r="G169" s="781"/>
      <c r="H169" s="781"/>
      <c r="I169" s="781"/>
      <c r="J169" s="781"/>
      <c r="K169" s="781"/>
      <c r="L169" s="781"/>
      <c r="M169" s="781"/>
      <c r="N169" s="781"/>
      <c r="O169" s="781"/>
      <c r="P169" s="781"/>
      <c r="Q169" s="781"/>
      <c r="R169" s="781"/>
      <c r="S169" s="781"/>
      <c r="T169" s="781"/>
      <c r="U169" s="781"/>
      <c r="V169" s="781"/>
      <c r="W169" s="781"/>
      <c r="X169" s="781"/>
      <c r="Y169" s="781"/>
      <c r="Z169" s="781"/>
      <c r="AA169" s="781"/>
      <c r="AB169" s="781"/>
      <c r="AC169" s="781"/>
      <c r="AD169" s="781"/>
      <c r="AE169" s="781"/>
      <c r="AF169" s="781"/>
      <c r="AG169" s="781"/>
      <c r="AH169" s="781"/>
      <c r="AI169" s="781"/>
      <c r="AJ169" s="781"/>
      <c r="AK169" s="781"/>
      <c r="AL169" s="781"/>
      <c r="AM169" s="781"/>
    </row>
    <row r="170" spans="1:39" s="786" customFormat="1" x14ac:dyDescent="0.3">
      <c r="A170" s="783"/>
      <c r="B170" s="784"/>
      <c r="C170" s="784"/>
      <c r="D170" s="785"/>
      <c r="E170" s="785"/>
      <c r="F170" s="781"/>
      <c r="G170" s="781"/>
      <c r="H170" s="781"/>
      <c r="I170" s="781"/>
      <c r="J170" s="781"/>
      <c r="K170" s="781"/>
      <c r="L170" s="781"/>
      <c r="M170" s="781"/>
      <c r="N170" s="781"/>
      <c r="O170" s="781"/>
      <c r="P170" s="781"/>
      <c r="Q170" s="781"/>
      <c r="R170" s="781"/>
      <c r="S170" s="781"/>
      <c r="T170" s="781"/>
      <c r="U170" s="781"/>
      <c r="V170" s="781"/>
      <c r="W170" s="781"/>
      <c r="X170" s="781"/>
      <c r="Y170" s="781"/>
      <c r="Z170" s="781"/>
      <c r="AA170" s="781"/>
      <c r="AB170" s="781"/>
      <c r="AC170" s="781"/>
      <c r="AD170" s="781"/>
      <c r="AE170" s="781"/>
      <c r="AF170" s="781"/>
      <c r="AG170" s="781"/>
      <c r="AH170" s="781"/>
      <c r="AI170" s="781"/>
      <c r="AJ170" s="781"/>
      <c r="AK170" s="781"/>
      <c r="AL170" s="781"/>
      <c r="AM170" s="781"/>
    </row>
    <row r="171" spans="1:39" s="786" customFormat="1" x14ac:dyDescent="0.3">
      <c r="A171" s="783"/>
      <c r="B171" s="784"/>
      <c r="C171" s="784"/>
      <c r="D171" s="785"/>
      <c r="E171" s="785"/>
      <c r="F171" s="781"/>
      <c r="G171" s="781"/>
      <c r="H171" s="781"/>
      <c r="I171" s="781"/>
      <c r="J171" s="781"/>
      <c r="K171" s="781"/>
      <c r="L171" s="781"/>
      <c r="M171" s="781"/>
      <c r="N171" s="781"/>
      <c r="O171" s="781"/>
      <c r="P171" s="781"/>
      <c r="Q171" s="781"/>
      <c r="R171" s="781"/>
      <c r="S171" s="781"/>
      <c r="T171" s="781"/>
      <c r="U171" s="781"/>
      <c r="V171" s="781"/>
      <c r="W171" s="781"/>
      <c r="X171" s="781"/>
      <c r="Y171" s="781"/>
      <c r="Z171" s="781"/>
      <c r="AA171" s="781"/>
      <c r="AB171" s="781"/>
      <c r="AC171" s="781"/>
      <c r="AD171" s="781"/>
      <c r="AE171" s="781"/>
      <c r="AF171" s="781"/>
      <c r="AG171" s="781"/>
      <c r="AH171" s="781"/>
      <c r="AI171" s="781"/>
      <c r="AJ171" s="781"/>
      <c r="AK171" s="781"/>
      <c r="AL171" s="781"/>
      <c r="AM171" s="781"/>
    </row>
    <row r="172" spans="1:39" s="786" customFormat="1" x14ac:dyDescent="0.3">
      <c r="A172" s="783"/>
      <c r="B172" s="784"/>
      <c r="C172" s="784"/>
      <c r="D172" s="785"/>
      <c r="E172" s="785"/>
      <c r="F172" s="781"/>
      <c r="G172" s="781"/>
      <c r="H172" s="781"/>
      <c r="I172" s="781"/>
      <c r="J172" s="781"/>
      <c r="K172" s="781"/>
      <c r="L172" s="781"/>
      <c r="M172" s="781"/>
      <c r="N172" s="781"/>
      <c r="O172" s="781"/>
      <c r="P172" s="781"/>
      <c r="Q172" s="781"/>
      <c r="R172" s="781"/>
      <c r="S172" s="781"/>
      <c r="T172" s="781"/>
      <c r="U172" s="781"/>
      <c r="V172" s="781"/>
      <c r="W172" s="781"/>
      <c r="X172" s="781"/>
      <c r="Y172" s="781"/>
      <c r="Z172" s="781"/>
      <c r="AA172" s="781"/>
      <c r="AB172" s="781"/>
      <c r="AC172" s="781"/>
      <c r="AD172" s="781"/>
      <c r="AE172" s="781"/>
      <c r="AF172" s="781"/>
      <c r="AG172" s="781"/>
      <c r="AH172" s="781"/>
      <c r="AI172" s="781"/>
      <c r="AJ172" s="781"/>
      <c r="AK172" s="781"/>
      <c r="AL172" s="781"/>
      <c r="AM172" s="781"/>
    </row>
    <row r="173" spans="1:39" s="786" customFormat="1" x14ac:dyDescent="0.3">
      <c r="A173" s="783"/>
      <c r="B173" s="784"/>
      <c r="C173" s="784"/>
      <c r="D173" s="785"/>
      <c r="E173" s="785"/>
      <c r="F173" s="781"/>
      <c r="G173" s="781"/>
      <c r="H173" s="781"/>
      <c r="I173" s="781"/>
      <c r="J173" s="781"/>
      <c r="K173" s="781"/>
      <c r="L173" s="781"/>
      <c r="M173" s="781"/>
      <c r="N173" s="781"/>
      <c r="O173" s="781"/>
      <c r="P173" s="781"/>
      <c r="Q173" s="781"/>
      <c r="R173" s="781"/>
      <c r="S173" s="781"/>
      <c r="T173" s="781"/>
      <c r="U173" s="781"/>
      <c r="V173" s="781"/>
      <c r="W173" s="781"/>
      <c r="X173" s="781"/>
      <c r="Y173" s="781"/>
      <c r="Z173" s="781"/>
      <c r="AA173" s="781"/>
      <c r="AB173" s="781"/>
      <c r="AC173" s="781"/>
      <c r="AD173" s="781"/>
      <c r="AE173" s="781"/>
      <c r="AF173" s="781"/>
      <c r="AG173" s="781"/>
      <c r="AH173" s="781"/>
      <c r="AI173" s="781"/>
      <c r="AJ173" s="781"/>
      <c r="AK173" s="781"/>
      <c r="AL173" s="781"/>
      <c r="AM173" s="781"/>
    </row>
    <row r="174" spans="1:39" s="786" customFormat="1" x14ac:dyDescent="0.3">
      <c r="A174" s="783"/>
      <c r="B174" s="784"/>
      <c r="C174" s="784"/>
      <c r="D174" s="785"/>
      <c r="E174" s="785"/>
      <c r="F174" s="781"/>
      <c r="G174" s="781"/>
      <c r="H174" s="781"/>
      <c r="I174" s="781"/>
      <c r="J174" s="781"/>
      <c r="K174" s="781"/>
      <c r="L174" s="781"/>
      <c r="M174" s="781"/>
      <c r="N174" s="781"/>
      <c r="O174" s="781"/>
      <c r="P174" s="781"/>
      <c r="Q174" s="781"/>
      <c r="R174" s="781"/>
      <c r="S174" s="781"/>
      <c r="T174" s="781"/>
      <c r="U174" s="781"/>
      <c r="V174" s="781"/>
      <c r="W174" s="781"/>
      <c r="X174" s="781"/>
      <c r="Y174" s="781"/>
      <c r="Z174" s="781"/>
      <c r="AA174" s="781"/>
      <c r="AB174" s="781"/>
      <c r="AC174" s="781"/>
      <c r="AD174" s="781"/>
      <c r="AE174" s="781"/>
      <c r="AF174" s="781"/>
      <c r="AG174" s="781"/>
      <c r="AH174" s="781"/>
      <c r="AI174" s="781"/>
      <c r="AJ174" s="781"/>
      <c r="AK174" s="781"/>
      <c r="AL174" s="781"/>
      <c r="AM174" s="781"/>
    </row>
    <row r="175" spans="1:39" s="786" customFormat="1" x14ac:dyDescent="0.3">
      <c r="A175" s="783"/>
      <c r="B175" s="784"/>
      <c r="C175" s="784"/>
      <c r="D175" s="785"/>
      <c r="E175" s="785"/>
      <c r="F175" s="781"/>
      <c r="G175" s="781"/>
      <c r="H175" s="781"/>
      <c r="I175" s="781"/>
      <c r="J175" s="781"/>
      <c r="K175" s="781"/>
      <c r="L175" s="781"/>
      <c r="M175" s="781"/>
      <c r="N175" s="781"/>
      <c r="O175" s="781"/>
      <c r="P175" s="781"/>
      <c r="Q175" s="781"/>
      <c r="R175" s="781"/>
      <c r="S175" s="781"/>
      <c r="T175" s="781"/>
      <c r="U175" s="781"/>
      <c r="V175" s="781"/>
      <c r="W175" s="781"/>
      <c r="X175" s="781"/>
      <c r="Y175" s="781"/>
      <c r="Z175" s="781"/>
      <c r="AA175" s="781"/>
      <c r="AB175" s="781"/>
      <c r="AC175" s="781"/>
      <c r="AD175" s="781"/>
      <c r="AE175" s="781"/>
      <c r="AF175" s="781"/>
      <c r="AG175" s="781"/>
      <c r="AH175" s="781"/>
      <c r="AI175" s="781"/>
      <c r="AJ175" s="781"/>
      <c r="AK175" s="781"/>
      <c r="AL175" s="781"/>
      <c r="AM175" s="781"/>
    </row>
    <row r="176" spans="1:39" s="786" customFormat="1" x14ac:dyDescent="0.3">
      <c r="A176" s="783"/>
      <c r="B176" s="784"/>
      <c r="C176" s="784"/>
      <c r="D176" s="785"/>
      <c r="E176" s="785"/>
      <c r="F176" s="781"/>
      <c r="G176" s="781"/>
      <c r="H176" s="781"/>
      <c r="I176" s="781"/>
      <c r="J176" s="781"/>
      <c r="K176" s="781"/>
      <c r="L176" s="781"/>
      <c r="M176" s="781"/>
      <c r="N176" s="781"/>
      <c r="O176" s="781"/>
      <c r="P176" s="781"/>
      <c r="Q176" s="781"/>
      <c r="R176" s="781"/>
      <c r="S176" s="781"/>
      <c r="T176" s="781"/>
      <c r="U176" s="781"/>
      <c r="V176" s="781"/>
      <c r="W176" s="781"/>
      <c r="X176" s="781"/>
      <c r="Y176" s="781"/>
      <c r="Z176" s="781"/>
      <c r="AA176" s="781"/>
      <c r="AB176" s="781"/>
      <c r="AC176" s="781"/>
      <c r="AD176" s="781"/>
      <c r="AE176" s="781"/>
      <c r="AF176" s="781"/>
      <c r="AG176" s="781"/>
      <c r="AH176" s="781"/>
      <c r="AI176" s="781"/>
      <c r="AJ176" s="781"/>
      <c r="AK176" s="781"/>
      <c r="AL176" s="781"/>
      <c r="AM176" s="781"/>
    </row>
    <row r="177" spans="1:39" s="786" customFormat="1" x14ac:dyDescent="0.3">
      <c r="A177" s="783"/>
      <c r="B177" s="784"/>
      <c r="C177" s="784"/>
      <c r="D177" s="785"/>
      <c r="E177" s="785"/>
      <c r="F177" s="781"/>
      <c r="G177" s="781"/>
      <c r="H177" s="781"/>
      <c r="I177" s="781"/>
      <c r="J177" s="781"/>
      <c r="K177" s="781"/>
      <c r="L177" s="781"/>
      <c r="M177" s="781"/>
      <c r="N177" s="781"/>
      <c r="O177" s="781"/>
      <c r="P177" s="781"/>
      <c r="Q177" s="781"/>
      <c r="R177" s="781"/>
      <c r="S177" s="781"/>
      <c r="T177" s="781"/>
      <c r="U177" s="781"/>
      <c r="V177" s="781"/>
      <c r="W177" s="781"/>
      <c r="X177" s="781"/>
      <c r="Y177" s="781"/>
      <c r="Z177" s="781"/>
      <c r="AA177" s="781"/>
      <c r="AB177" s="781"/>
      <c r="AC177" s="781"/>
      <c r="AD177" s="781"/>
      <c r="AE177" s="781"/>
      <c r="AF177" s="781"/>
      <c r="AG177" s="781"/>
      <c r="AH177" s="781"/>
      <c r="AI177" s="781"/>
      <c r="AJ177" s="781"/>
      <c r="AK177" s="781"/>
      <c r="AL177" s="781"/>
      <c r="AM177" s="781"/>
    </row>
    <row r="178" spans="1:39" s="786" customFormat="1" x14ac:dyDescent="0.3">
      <c r="A178" s="783"/>
      <c r="B178" s="784"/>
      <c r="C178" s="784"/>
      <c r="D178" s="785"/>
      <c r="E178" s="785"/>
      <c r="F178" s="781"/>
      <c r="G178" s="781"/>
      <c r="H178" s="781"/>
      <c r="I178" s="781"/>
      <c r="J178" s="781"/>
      <c r="K178" s="781"/>
      <c r="L178" s="781"/>
      <c r="M178" s="781"/>
      <c r="N178" s="781"/>
      <c r="O178" s="781"/>
      <c r="P178" s="781"/>
      <c r="Q178" s="781"/>
      <c r="R178" s="781"/>
      <c r="S178" s="781"/>
      <c r="T178" s="781"/>
      <c r="U178" s="781"/>
      <c r="V178" s="781"/>
      <c r="W178" s="781"/>
      <c r="X178" s="781"/>
      <c r="Y178" s="781"/>
      <c r="Z178" s="781"/>
      <c r="AA178" s="781"/>
      <c r="AB178" s="781"/>
      <c r="AC178" s="781"/>
      <c r="AD178" s="781"/>
      <c r="AE178" s="781"/>
      <c r="AF178" s="781"/>
      <c r="AG178" s="781"/>
      <c r="AH178" s="781"/>
      <c r="AI178" s="781"/>
      <c r="AJ178" s="781"/>
      <c r="AK178" s="781"/>
      <c r="AL178" s="781"/>
      <c r="AM178" s="781"/>
    </row>
    <row r="179" spans="1:39" s="786" customFormat="1" x14ac:dyDescent="0.3">
      <c r="A179" s="783"/>
      <c r="B179" s="784"/>
      <c r="C179" s="784"/>
      <c r="D179" s="785"/>
      <c r="E179" s="785"/>
      <c r="F179" s="781"/>
      <c r="G179" s="781"/>
      <c r="H179" s="781"/>
      <c r="I179" s="781"/>
      <c r="J179" s="781"/>
      <c r="K179" s="781"/>
      <c r="L179" s="781"/>
      <c r="M179" s="781"/>
      <c r="N179" s="781"/>
      <c r="O179" s="781"/>
      <c r="P179" s="781"/>
      <c r="Q179" s="781"/>
      <c r="R179" s="781"/>
      <c r="S179" s="781"/>
      <c r="T179" s="781"/>
      <c r="U179" s="781"/>
      <c r="V179" s="781"/>
      <c r="W179" s="781"/>
      <c r="X179" s="781"/>
      <c r="Y179" s="781"/>
      <c r="Z179" s="781"/>
      <c r="AA179" s="781"/>
      <c r="AB179" s="781"/>
      <c r="AC179" s="781"/>
      <c r="AD179" s="781"/>
      <c r="AE179" s="781"/>
      <c r="AF179" s="781"/>
      <c r="AG179" s="781"/>
      <c r="AH179" s="781"/>
      <c r="AI179" s="781"/>
      <c r="AJ179" s="781"/>
      <c r="AK179" s="781"/>
      <c r="AL179" s="781"/>
      <c r="AM179" s="781"/>
    </row>
    <row r="180" spans="1:39" s="786" customFormat="1" x14ac:dyDescent="0.3">
      <c r="A180" s="783"/>
      <c r="B180" s="784"/>
      <c r="C180" s="784"/>
      <c r="D180" s="785"/>
      <c r="E180" s="785"/>
      <c r="F180" s="781"/>
      <c r="G180" s="781"/>
      <c r="H180" s="781"/>
      <c r="I180" s="781"/>
      <c r="J180" s="781"/>
      <c r="K180" s="781"/>
      <c r="L180" s="781"/>
      <c r="M180" s="781"/>
      <c r="N180" s="781"/>
      <c r="O180" s="781"/>
      <c r="P180" s="781"/>
      <c r="Q180" s="781"/>
      <c r="R180" s="781"/>
      <c r="S180" s="781"/>
      <c r="T180" s="781"/>
      <c r="U180" s="781"/>
      <c r="V180" s="781"/>
      <c r="W180" s="781"/>
      <c r="X180" s="781"/>
      <c r="Y180" s="781"/>
      <c r="Z180" s="781"/>
      <c r="AA180" s="781"/>
      <c r="AB180" s="781"/>
      <c r="AC180" s="781"/>
      <c r="AD180" s="781"/>
      <c r="AE180" s="781"/>
      <c r="AF180" s="781"/>
      <c r="AG180" s="781"/>
      <c r="AH180" s="781"/>
      <c r="AI180" s="781"/>
      <c r="AJ180" s="781"/>
      <c r="AK180" s="781"/>
      <c r="AL180" s="781"/>
      <c r="AM180" s="781"/>
    </row>
    <row r="181" spans="1:39" s="786" customFormat="1" x14ac:dyDescent="0.3">
      <c r="A181" s="783"/>
      <c r="B181" s="784"/>
      <c r="C181" s="784"/>
      <c r="D181" s="785"/>
      <c r="E181" s="785"/>
      <c r="F181" s="781"/>
      <c r="G181" s="781"/>
      <c r="H181" s="781"/>
      <c r="I181" s="781"/>
      <c r="J181" s="781"/>
      <c r="K181" s="781"/>
      <c r="L181" s="781"/>
      <c r="M181" s="781"/>
      <c r="N181" s="781"/>
      <c r="O181" s="781"/>
      <c r="P181" s="781"/>
      <c r="Q181" s="781"/>
      <c r="R181" s="781"/>
      <c r="S181" s="781"/>
      <c r="T181" s="781"/>
      <c r="U181" s="781"/>
      <c r="V181" s="781"/>
      <c r="W181" s="781"/>
      <c r="X181" s="781"/>
      <c r="Y181" s="781"/>
      <c r="Z181" s="781"/>
      <c r="AA181" s="781"/>
      <c r="AB181" s="781"/>
      <c r="AC181" s="781"/>
      <c r="AD181" s="781"/>
      <c r="AE181" s="781"/>
      <c r="AF181" s="781"/>
      <c r="AG181" s="781"/>
      <c r="AH181" s="781"/>
      <c r="AI181" s="781"/>
      <c r="AJ181" s="781"/>
      <c r="AK181" s="781"/>
      <c r="AL181" s="781"/>
      <c r="AM181" s="781"/>
    </row>
    <row r="182" spans="1:39" s="786" customFormat="1" x14ac:dyDescent="0.3">
      <c r="A182" s="783"/>
      <c r="B182" s="784"/>
      <c r="C182" s="784"/>
      <c r="D182" s="785"/>
      <c r="E182" s="785"/>
      <c r="F182" s="781"/>
      <c r="G182" s="781"/>
      <c r="H182" s="781"/>
      <c r="I182" s="781"/>
      <c r="J182" s="781"/>
      <c r="K182" s="781"/>
      <c r="L182" s="781"/>
      <c r="M182" s="781"/>
      <c r="N182" s="781"/>
      <c r="O182" s="781"/>
      <c r="P182" s="781"/>
      <c r="Q182" s="781"/>
      <c r="R182" s="781"/>
      <c r="S182" s="781"/>
      <c r="T182" s="781"/>
      <c r="U182" s="781"/>
      <c r="V182" s="781"/>
      <c r="W182" s="781"/>
      <c r="X182" s="781"/>
      <c r="Y182" s="781"/>
      <c r="Z182" s="781"/>
      <c r="AA182" s="781"/>
      <c r="AB182" s="781"/>
      <c r="AC182" s="781"/>
      <c r="AD182" s="781"/>
      <c r="AE182" s="781"/>
      <c r="AF182" s="781"/>
      <c r="AG182" s="781"/>
      <c r="AH182" s="781"/>
      <c r="AI182" s="781"/>
      <c r="AJ182" s="781"/>
      <c r="AK182" s="781"/>
      <c r="AL182" s="781"/>
      <c r="AM182" s="781"/>
    </row>
    <row r="183" spans="1:39" s="786" customFormat="1" x14ac:dyDescent="0.3">
      <c r="A183" s="783"/>
      <c r="B183" s="784"/>
      <c r="C183" s="784"/>
      <c r="D183" s="785"/>
      <c r="E183" s="785"/>
      <c r="F183" s="781"/>
      <c r="G183" s="781"/>
      <c r="H183" s="781"/>
      <c r="I183" s="781"/>
      <c r="J183" s="781"/>
      <c r="K183" s="781"/>
      <c r="L183" s="781"/>
      <c r="M183" s="781"/>
      <c r="N183" s="781"/>
      <c r="O183" s="781"/>
      <c r="P183" s="781"/>
      <c r="Q183" s="781"/>
      <c r="R183" s="781"/>
      <c r="S183" s="781"/>
      <c r="T183" s="781"/>
      <c r="U183" s="781"/>
      <c r="V183" s="781"/>
      <c r="W183" s="781"/>
      <c r="X183" s="781"/>
      <c r="Y183" s="781"/>
      <c r="Z183" s="781"/>
      <c r="AA183" s="781"/>
      <c r="AB183" s="781"/>
      <c r="AC183" s="781"/>
      <c r="AD183" s="781"/>
      <c r="AE183" s="781"/>
      <c r="AF183" s="781"/>
      <c r="AG183" s="781"/>
      <c r="AH183" s="781"/>
      <c r="AI183" s="781"/>
      <c r="AJ183" s="781"/>
      <c r="AK183" s="781"/>
      <c r="AL183" s="781"/>
      <c r="AM183" s="781"/>
    </row>
    <row r="184" spans="1:39" s="786" customFormat="1" x14ac:dyDescent="0.3">
      <c r="A184" s="783"/>
      <c r="B184" s="784"/>
      <c r="C184" s="784"/>
      <c r="D184" s="785"/>
      <c r="E184" s="785"/>
      <c r="F184" s="781"/>
      <c r="G184" s="781"/>
      <c r="H184" s="781"/>
      <c r="I184" s="781"/>
      <c r="J184" s="781"/>
      <c r="K184" s="781"/>
      <c r="L184" s="781"/>
      <c r="M184" s="781"/>
      <c r="N184" s="781"/>
      <c r="O184" s="781"/>
      <c r="P184" s="781"/>
      <c r="Q184" s="781"/>
      <c r="R184" s="781"/>
      <c r="S184" s="781"/>
      <c r="T184" s="781"/>
      <c r="U184" s="781"/>
      <c r="V184" s="781"/>
      <c r="W184" s="781"/>
      <c r="X184" s="781"/>
      <c r="Y184" s="781"/>
      <c r="Z184" s="781"/>
      <c r="AA184" s="781"/>
      <c r="AB184" s="781"/>
      <c r="AC184" s="781"/>
      <c r="AD184" s="781"/>
      <c r="AE184" s="781"/>
      <c r="AF184" s="781"/>
      <c r="AG184" s="781"/>
      <c r="AH184" s="781"/>
      <c r="AI184" s="781"/>
      <c r="AJ184" s="781"/>
      <c r="AK184" s="781"/>
      <c r="AL184" s="781"/>
      <c r="AM184" s="781"/>
    </row>
    <row r="185" spans="1:39" s="786" customFormat="1" x14ac:dyDescent="0.3">
      <c r="A185" s="783"/>
      <c r="B185" s="784"/>
      <c r="C185" s="784"/>
      <c r="D185" s="785"/>
      <c r="E185" s="785"/>
      <c r="F185" s="781"/>
      <c r="G185" s="781"/>
      <c r="H185" s="781"/>
      <c r="I185" s="781"/>
      <c r="J185" s="781"/>
      <c r="K185" s="781"/>
      <c r="L185" s="781"/>
      <c r="M185" s="781"/>
      <c r="N185" s="781"/>
      <c r="O185" s="781"/>
      <c r="P185" s="781"/>
      <c r="Q185" s="781"/>
      <c r="R185" s="781"/>
      <c r="S185" s="781"/>
      <c r="T185" s="781"/>
      <c r="U185" s="781"/>
      <c r="V185" s="781"/>
      <c r="W185" s="781"/>
      <c r="X185" s="781"/>
      <c r="Y185" s="781"/>
      <c r="Z185" s="781"/>
      <c r="AA185" s="781"/>
      <c r="AB185" s="781"/>
      <c r="AC185" s="781"/>
      <c r="AD185" s="781"/>
      <c r="AE185" s="781"/>
      <c r="AF185" s="781"/>
      <c r="AG185" s="781"/>
      <c r="AH185" s="781"/>
      <c r="AI185" s="781"/>
      <c r="AJ185" s="781"/>
      <c r="AK185" s="781"/>
      <c r="AL185" s="781"/>
      <c r="AM185" s="781"/>
    </row>
    <row r="186" spans="1:39" s="786" customFormat="1" x14ac:dyDescent="0.3">
      <c r="A186" s="783"/>
      <c r="B186" s="784"/>
      <c r="C186" s="784"/>
      <c r="D186" s="785"/>
      <c r="E186" s="785"/>
      <c r="F186" s="781"/>
      <c r="G186" s="781"/>
      <c r="H186" s="781"/>
      <c r="I186" s="781"/>
      <c r="J186" s="781"/>
      <c r="K186" s="781"/>
      <c r="L186" s="781"/>
      <c r="M186" s="781"/>
      <c r="N186" s="781"/>
      <c r="O186" s="781"/>
      <c r="P186" s="781"/>
      <c r="Q186" s="781"/>
      <c r="R186" s="781"/>
      <c r="S186" s="781"/>
      <c r="T186" s="781"/>
      <c r="U186" s="781"/>
      <c r="V186" s="781"/>
      <c r="W186" s="781"/>
      <c r="X186" s="781"/>
      <c r="Y186" s="781"/>
      <c r="Z186" s="781"/>
      <c r="AA186" s="781"/>
      <c r="AB186" s="781"/>
      <c r="AC186" s="781"/>
      <c r="AD186" s="781"/>
      <c r="AE186" s="781"/>
      <c r="AF186" s="781"/>
      <c r="AG186" s="781"/>
      <c r="AH186" s="781"/>
      <c r="AI186" s="781"/>
      <c r="AJ186" s="781"/>
      <c r="AK186" s="781"/>
      <c r="AL186" s="781"/>
      <c r="AM186" s="781"/>
    </row>
    <row r="187" spans="1:39" s="786" customFormat="1" x14ac:dyDescent="0.3">
      <c r="A187" s="783"/>
      <c r="B187" s="784"/>
      <c r="C187" s="784"/>
      <c r="D187" s="785"/>
      <c r="E187" s="785"/>
      <c r="F187" s="781"/>
      <c r="G187" s="781"/>
      <c r="H187" s="781"/>
      <c r="I187" s="781"/>
      <c r="J187" s="781"/>
      <c r="K187" s="781"/>
      <c r="L187" s="781"/>
      <c r="M187" s="781"/>
      <c r="N187" s="781"/>
      <c r="O187" s="781"/>
      <c r="P187" s="781"/>
      <c r="Q187" s="781"/>
      <c r="R187" s="781"/>
      <c r="S187" s="781"/>
      <c r="T187" s="781"/>
      <c r="U187" s="781"/>
      <c r="V187" s="781"/>
      <c r="W187" s="781"/>
      <c r="X187" s="781"/>
      <c r="Y187" s="781"/>
      <c r="Z187" s="781"/>
      <c r="AA187" s="781"/>
      <c r="AB187" s="781"/>
      <c r="AC187" s="781"/>
      <c r="AD187" s="781"/>
      <c r="AE187" s="781"/>
      <c r="AF187" s="781"/>
      <c r="AG187" s="781"/>
      <c r="AH187" s="781"/>
      <c r="AI187" s="781"/>
      <c r="AJ187" s="781"/>
      <c r="AK187" s="781"/>
      <c r="AL187" s="781"/>
      <c r="AM187" s="781"/>
    </row>
    <row r="188" spans="1:39" s="786" customFormat="1" x14ac:dyDescent="0.3">
      <c r="A188" s="783"/>
      <c r="B188" s="784"/>
      <c r="C188" s="784"/>
      <c r="D188" s="785"/>
      <c r="E188" s="785"/>
      <c r="F188" s="781"/>
      <c r="G188" s="781"/>
      <c r="H188" s="781"/>
      <c r="I188" s="781"/>
      <c r="J188" s="781"/>
      <c r="K188" s="781"/>
      <c r="L188" s="781"/>
      <c r="M188" s="781"/>
      <c r="N188" s="781"/>
      <c r="O188" s="781"/>
      <c r="P188" s="781"/>
      <c r="Q188" s="781"/>
      <c r="R188" s="781"/>
      <c r="S188" s="781"/>
      <c r="T188" s="781"/>
      <c r="U188" s="781"/>
      <c r="V188" s="781"/>
      <c r="W188" s="781"/>
      <c r="X188" s="781"/>
      <c r="Y188" s="781"/>
      <c r="Z188" s="781"/>
      <c r="AA188" s="781"/>
      <c r="AB188" s="781"/>
      <c r="AC188" s="781"/>
      <c r="AD188" s="781"/>
      <c r="AE188" s="781"/>
      <c r="AF188" s="781"/>
      <c r="AG188" s="781"/>
      <c r="AH188" s="781"/>
      <c r="AI188" s="781"/>
      <c r="AJ188" s="781"/>
      <c r="AK188" s="781"/>
      <c r="AL188" s="781"/>
      <c r="AM188" s="781"/>
    </row>
    <row r="189" spans="1:39" s="786" customFormat="1" x14ac:dyDescent="0.3">
      <c r="A189" s="783"/>
      <c r="B189" s="784"/>
      <c r="C189" s="784"/>
      <c r="D189" s="785"/>
      <c r="E189" s="785"/>
      <c r="F189" s="781"/>
      <c r="G189" s="781"/>
      <c r="H189" s="781"/>
      <c r="I189" s="781"/>
      <c r="J189" s="781"/>
      <c r="K189" s="781"/>
      <c r="L189" s="781"/>
      <c r="M189" s="781"/>
      <c r="N189" s="781"/>
      <c r="O189" s="781"/>
      <c r="P189" s="781"/>
      <c r="Q189" s="781"/>
      <c r="R189" s="781"/>
      <c r="S189" s="781"/>
      <c r="T189" s="781"/>
      <c r="U189" s="781"/>
      <c r="V189" s="781"/>
      <c r="W189" s="781"/>
      <c r="X189" s="781"/>
      <c r="Y189" s="781"/>
      <c r="Z189" s="781"/>
      <c r="AA189" s="781"/>
      <c r="AB189" s="781"/>
      <c r="AC189" s="781"/>
      <c r="AD189" s="781"/>
      <c r="AE189" s="781"/>
      <c r="AF189" s="781"/>
      <c r="AG189" s="781"/>
      <c r="AH189" s="781"/>
      <c r="AI189" s="781"/>
      <c r="AJ189" s="781"/>
      <c r="AK189" s="781"/>
      <c r="AL189" s="781"/>
      <c r="AM189" s="781"/>
    </row>
    <row r="190" spans="1:39" s="786" customFormat="1" x14ac:dyDescent="0.3">
      <c r="A190" s="783"/>
      <c r="B190" s="784"/>
      <c r="C190" s="784"/>
      <c r="D190" s="785"/>
      <c r="E190" s="785"/>
      <c r="F190" s="781"/>
      <c r="G190" s="781"/>
      <c r="H190" s="781"/>
      <c r="I190" s="781"/>
      <c r="J190" s="781"/>
      <c r="K190" s="781"/>
      <c r="L190" s="781"/>
      <c r="M190" s="781"/>
      <c r="N190" s="781"/>
      <c r="O190" s="781"/>
      <c r="P190" s="781"/>
      <c r="Q190" s="781"/>
      <c r="R190" s="781"/>
      <c r="S190" s="781"/>
      <c r="T190" s="781"/>
      <c r="U190" s="781"/>
      <c r="V190" s="781"/>
      <c r="W190" s="781"/>
      <c r="X190" s="781"/>
      <c r="Y190" s="781"/>
      <c r="Z190" s="781"/>
      <c r="AA190" s="781"/>
      <c r="AB190" s="781"/>
      <c r="AC190" s="781"/>
      <c r="AD190" s="781"/>
      <c r="AE190" s="781"/>
      <c r="AF190" s="781"/>
      <c r="AG190" s="781"/>
      <c r="AH190" s="781"/>
      <c r="AI190" s="781"/>
      <c r="AJ190" s="781"/>
      <c r="AK190" s="781"/>
      <c r="AL190" s="781"/>
      <c r="AM190" s="781"/>
    </row>
    <row r="191" spans="1:39" s="786" customFormat="1" x14ac:dyDescent="0.3">
      <c r="A191" s="783"/>
      <c r="B191" s="784"/>
      <c r="C191" s="784"/>
      <c r="D191" s="785"/>
      <c r="E191" s="785"/>
      <c r="F191" s="781"/>
      <c r="G191" s="781"/>
      <c r="H191" s="781"/>
      <c r="I191" s="781"/>
      <c r="J191" s="781"/>
      <c r="K191" s="781"/>
      <c r="L191" s="781"/>
      <c r="M191" s="781"/>
      <c r="N191" s="781"/>
      <c r="O191" s="781"/>
      <c r="P191" s="781"/>
      <c r="Q191" s="781"/>
      <c r="R191" s="781"/>
      <c r="S191" s="781"/>
      <c r="T191" s="781"/>
      <c r="U191" s="781"/>
      <c r="V191" s="781"/>
      <c r="W191" s="781"/>
      <c r="X191" s="781"/>
      <c r="Y191" s="781"/>
      <c r="Z191" s="781"/>
      <c r="AA191" s="781"/>
      <c r="AB191" s="781"/>
      <c r="AC191" s="781"/>
      <c r="AD191" s="781"/>
      <c r="AE191" s="781"/>
      <c r="AF191" s="781"/>
      <c r="AG191" s="781"/>
      <c r="AH191" s="781"/>
      <c r="AI191" s="781"/>
      <c r="AJ191" s="781"/>
      <c r="AK191" s="781"/>
      <c r="AL191" s="781"/>
      <c r="AM191" s="781"/>
    </row>
    <row r="192" spans="1:39" s="786" customFormat="1" x14ac:dyDescent="0.3">
      <c r="A192" s="783"/>
      <c r="B192" s="784"/>
      <c r="C192" s="784"/>
      <c r="D192" s="785"/>
      <c r="E192" s="785"/>
      <c r="F192" s="781"/>
      <c r="G192" s="781"/>
      <c r="H192" s="781"/>
      <c r="I192" s="781"/>
      <c r="J192" s="781"/>
      <c r="K192" s="781"/>
      <c r="L192" s="781"/>
      <c r="M192" s="781"/>
      <c r="N192" s="781"/>
      <c r="O192" s="781"/>
      <c r="P192" s="781"/>
      <c r="Q192" s="781"/>
      <c r="R192" s="781"/>
      <c r="S192" s="781"/>
      <c r="T192" s="781"/>
      <c r="U192" s="781"/>
      <c r="V192" s="781"/>
      <c r="W192" s="781"/>
      <c r="X192" s="781"/>
      <c r="Y192" s="781"/>
      <c r="Z192" s="781"/>
      <c r="AA192" s="781"/>
      <c r="AB192" s="781"/>
      <c r="AC192" s="781"/>
      <c r="AD192" s="781"/>
      <c r="AE192" s="781"/>
      <c r="AF192" s="781"/>
      <c r="AG192" s="781"/>
      <c r="AH192" s="781"/>
      <c r="AI192" s="781"/>
      <c r="AJ192" s="781"/>
      <c r="AK192" s="781"/>
      <c r="AL192" s="781"/>
      <c r="AM192" s="781"/>
    </row>
    <row r="193" spans="1:39" s="786" customFormat="1" x14ac:dyDescent="0.3">
      <c r="A193" s="783"/>
      <c r="B193" s="784"/>
      <c r="C193" s="784"/>
      <c r="D193" s="785"/>
      <c r="E193" s="785"/>
      <c r="F193" s="781"/>
      <c r="G193" s="781"/>
      <c r="H193" s="781"/>
      <c r="I193" s="781"/>
      <c r="J193" s="781"/>
      <c r="K193" s="781"/>
      <c r="L193" s="781"/>
      <c r="M193" s="781"/>
      <c r="N193" s="781"/>
      <c r="O193" s="781"/>
      <c r="P193" s="781"/>
      <c r="Q193" s="781"/>
      <c r="R193" s="781"/>
      <c r="S193" s="781"/>
      <c r="T193" s="781"/>
      <c r="U193" s="781"/>
      <c r="V193" s="781"/>
      <c r="W193" s="781"/>
      <c r="X193" s="781"/>
      <c r="Y193" s="781"/>
      <c r="Z193" s="781"/>
      <c r="AA193" s="781"/>
      <c r="AB193" s="781"/>
      <c r="AC193" s="781"/>
      <c r="AD193" s="781"/>
      <c r="AE193" s="781"/>
      <c r="AF193" s="781"/>
      <c r="AG193" s="781"/>
      <c r="AH193" s="781"/>
      <c r="AI193" s="781"/>
      <c r="AJ193" s="781"/>
      <c r="AK193" s="781"/>
      <c r="AL193" s="781"/>
      <c r="AM193" s="781"/>
    </row>
    <row r="194" spans="1:39" s="786" customFormat="1" x14ac:dyDescent="0.3">
      <c r="A194" s="783"/>
      <c r="B194" s="784"/>
      <c r="C194" s="784"/>
      <c r="D194" s="785"/>
      <c r="E194" s="785"/>
      <c r="F194" s="781"/>
      <c r="G194" s="781"/>
      <c r="H194" s="781"/>
      <c r="I194" s="781"/>
      <c r="J194" s="781"/>
      <c r="K194" s="781"/>
      <c r="L194" s="781"/>
      <c r="M194" s="781"/>
      <c r="N194" s="781"/>
      <c r="O194" s="781"/>
      <c r="P194" s="781"/>
      <c r="Q194" s="781"/>
      <c r="R194" s="781"/>
      <c r="S194" s="781"/>
      <c r="T194" s="781"/>
      <c r="U194" s="781"/>
      <c r="V194" s="781"/>
      <c r="W194" s="781"/>
      <c r="X194" s="781"/>
      <c r="Y194" s="781"/>
      <c r="Z194" s="781"/>
      <c r="AA194" s="781"/>
      <c r="AB194" s="781"/>
      <c r="AC194" s="781"/>
      <c r="AD194" s="781"/>
      <c r="AE194" s="781"/>
      <c r="AF194" s="781"/>
      <c r="AG194" s="781"/>
      <c r="AH194" s="781"/>
      <c r="AI194" s="781"/>
      <c r="AJ194" s="781"/>
      <c r="AK194" s="781"/>
      <c r="AL194" s="781"/>
      <c r="AM194" s="781"/>
    </row>
    <row r="195" spans="1:39" s="786" customFormat="1" x14ac:dyDescent="0.3">
      <c r="A195" s="783"/>
      <c r="B195" s="784"/>
      <c r="C195" s="784"/>
      <c r="D195" s="785"/>
      <c r="E195" s="785"/>
      <c r="F195" s="781"/>
      <c r="G195" s="781"/>
      <c r="H195" s="781"/>
      <c r="I195" s="781"/>
      <c r="J195" s="781"/>
      <c r="K195" s="781"/>
      <c r="L195" s="781"/>
      <c r="M195" s="781"/>
      <c r="N195" s="781"/>
      <c r="O195" s="781"/>
      <c r="P195" s="781"/>
      <c r="Q195" s="781"/>
      <c r="R195" s="781"/>
      <c r="S195" s="781"/>
      <c r="T195" s="781"/>
      <c r="U195" s="781"/>
      <c r="V195" s="781"/>
      <c r="W195" s="781"/>
      <c r="X195" s="781"/>
      <c r="Y195" s="781"/>
      <c r="Z195" s="781"/>
      <c r="AA195" s="781"/>
      <c r="AB195" s="781"/>
      <c r="AC195" s="781"/>
      <c r="AD195" s="781"/>
      <c r="AE195" s="781"/>
      <c r="AF195" s="781"/>
      <c r="AG195" s="781"/>
      <c r="AH195" s="781"/>
      <c r="AI195" s="781"/>
      <c r="AJ195" s="781"/>
      <c r="AK195" s="781"/>
      <c r="AL195" s="781"/>
      <c r="AM195" s="781"/>
    </row>
    <row r="196" spans="1:39" s="786" customFormat="1" x14ac:dyDescent="0.3">
      <c r="A196" s="783"/>
      <c r="B196" s="784"/>
      <c r="C196" s="784"/>
      <c r="D196" s="785"/>
      <c r="E196" s="785"/>
      <c r="F196" s="781"/>
      <c r="G196" s="781"/>
      <c r="H196" s="781"/>
      <c r="I196" s="781"/>
      <c r="J196" s="781"/>
      <c r="K196" s="781"/>
      <c r="L196" s="781"/>
      <c r="M196" s="781"/>
      <c r="N196" s="781"/>
      <c r="O196" s="781"/>
      <c r="P196" s="781"/>
      <c r="Q196" s="781"/>
      <c r="R196" s="781"/>
      <c r="S196" s="781"/>
      <c r="T196" s="781"/>
      <c r="U196" s="781"/>
      <c r="V196" s="781"/>
      <c r="W196" s="781"/>
      <c r="X196" s="781"/>
      <c r="Y196" s="781"/>
      <c r="Z196" s="781"/>
      <c r="AA196" s="781"/>
      <c r="AB196" s="781"/>
      <c r="AC196" s="781"/>
      <c r="AD196" s="781"/>
      <c r="AE196" s="781"/>
      <c r="AF196" s="781"/>
      <c r="AG196" s="781"/>
      <c r="AH196" s="781"/>
      <c r="AI196" s="781"/>
      <c r="AJ196" s="781"/>
      <c r="AK196" s="781"/>
      <c r="AL196" s="781"/>
      <c r="AM196" s="781"/>
    </row>
    <row r="197" spans="1:39" s="786" customFormat="1" x14ac:dyDescent="0.3">
      <c r="A197" s="783"/>
      <c r="B197" s="784"/>
      <c r="C197" s="784"/>
      <c r="D197" s="785"/>
      <c r="E197" s="785"/>
      <c r="F197" s="781"/>
      <c r="G197" s="781"/>
      <c r="H197" s="781"/>
      <c r="I197" s="781"/>
      <c r="J197" s="781"/>
      <c r="K197" s="781"/>
      <c r="L197" s="781"/>
      <c r="M197" s="781"/>
      <c r="N197" s="781"/>
      <c r="O197" s="781"/>
      <c r="P197" s="781"/>
      <c r="Q197" s="781"/>
      <c r="R197" s="781"/>
      <c r="S197" s="781"/>
      <c r="T197" s="781"/>
      <c r="U197" s="781"/>
      <c r="V197" s="781"/>
      <c r="W197" s="781"/>
      <c r="X197" s="781"/>
      <c r="Y197" s="781"/>
      <c r="Z197" s="781"/>
      <c r="AA197" s="781"/>
      <c r="AB197" s="781"/>
      <c r="AC197" s="781"/>
      <c r="AD197" s="781"/>
      <c r="AE197" s="781"/>
      <c r="AF197" s="781"/>
      <c r="AG197" s="781"/>
      <c r="AH197" s="781"/>
      <c r="AI197" s="781"/>
      <c r="AJ197" s="781"/>
      <c r="AK197" s="781"/>
      <c r="AL197" s="781"/>
      <c r="AM197" s="781"/>
    </row>
    <row r="198" spans="1:39" s="786" customFormat="1" x14ac:dyDescent="0.3">
      <c r="A198" s="783"/>
      <c r="B198" s="784"/>
      <c r="C198" s="784"/>
      <c r="D198" s="785"/>
      <c r="E198" s="785"/>
      <c r="F198" s="781"/>
      <c r="G198" s="781"/>
      <c r="H198" s="781"/>
      <c r="I198" s="781"/>
      <c r="J198" s="781"/>
      <c r="K198" s="781"/>
      <c r="L198" s="781"/>
      <c r="M198" s="781"/>
      <c r="N198" s="781"/>
      <c r="O198" s="781"/>
      <c r="P198" s="781"/>
      <c r="Q198" s="781"/>
      <c r="R198" s="781"/>
      <c r="S198" s="781"/>
      <c r="T198" s="781"/>
      <c r="U198" s="781"/>
      <c r="V198" s="781"/>
      <c r="W198" s="781"/>
      <c r="X198" s="781"/>
      <c r="Y198" s="781"/>
      <c r="Z198" s="781"/>
      <c r="AA198" s="781"/>
      <c r="AB198" s="781"/>
      <c r="AC198" s="781"/>
      <c r="AD198" s="781"/>
      <c r="AE198" s="781"/>
      <c r="AF198" s="781"/>
      <c r="AG198" s="781"/>
      <c r="AH198" s="781"/>
      <c r="AI198" s="781"/>
      <c r="AJ198" s="781"/>
      <c r="AK198" s="781"/>
      <c r="AL198" s="781"/>
      <c r="AM198" s="781"/>
    </row>
    <row r="199" spans="1:39" s="786" customFormat="1" x14ac:dyDescent="0.3">
      <c r="A199" s="783"/>
      <c r="B199" s="784"/>
      <c r="C199" s="784"/>
      <c r="D199" s="785"/>
      <c r="E199" s="785"/>
      <c r="F199" s="781"/>
      <c r="G199" s="781"/>
      <c r="H199" s="781"/>
      <c r="I199" s="781"/>
      <c r="J199" s="781"/>
      <c r="K199" s="781"/>
      <c r="L199" s="781"/>
      <c r="M199" s="781"/>
      <c r="N199" s="781"/>
      <c r="O199" s="781"/>
      <c r="P199" s="781"/>
      <c r="Q199" s="781"/>
      <c r="R199" s="781"/>
      <c r="S199" s="781"/>
      <c r="T199" s="781"/>
      <c r="U199" s="781"/>
      <c r="V199" s="781"/>
      <c r="W199" s="781"/>
      <c r="X199" s="781"/>
      <c r="Y199" s="781"/>
      <c r="Z199" s="781"/>
      <c r="AA199" s="781"/>
      <c r="AB199" s="781"/>
      <c r="AC199" s="781"/>
      <c r="AD199" s="781"/>
      <c r="AE199" s="781"/>
      <c r="AF199" s="781"/>
      <c r="AG199" s="781"/>
      <c r="AH199" s="781"/>
      <c r="AI199" s="781"/>
      <c r="AJ199" s="781"/>
      <c r="AK199" s="781"/>
      <c r="AL199" s="781"/>
      <c r="AM199" s="781"/>
    </row>
    <row r="200" spans="1:39" s="786" customFormat="1" x14ac:dyDescent="0.3">
      <c r="A200" s="783"/>
      <c r="B200" s="784"/>
      <c r="C200" s="784"/>
      <c r="D200" s="785"/>
      <c r="E200" s="785"/>
      <c r="F200" s="781"/>
      <c r="G200" s="781"/>
      <c r="H200" s="781"/>
      <c r="I200" s="781"/>
      <c r="J200" s="781"/>
      <c r="K200" s="781"/>
      <c r="L200" s="781"/>
      <c r="M200" s="781"/>
      <c r="N200" s="781"/>
      <c r="O200" s="781"/>
      <c r="P200" s="781"/>
      <c r="Q200" s="781"/>
      <c r="R200" s="781"/>
      <c r="S200" s="781"/>
      <c r="T200" s="781"/>
      <c r="U200" s="781"/>
      <c r="V200" s="781"/>
      <c r="W200" s="781"/>
      <c r="X200" s="781"/>
      <c r="Y200" s="781"/>
      <c r="Z200" s="781"/>
      <c r="AA200" s="781"/>
      <c r="AB200" s="781"/>
      <c r="AC200" s="781"/>
      <c r="AD200" s="781"/>
      <c r="AE200" s="781"/>
      <c r="AF200" s="781"/>
      <c r="AG200" s="781"/>
      <c r="AH200" s="781"/>
      <c r="AI200" s="781"/>
      <c r="AJ200" s="781"/>
      <c r="AK200" s="781"/>
      <c r="AL200" s="781"/>
      <c r="AM200" s="781"/>
    </row>
    <row r="201" spans="1:39" s="786" customFormat="1" x14ac:dyDescent="0.3">
      <c r="A201" s="783"/>
      <c r="B201" s="784"/>
      <c r="C201" s="784"/>
      <c r="D201" s="785"/>
      <c r="E201" s="785"/>
      <c r="F201" s="781"/>
      <c r="G201" s="781"/>
      <c r="H201" s="781"/>
      <c r="I201" s="781"/>
      <c r="J201" s="781"/>
      <c r="K201" s="781"/>
      <c r="L201" s="781"/>
      <c r="M201" s="781"/>
      <c r="N201" s="781"/>
      <c r="O201" s="781"/>
      <c r="P201" s="781"/>
      <c r="Q201" s="781"/>
      <c r="R201" s="781"/>
      <c r="S201" s="781"/>
      <c r="T201" s="781"/>
      <c r="U201" s="781"/>
      <c r="V201" s="781"/>
      <c r="W201" s="781"/>
      <c r="X201" s="781"/>
      <c r="Y201" s="781"/>
      <c r="Z201" s="781"/>
      <c r="AA201" s="781"/>
      <c r="AB201" s="781"/>
      <c r="AC201" s="781"/>
      <c r="AD201" s="781"/>
      <c r="AE201" s="781"/>
      <c r="AF201" s="781"/>
      <c r="AG201" s="781"/>
      <c r="AH201" s="781"/>
      <c r="AI201" s="781"/>
      <c r="AJ201" s="781"/>
      <c r="AK201" s="781"/>
      <c r="AL201" s="781"/>
      <c r="AM201" s="781"/>
    </row>
    <row r="202" spans="1:39" s="786" customFormat="1" x14ac:dyDescent="0.3">
      <c r="A202" s="783"/>
      <c r="B202" s="784"/>
      <c r="C202" s="784"/>
      <c r="D202" s="785"/>
      <c r="E202" s="785"/>
      <c r="F202" s="781"/>
      <c r="G202" s="781"/>
      <c r="H202" s="781"/>
      <c r="I202" s="781"/>
      <c r="J202" s="781"/>
      <c r="K202" s="781"/>
      <c r="L202" s="781"/>
      <c r="M202" s="781"/>
      <c r="N202" s="781"/>
      <c r="O202" s="781"/>
      <c r="P202" s="781"/>
      <c r="Q202" s="781"/>
      <c r="R202" s="781"/>
      <c r="S202" s="781"/>
      <c r="T202" s="781"/>
      <c r="U202" s="781"/>
      <c r="V202" s="781"/>
      <c r="W202" s="781"/>
      <c r="X202" s="781"/>
      <c r="Y202" s="781"/>
      <c r="Z202" s="781"/>
      <c r="AA202" s="781"/>
      <c r="AB202" s="781"/>
      <c r="AC202" s="781"/>
      <c r="AD202" s="781"/>
      <c r="AE202" s="781"/>
      <c r="AF202" s="781"/>
      <c r="AG202" s="781"/>
      <c r="AH202" s="781"/>
      <c r="AI202" s="781"/>
      <c r="AJ202" s="781"/>
      <c r="AK202" s="781"/>
      <c r="AL202" s="781"/>
      <c r="AM202" s="781"/>
    </row>
    <row r="203" spans="1:39" s="786" customFormat="1" x14ac:dyDescent="0.3">
      <c r="A203" s="783"/>
      <c r="B203" s="784"/>
      <c r="C203" s="784"/>
      <c r="D203" s="785"/>
      <c r="E203" s="785"/>
      <c r="F203" s="781"/>
      <c r="G203" s="781"/>
      <c r="H203" s="781"/>
      <c r="I203" s="781"/>
      <c r="J203" s="781"/>
      <c r="K203" s="781"/>
      <c r="L203" s="781"/>
      <c r="M203" s="781"/>
      <c r="N203" s="781"/>
      <c r="O203" s="781"/>
      <c r="P203" s="781"/>
      <c r="Q203" s="781"/>
      <c r="R203" s="781"/>
      <c r="S203" s="781"/>
      <c r="T203" s="781"/>
      <c r="U203" s="781"/>
      <c r="V203" s="781"/>
      <c r="W203" s="781"/>
      <c r="X203" s="781"/>
      <c r="Y203" s="781"/>
      <c r="Z203" s="781"/>
      <c r="AA203" s="781"/>
      <c r="AB203" s="781"/>
      <c r="AC203" s="781"/>
      <c r="AD203" s="781"/>
      <c r="AE203" s="781"/>
      <c r="AF203" s="781"/>
      <c r="AG203" s="781"/>
      <c r="AH203" s="781"/>
      <c r="AI203" s="781"/>
      <c r="AJ203" s="781"/>
      <c r="AK203" s="781"/>
      <c r="AL203" s="781"/>
      <c r="AM203" s="781"/>
    </row>
    <row r="204" spans="1:39" s="786" customFormat="1" x14ac:dyDescent="0.3">
      <c r="A204" s="783"/>
      <c r="B204" s="784"/>
      <c r="C204" s="784"/>
      <c r="D204" s="785"/>
      <c r="E204" s="785"/>
      <c r="F204" s="781"/>
      <c r="G204" s="781"/>
      <c r="H204" s="781"/>
      <c r="I204" s="781"/>
      <c r="J204" s="781"/>
      <c r="K204" s="781"/>
      <c r="L204" s="781"/>
      <c r="M204" s="781"/>
      <c r="N204" s="781"/>
      <c r="O204" s="781"/>
      <c r="P204" s="781"/>
      <c r="Q204" s="781"/>
      <c r="R204" s="781"/>
      <c r="S204" s="781"/>
      <c r="T204" s="781"/>
      <c r="U204" s="781"/>
      <c r="V204" s="781"/>
      <c r="W204" s="781"/>
      <c r="X204" s="781"/>
      <c r="Y204" s="781"/>
      <c r="Z204" s="781"/>
      <c r="AA204" s="781"/>
      <c r="AB204" s="781"/>
      <c r="AC204" s="781"/>
      <c r="AD204" s="781"/>
      <c r="AE204" s="781"/>
      <c r="AF204" s="781"/>
      <c r="AG204" s="781"/>
      <c r="AH204" s="781"/>
      <c r="AI204" s="781"/>
      <c r="AJ204" s="781"/>
      <c r="AK204" s="781"/>
      <c r="AL204" s="781"/>
      <c r="AM204" s="781"/>
    </row>
    <row r="205" spans="1:39" s="786" customFormat="1" x14ac:dyDescent="0.3">
      <c r="A205" s="783"/>
      <c r="B205" s="784"/>
      <c r="C205" s="784"/>
      <c r="D205" s="785"/>
      <c r="E205" s="785"/>
      <c r="F205" s="781"/>
      <c r="G205" s="781"/>
      <c r="H205" s="781"/>
      <c r="I205" s="781"/>
      <c r="J205" s="781"/>
      <c r="K205" s="781"/>
      <c r="L205" s="781"/>
      <c r="M205" s="781"/>
      <c r="N205" s="781"/>
      <c r="O205" s="781"/>
      <c r="P205" s="781"/>
      <c r="Q205" s="781"/>
      <c r="R205" s="781"/>
      <c r="S205" s="781"/>
      <c r="T205" s="781"/>
      <c r="U205" s="781"/>
      <c r="V205" s="781"/>
      <c r="W205" s="781"/>
      <c r="X205" s="781"/>
      <c r="Y205" s="781"/>
      <c r="Z205" s="781"/>
      <c r="AA205" s="781"/>
      <c r="AB205" s="781"/>
      <c r="AC205" s="781"/>
      <c r="AD205" s="781"/>
      <c r="AE205" s="781"/>
      <c r="AF205" s="781"/>
      <c r="AG205" s="781"/>
      <c r="AH205" s="781"/>
      <c r="AI205" s="781"/>
      <c r="AJ205" s="781"/>
      <c r="AK205" s="781"/>
      <c r="AL205" s="781"/>
      <c r="AM205" s="781"/>
    </row>
    <row r="206" spans="1:39" s="786" customFormat="1" x14ac:dyDescent="0.3">
      <c r="A206" s="783"/>
      <c r="B206" s="784"/>
      <c r="C206" s="784"/>
      <c r="D206" s="785"/>
      <c r="E206" s="785"/>
      <c r="F206" s="781"/>
      <c r="G206" s="781"/>
      <c r="H206" s="781"/>
      <c r="I206" s="781"/>
      <c r="J206" s="781"/>
      <c r="K206" s="781"/>
      <c r="L206" s="781"/>
      <c r="M206" s="781"/>
      <c r="N206" s="781"/>
      <c r="O206" s="781"/>
      <c r="P206" s="781"/>
      <c r="Q206" s="781"/>
      <c r="R206" s="781"/>
      <c r="S206" s="781"/>
      <c r="T206" s="781"/>
      <c r="U206" s="781"/>
      <c r="V206" s="781"/>
      <c r="W206" s="781"/>
      <c r="X206" s="781"/>
      <c r="Y206" s="781"/>
      <c r="Z206" s="781"/>
      <c r="AA206" s="781"/>
      <c r="AB206" s="781"/>
      <c r="AC206" s="781"/>
      <c r="AD206" s="781"/>
      <c r="AE206" s="781"/>
      <c r="AF206" s="781"/>
      <c r="AG206" s="781"/>
      <c r="AH206" s="781"/>
      <c r="AI206" s="781"/>
      <c r="AJ206" s="781"/>
      <c r="AK206" s="781"/>
      <c r="AL206" s="781"/>
      <c r="AM206" s="781"/>
    </row>
    <row r="207" spans="1:39" s="786" customFormat="1" x14ac:dyDescent="0.3">
      <c r="A207" s="783"/>
      <c r="B207" s="784"/>
      <c r="C207" s="784"/>
      <c r="D207" s="785"/>
      <c r="E207" s="785"/>
      <c r="F207" s="781"/>
      <c r="G207" s="781"/>
      <c r="H207" s="781"/>
      <c r="I207" s="781"/>
      <c r="J207" s="781"/>
      <c r="K207" s="781"/>
      <c r="L207" s="781"/>
      <c r="M207" s="781"/>
      <c r="N207" s="781"/>
      <c r="O207" s="781"/>
      <c r="P207" s="781"/>
      <c r="Q207" s="781"/>
      <c r="R207" s="781"/>
      <c r="S207" s="781"/>
      <c r="T207" s="781"/>
      <c r="U207" s="781"/>
      <c r="V207" s="781"/>
      <c r="W207" s="781"/>
      <c r="X207" s="781"/>
      <c r="Y207" s="781"/>
      <c r="Z207" s="781"/>
      <c r="AA207" s="781"/>
      <c r="AB207" s="781"/>
      <c r="AC207" s="781"/>
      <c r="AD207" s="781"/>
      <c r="AE207" s="781"/>
      <c r="AF207" s="781"/>
      <c r="AG207" s="781"/>
      <c r="AH207" s="781"/>
      <c r="AI207" s="781"/>
      <c r="AJ207" s="781"/>
      <c r="AK207" s="781"/>
      <c r="AL207" s="781"/>
      <c r="AM207" s="781"/>
    </row>
    <row r="208" spans="1:39" s="786" customFormat="1" x14ac:dyDescent="0.3">
      <c r="A208" s="783"/>
      <c r="B208" s="784"/>
      <c r="C208" s="784"/>
      <c r="D208" s="785"/>
      <c r="E208" s="785"/>
      <c r="F208" s="781"/>
      <c r="G208" s="781"/>
      <c r="H208" s="781"/>
      <c r="I208" s="781"/>
      <c r="J208" s="781"/>
      <c r="K208" s="781"/>
      <c r="L208" s="781"/>
      <c r="M208" s="781"/>
      <c r="N208" s="781"/>
      <c r="O208" s="781"/>
      <c r="P208" s="781"/>
      <c r="Q208" s="781"/>
      <c r="R208" s="781"/>
      <c r="S208" s="781"/>
      <c r="T208" s="781"/>
      <c r="U208" s="781"/>
      <c r="V208" s="781"/>
      <c r="W208" s="781"/>
      <c r="X208" s="781"/>
      <c r="Y208" s="781"/>
      <c r="Z208" s="781"/>
      <c r="AA208" s="781"/>
      <c r="AB208" s="781"/>
      <c r="AC208" s="781"/>
      <c r="AD208" s="781"/>
      <c r="AE208" s="781"/>
      <c r="AF208" s="781"/>
      <c r="AG208" s="781"/>
      <c r="AH208" s="781"/>
      <c r="AI208" s="781"/>
      <c r="AJ208" s="781"/>
      <c r="AK208" s="781"/>
      <c r="AL208" s="781"/>
      <c r="AM208" s="781"/>
    </row>
    <row r="209" spans="1:39" s="786" customFormat="1" x14ac:dyDescent="0.3">
      <c r="A209" s="783"/>
      <c r="B209" s="784"/>
      <c r="C209" s="784"/>
      <c r="D209" s="785"/>
      <c r="E209" s="785"/>
      <c r="F209" s="781"/>
      <c r="G209" s="781"/>
      <c r="H209" s="781"/>
      <c r="I209" s="781"/>
      <c r="J209" s="781"/>
      <c r="K209" s="781"/>
      <c r="L209" s="781"/>
      <c r="M209" s="781"/>
      <c r="N209" s="781"/>
      <c r="O209" s="781"/>
      <c r="P209" s="781"/>
      <c r="Q209" s="781"/>
      <c r="R209" s="781"/>
      <c r="S209" s="781"/>
      <c r="T209" s="781"/>
      <c r="U209" s="781"/>
      <c r="V209" s="781"/>
      <c r="W209" s="781"/>
      <c r="X209" s="781"/>
      <c r="Y209" s="781"/>
      <c r="Z209" s="781"/>
      <c r="AA209" s="781"/>
      <c r="AB209" s="781"/>
      <c r="AC209" s="781"/>
      <c r="AD209" s="781"/>
      <c r="AE209" s="781"/>
      <c r="AF209" s="781"/>
      <c r="AG209" s="781"/>
      <c r="AH209" s="781"/>
      <c r="AI209" s="781"/>
      <c r="AJ209" s="781"/>
      <c r="AK209" s="781"/>
      <c r="AL209" s="781"/>
      <c r="AM209" s="781"/>
    </row>
    <row r="210" spans="1:39" s="786" customFormat="1" x14ac:dyDescent="0.3">
      <c r="A210" s="783"/>
      <c r="B210" s="784"/>
      <c r="C210" s="784"/>
      <c r="D210" s="785"/>
      <c r="E210" s="785"/>
      <c r="F210" s="781"/>
      <c r="G210" s="781"/>
      <c r="H210" s="781"/>
      <c r="I210" s="781"/>
      <c r="J210" s="781"/>
      <c r="K210" s="781"/>
      <c r="L210" s="781"/>
      <c r="M210" s="781"/>
      <c r="N210" s="781"/>
      <c r="O210" s="781"/>
      <c r="P210" s="781"/>
      <c r="Q210" s="781"/>
      <c r="R210" s="781"/>
      <c r="S210" s="781"/>
      <c r="T210" s="781"/>
      <c r="U210" s="781"/>
      <c r="V210" s="781"/>
      <c r="W210" s="781"/>
      <c r="X210" s="781"/>
      <c r="Y210" s="781"/>
      <c r="Z210" s="781"/>
      <c r="AA210" s="781"/>
      <c r="AB210" s="781"/>
      <c r="AC210" s="781"/>
      <c r="AD210" s="781"/>
      <c r="AE210" s="781"/>
      <c r="AF210" s="781"/>
      <c r="AG210" s="781"/>
      <c r="AH210" s="781"/>
      <c r="AI210" s="781"/>
      <c r="AJ210" s="781"/>
      <c r="AK210" s="781"/>
      <c r="AL210" s="781"/>
      <c r="AM210" s="781"/>
    </row>
    <row r="211" spans="1:39" s="786" customFormat="1" x14ac:dyDescent="0.3">
      <c r="A211" s="783"/>
      <c r="B211" s="784"/>
      <c r="C211" s="784"/>
      <c r="D211" s="785"/>
      <c r="E211" s="785"/>
      <c r="F211" s="781"/>
      <c r="G211" s="781"/>
      <c r="H211" s="781"/>
      <c r="I211" s="781"/>
      <c r="J211" s="781"/>
      <c r="K211" s="781"/>
      <c r="L211" s="781"/>
      <c r="M211" s="781"/>
      <c r="N211" s="781"/>
      <c r="O211" s="781"/>
      <c r="P211" s="781"/>
      <c r="Q211" s="781"/>
      <c r="R211" s="781"/>
      <c r="S211" s="781"/>
      <c r="T211" s="781"/>
      <c r="U211" s="781"/>
      <c r="V211" s="781"/>
      <c r="W211" s="781"/>
      <c r="X211" s="781"/>
      <c r="Y211" s="781"/>
      <c r="Z211" s="781"/>
      <c r="AA211" s="781"/>
      <c r="AB211" s="781"/>
      <c r="AC211" s="781"/>
      <c r="AD211" s="781"/>
      <c r="AE211" s="781"/>
      <c r="AF211" s="781"/>
      <c r="AG211" s="781"/>
      <c r="AH211" s="781"/>
      <c r="AI211" s="781"/>
      <c r="AJ211" s="781"/>
      <c r="AK211" s="781"/>
      <c r="AL211" s="781"/>
      <c r="AM211" s="781"/>
    </row>
    <row r="212" spans="1:39" s="786" customFormat="1" x14ac:dyDescent="0.3">
      <c r="A212" s="783"/>
      <c r="B212" s="784"/>
      <c r="C212" s="784"/>
      <c r="D212" s="785"/>
      <c r="E212" s="785"/>
      <c r="F212" s="781"/>
      <c r="G212" s="781"/>
      <c r="H212" s="781"/>
      <c r="I212" s="781"/>
      <c r="J212" s="781"/>
      <c r="K212" s="781"/>
      <c r="L212" s="781"/>
      <c r="M212" s="781"/>
      <c r="N212" s="781"/>
      <c r="O212" s="781"/>
      <c r="P212" s="781"/>
      <c r="Q212" s="781"/>
      <c r="R212" s="781"/>
      <c r="S212" s="781"/>
      <c r="T212" s="781"/>
      <c r="U212" s="781"/>
      <c r="V212" s="781"/>
      <c r="W212" s="781"/>
      <c r="X212" s="781"/>
      <c r="Y212" s="781"/>
      <c r="Z212" s="781"/>
      <c r="AA212" s="781"/>
      <c r="AB212" s="781"/>
      <c r="AC212" s="781"/>
      <c r="AD212" s="781"/>
      <c r="AE212" s="781"/>
      <c r="AF212" s="781"/>
      <c r="AG212" s="781"/>
      <c r="AH212" s="781"/>
      <c r="AI212" s="781"/>
      <c r="AJ212" s="781"/>
      <c r="AK212" s="781"/>
      <c r="AL212" s="781"/>
      <c r="AM212" s="781"/>
    </row>
    <row r="213" spans="1:39" s="786" customFormat="1" x14ac:dyDescent="0.3">
      <c r="A213" s="783"/>
      <c r="B213" s="784"/>
      <c r="C213" s="784"/>
      <c r="D213" s="785"/>
      <c r="E213" s="785"/>
      <c r="F213" s="781"/>
      <c r="G213" s="781"/>
      <c r="H213" s="781"/>
      <c r="I213" s="781"/>
      <c r="J213" s="781"/>
      <c r="K213" s="781"/>
      <c r="L213" s="781"/>
      <c r="M213" s="781"/>
      <c r="N213" s="781"/>
      <c r="O213" s="781"/>
      <c r="P213" s="781"/>
      <c r="Q213" s="781"/>
      <c r="R213" s="781"/>
      <c r="S213" s="781"/>
      <c r="T213" s="781"/>
      <c r="U213" s="781"/>
      <c r="V213" s="781"/>
      <c r="W213" s="781"/>
      <c r="X213" s="781"/>
      <c r="Y213" s="781"/>
      <c r="Z213" s="781"/>
      <c r="AA213" s="781"/>
      <c r="AB213" s="781"/>
      <c r="AC213" s="781"/>
      <c r="AD213" s="781"/>
      <c r="AE213" s="781"/>
      <c r="AF213" s="781"/>
      <c r="AG213" s="781"/>
      <c r="AH213" s="781"/>
      <c r="AI213" s="781"/>
      <c r="AJ213" s="781"/>
      <c r="AK213" s="781"/>
      <c r="AL213" s="781"/>
      <c r="AM213" s="781"/>
    </row>
    <row r="214" spans="1:39" s="786" customFormat="1" x14ac:dyDescent="0.3">
      <c r="A214" s="783"/>
      <c r="B214" s="784"/>
      <c r="C214" s="784"/>
      <c r="D214" s="785"/>
      <c r="E214" s="785"/>
      <c r="F214" s="781"/>
      <c r="G214" s="781"/>
      <c r="H214" s="781"/>
      <c r="I214" s="781"/>
      <c r="J214" s="781"/>
      <c r="K214" s="781"/>
      <c r="L214" s="781"/>
      <c r="M214" s="781"/>
      <c r="N214" s="781"/>
      <c r="O214" s="781"/>
      <c r="P214" s="781"/>
      <c r="Q214" s="781"/>
      <c r="R214" s="781"/>
      <c r="S214" s="781"/>
      <c r="T214" s="781"/>
      <c r="U214" s="781"/>
      <c r="V214" s="781"/>
      <c r="W214" s="781"/>
      <c r="X214" s="781"/>
      <c r="Y214" s="781"/>
      <c r="Z214" s="781"/>
      <c r="AA214" s="781"/>
      <c r="AB214" s="781"/>
      <c r="AC214" s="781"/>
      <c r="AD214" s="781"/>
      <c r="AE214" s="781"/>
      <c r="AF214" s="781"/>
      <c r="AG214" s="781"/>
      <c r="AH214" s="781"/>
      <c r="AI214" s="781"/>
      <c r="AJ214" s="781"/>
      <c r="AK214" s="781"/>
      <c r="AL214" s="781"/>
      <c r="AM214" s="781"/>
    </row>
    <row r="215" spans="1:39" s="786" customFormat="1" x14ac:dyDescent="0.3">
      <c r="A215" s="783"/>
      <c r="B215" s="784"/>
      <c r="C215" s="784"/>
      <c r="D215" s="785"/>
      <c r="E215" s="785"/>
      <c r="F215" s="781"/>
      <c r="G215" s="781"/>
      <c r="H215" s="781"/>
      <c r="I215" s="781"/>
      <c r="J215" s="781"/>
      <c r="K215" s="781"/>
      <c r="L215" s="781"/>
      <c r="M215" s="781"/>
      <c r="N215" s="781"/>
      <c r="O215" s="781"/>
      <c r="P215" s="781"/>
      <c r="Q215" s="781"/>
      <c r="R215" s="781"/>
      <c r="S215" s="781"/>
      <c r="T215" s="781"/>
      <c r="U215" s="781"/>
      <c r="V215" s="781"/>
      <c r="W215" s="781"/>
      <c r="X215" s="781"/>
      <c r="Y215" s="781"/>
      <c r="Z215" s="781"/>
      <c r="AA215" s="781"/>
      <c r="AB215" s="781"/>
      <c r="AC215" s="781"/>
      <c r="AD215" s="781"/>
      <c r="AE215" s="781"/>
      <c r="AF215" s="781"/>
      <c r="AG215" s="781"/>
      <c r="AH215" s="781"/>
      <c r="AI215" s="781"/>
      <c r="AJ215" s="781"/>
      <c r="AK215" s="781"/>
      <c r="AL215" s="781"/>
      <c r="AM215" s="781"/>
    </row>
    <row r="216" spans="1:39" s="786" customFormat="1" x14ac:dyDescent="0.3">
      <c r="A216" s="783"/>
      <c r="B216" s="784"/>
      <c r="C216" s="784"/>
      <c r="D216" s="785"/>
      <c r="E216" s="785"/>
      <c r="F216" s="781"/>
      <c r="G216" s="781"/>
      <c r="H216" s="781"/>
      <c r="I216" s="781"/>
      <c r="J216" s="781"/>
      <c r="K216" s="781"/>
      <c r="L216" s="781"/>
      <c r="M216" s="781"/>
      <c r="N216" s="781"/>
      <c r="O216" s="781"/>
      <c r="P216" s="781"/>
      <c r="Q216" s="781"/>
      <c r="R216" s="781"/>
      <c r="S216" s="781"/>
      <c r="T216" s="781"/>
      <c r="U216" s="781"/>
      <c r="V216" s="781"/>
      <c r="W216" s="781"/>
      <c r="X216" s="781"/>
      <c r="Y216" s="781"/>
      <c r="Z216" s="781"/>
      <c r="AA216" s="781"/>
      <c r="AB216" s="781"/>
      <c r="AC216" s="781"/>
      <c r="AD216" s="781"/>
      <c r="AE216" s="781"/>
      <c r="AF216" s="781"/>
      <c r="AG216" s="781"/>
      <c r="AH216" s="781"/>
      <c r="AI216" s="781"/>
      <c r="AJ216" s="781"/>
      <c r="AK216" s="781"/>
      <c r="AL216" s="781"/>
      <c r="AM216" s="781"/>
    </row>
    <row r="217" spans="1:39" s="786" customFormat="1" x14ac:dyDescent="0.3">
      <c r="A217" s="783"/>
      <c r="B217" s="784"/>
      <c r="C217" s="784"/>
      <c r="D217" s="785"/>
      <c r="E217" s="785"/>
      <c r="F217" s="781"/>
      <c r="G217" s="781"/>
      <c r="H217" s="781"/>
      <c r="I217" s="781"/>
      <c r="J217" s="781"/>
      <c r="K217" s="781"/>
      <c r="L217" s="781"/>
      <c r="M217" s="781"/>
      <c r="N217" s="781"/>
      <c r="O217" s="781"/>
      <c r="P217" s="781"/>
      <c r="Q217" s="781"/>
      <c r="R217" s="781"/>
      <c r="S217" s="781"/>
      <c r="T217" s="781"/>
      <c r="U217" s="781"/>
      <c r="V217" s="781"/>
      <c r="W217" s="781"/>
      <c r="X217" s="781"/>
      <c r="Y217" s="781"/>
      <c r="Z217" s="781"/>
      <c r="AA217" s="781"/>
      <c r="AB217" s="781"/>
      <c r="AC217" s="781"/>
      <c r="AD217" s="781"/>
      <c r="AE217" s="781"/>
      <c r="AF217" s="781"/>
      <c r="AG217" s="781"/>
      <c r="AH217" s="781"/>
      <c r="AI217" s="781"/>
      <c r="AJ217" s="781"/>
      <c r="AK217" s="781"/>
      <c r="AL217" s="781"/>
      <c r="AM217" s="781"/>
    </row>
    <row r="218" spans="1:39" s="786" customFormat="1" x14ac:dyDescent="0.3">
      <c r="A218" s="783"/>
      <c r="B218" s="784"/>
      <c r="C218" s="784"/>
      <c r="D218" s="785"/>
      <c r="E218" s="785"/>
      <c r="F218" s="781"/>
      <c r="G218" s="781"/>
      <c r="H218" s="781"/>
      <c r="I218" s="781"/>
      <c r="J218" s="781"/>
      <c r="K218" s="781"/>
      <c r="L218" s="781"/>
      <c r="M218" s="781"/>
      <c r="N218" s="781"/>
      <c r="O218" s="781"/>
      <c r="P218" s="781"/>
      <c r="Q218" s="781"/>
      <c r="R218" s="781"/>
      <c r="S218" s="781"/>
      <c r="T218" s="781"/>
      <c r="U218" s="781"/>
      <c r="V218" s="781"/>
      <c r="W218" s="781"/>
      <c r="X218" s="781"/>
      <c r="Y218" s="781"/>
      <c r="Z218" s="781"/>
      <c r="AA218" s="781"/>
      <c r="AB218" s="781"/>
      <c r="AC218" s="781"/>
      <c r="AD218" s="781"/>
      <c r="AE218" s="781"/>
      <c r="AF218" s="781"/>
      <c r="AG218" s="781"/>
      <c r="AH218" s="781"/>
      <c r="AI218" s="781"/>
      <c r="AJ218" s="781"/>
      <c r="AK218" s="781"/>
      <c r="AL218" s="781"/>
      <c r="AM218" s="781"/>
    </row>
    <row r="219" spans="1:39" s="786" customFormat="1" x14ac:dyDescent="0.3">
      <c r="A219" s="783"/>
      <c r="B219" s="784"/>
      <c r="C219" s="784"/>
      <c r="D219" s="785"/>
      <c r="E219" s="785"/>
      <c r="F219" s="781"/>
      <c r="G219" s="781"/>
      <c r="H219" s="781"/>
      <c r="I219" s="781"/>
      <c r="J219" s="781"/>
      <c r="K219" s="781"/>
      <c r="L219" s="781"/>
      <c r="M219" s="781"/>
      <c r="N219" s="781"/>
      <c r="O219" s="781"/>
      <c r="P219" s="781"/>
      <c r="Q219" s="781"/>
      <c r="R219" s="781"/>
      <c r="S219" s="781"/>
      <c r="T219" s="781"/>
      <c r="U219" s="781"/>
      <c r="V219" s="781"/>
      <c r="W219" s="781"/>
      <c r="X219" s="781"/>
      <c r="Y219" s="781"/>
      <c r="Z219" s="781"/>
      <c r="AA219" s="781"/>
      <c r="AB219" s="781"/>
      <c r="AC219" s="781"/>
      <c r="AD219" s="781"/>
      <c r="AE219" s="781"/>
      <c r="AF219" s="781"/>
      <c r="AG219" s="781"/>
      <c r="AH219" s="781"/>
      <c r="AI219" s="781"/>
      <c r="AJ219" s="781"/>
      <c r="AK219" s="781"/>
      <c r="AL219" s="781"/>
      <c r="AM219" s="781"/>
    </row>
    <row r="220" spans="1:39" s="786" customFormat="1" x14ac:dyDescent="0.3">
      <c r="A220" s="783"/>
      <c r="B220" s="784"/>
      <c r="C220" s="784"/>
      <c r="D220" s="785"/>
      <c r="E220" s="785"/>
      <c r="F220" s="781"/>
      <c r="G220" s="781"/>
      <c r="H220" s="781"/>
      <c r="I220" s="781"/>
      <c r="J220" s="781"/>
      <c r="K220" s="781"/>
      <c r="L220" s="781"/>
      <c r="M220" s="781"/>
      <c r="N220" s="781"/>
      <c r="O220" s="781"/>
      <c r="P220" s="781"/>
      <c r="Q220" s="781"/>
      <c r="R220" s="781"/>
      <c r="S220" s="781"/>
      <c r="T220" s="781"/>
      <c r="U220" s="781"/>
      <c r="V220" s="781"/>
      <c r="W220" s="781"/>
      <c r="X220" s="781"/>
      <c r="Y220" s="781"/>
      <c r="Z220" s="781"/>
      <c r="AA220" s="781"/>
      <c r="AB220" s="781"/>
      <c r="AC220" s="781"/>
      <c r="AD220" s="781"/>
      <c r="AE220" s="781"/>
      <c r="AF220" s="781"/>
      <c r="AG220" s="781"/>
      <c r="AH220" s="781"/>
      <c r="AI220" s="781"/>
      <c r="AJ220" s="781"/>
      <c r="AK220" s="781"/>
      <c r="AL220" s="781"/>
      <c r="AM220" s="781"/>
    </row>
    <row r="221" spans="1:39" s="786" customFormat="1" x14ac:dyDescent="0.3">
      <c r="A221" s="783"/>
      <c r="B221" s="784"/>
      <c r="C221" s="784"/>
      <c r="D221" s="785"/>
      <c r="E221" s="785"/>
      <c r="F221" s="781"/>
      <c r="G221" s="781"/>
      <c r="H221" s="781"/>
      <c r="I221" s="781"/>
      <c r="J221" s="781"/>
      <c r="K221" s="781"/>
      <c r="L221" s="781"/>
      <c r="M221" s="781"/>
      <c r="N221" s="781"/>
      <c r="O221" s="781"/>
      <c r="P221" s="781"/>
      <c r="Q221" s="781"/>
      <c r="R221" s="781"/>
      <c r="S221" s="781"/>
      <c r="T221" s="781"/>
      <c r="U221" s="781"/>
      <c r="V221" s="781"/>
      <c r="W221" s="781"/>
      <c r="X221" s="781"/>
      <c r="Y221" s="781"/>
      <c r="Z221" s="781"/>
      <c r="AA221" s="781"/>
      <c r="AB221" s="781"/>
      <c r="AC221" s="781"/>
      <c r="AD221" s="781"/>
      <c r="AE221" s="781"/>
      <c r="AF221" s="781"/>
      <c r="AG221" s="781"/>
      <c r="AH221" s="781"/>
      <c r="AI221" s="781"/>
      <c r="AJ221" s="781"/>
      <c r="AK221" s="781"/>
      <c r="AL221" s="781"/>
      <c r="AM221" s="781"/>
    </row>
    <row r="222" spans="1:39" s="786" customFormat="1" x14ac:dyDescent="0.3">
      <c r="A222" s="783"/>
      <c r="B222" s="784"/>
      <c r="C222" s="784"/>
      <c r="D222" s="785"/>
      <c r="E222" s="785"/>
      <c r="F222" s="781"/>
      <c r="G222" s="781"/>
      <c r="H222" s="781"/>
      <c r="I222" s="781"/>
      <c r="J222" s="781"/>
      <c r="K222" s="781"/>
      <c r="L222" s="781"/>
      <c r="M222" s="781"/>
      <c r="N222" s="781"/>
      <c r="O222" s="781"/>
      <c r="P222" s="781"/>
      <c r="Q222" s="781"/>
      <c r="R222" s="781"/>
      <c r="S222" s="781"/>
      <c r="T222" s="781"/>
      <c r="U222" s="781"/>
      <c r="V222" s="781"/>
      <c r="W222" s="781"/>
      <c r="X222" s="781"/>
      <c r="Y222" s="781"/>
      <c r="Z222" s="781"/>
      <c r="AA222" s="781"/>
      <c r="AB222" s="781"/>
      <c r="AC222" s="781"/>
      <c r="AD222" s="781"/>
      <c r="AE222" s="781"/>
      <c r="AF222" s="781"/>
      <c r="AG222" s="781"/>
      <c r="AH222" s="781"/>
      <c r="AI222" s="781"/>
      <c r="AJ222" s="781"/>
      <c r="AK222" s="781"/>
      <c r="AL222" s="781"/>
      <c r="AM222" s="781"/>
    </row>
    <row r="223" spans="1:39" s="786" customFormat="1" x14ac:dyDescent="0.3">
      <c r="A223" s="783"/>
      <c r="B223" s="784"/>
      <c r="C223" s="784"/>
      <c r="D223" s="785"/>
      <c r="E223" s="785"/>
      <c r="F223" s="781"/>
      <c r="G223" s="781"/>
      <c r="H223" s="781"/>
      <c r="I223" s="781"/>
      <c r="J223" s="781"/>
      <c r="K223" s="781"/>
      <c r="L223" s="781"/>
      <c r="M223" s="781"/>
      <c r="N223" s="781"/>
      <c r="O223" s="781"/>
      <c r="P223" s="781"/>
      <c r="Q223" s="781"/>
      <c r="R223" s="781"/>
      <c r="S223" s="781"/>
      <c r="T223" s="781"/>
      <c r="U223" s="781"/>
      <c r="V223" s="781"/>
      <c r="W223" s="781"/>
      <c r="X223" s="781"/>
      <c r="Y223" s="781"/>
      <c r="Z223" s="781"/>
      <c r="AA223" s="781"/>
      <c r="AB223" s="781"/>
      <c r="AC223" s="781"/>
      <c r="AD223" s="781"/>
      <c r="AE223" s="781"/>
      <c r="AF223" s="781"/>
      <c r="AG223" s="781"/>
      <c r="AH223" s="781"/>
      <c r="AI223" s="781"/>
      <c r="AJ223" s="781"/>
      <c r="AK223" s="781"/>
      <c r="AL223" s="781"/>
      <c r="AM223" s="781"/>
    </row>
    <row r="224" spans="1:39" s="786" customFormat="1" x14ac:dyDescent="0.3">
      <c r="A224" s="783"/>
      <c r="B224" s="784"/>
      <c r="C224" s="784"/>
      <c r="D224" s="785"/>
      <c r="E224" s="785"/>
      <c r="F224" s="781"/>
      <c r="G224" s="781"/>
      <c r="H224" s="781"/>
      <c r="I224" s="781"/>
      <c r="J224" s="781"/>
      <c r="K224" s="781"/>
      <c r="L224" s="781"/>
      <c r="M224" s="781"/>
      <c r="N224" s="781"/>
      <c r="O224" s="781"/>
      <c r="P224" s="781"/>
      <c r="Q224" s="781"/>
      <c r="R224" s="781"/>
      <c r="S224" s="781"/>
      <c r="T224" s="781"/>
      <c r="U224" s="781"/>
      <c r="V224" s="781"/>
      <c r="W224" s="781"/>
      <c r="X224" s="781"/>
      <c r="Y224" s="781"/>
      <c r="Z224" s="781"/>
      <c r="AA224" s="781"/>
      <c r="AB224" s="781"/>
      <c r="AC224" s="781"/>
      <c r="AD224" s="781"/>
      <c r="AE224" s="781"/>
      <c r="AF224" s="781"/>
      <c r="AG224" s="781"/>
      <c r="AH224" s="781"/>
      <c r="AI224" s="781"/>
      <c r="AJ224" s="781"/>
      <c r="AK224" s="781"/>
      <c r="AL224" s="781"/>
      <c r="AM224" s="781"/>
    </row>
    <row r="225" spans="1:39" s="786" customFormat="1" x14ac:dyDescent="0.3">
      <c r="A225" s="783"/>
      <c r="B225" s="784"/>
      <c r="C225" s="784"/>
      <c r="D225" s="785"/>
      <c r="E225" s="785"/>
      <c r="F225" s="781"/>
      <c r="G225" s="781"/>
      <c r="H225" s="781"/>
      <c r="I225" s="781"/>
      <c r="J225" s="781"/>
      <c r="K225" s="781"/>
      <c r="L225" s="781"/>
      <c r="M225" s="781"/>
      <c r="N225" s="781"/>
      <c r="O225" s="781"/>
      <c r="P225" s="781"/>
      <c r="Q225" s="781"/>
      <c r="R225" s="781"/>
      <c r="S225" s="781"/>
      <c r="T225" s="781"/>
      <c r="U225" s="781"/>
      <c r="V225" s="781"/>
      <c r="W225" s="781"/>
      <c r="X225" s="781"/>
      <c r="Y225" s="781"/>
      <c r="Z225" s="781"/>
      <c r="AA225" s="781"/>
      <c r="AB225" s="781"/>
      <c r="AC225" s="781"/>
      <c r="AD225" s="781"/>
      <c r="AE225" s="781"/>
      <c r="AF225" s="781"/>
      <c r="AG225" s="781"/>
      <c r="AH225" s="781"/>
      <c r="AI225" s="781"/>
      <c r="AJ225" s="781"/>
      <c r="AK225" s="781"/>
      <c r="AL225" s="781"/>
      <c r="AM225" s="781"/>
    </row>
    <row r="226" spans="1:39" s="786" customFormat="1" x14ac:dyDescent="0.3">
      <c r="A226" s="783"/>
      <c r="B226" s="784"/>
      <c r="C226" s="784"/>
      <c r="D226" s="785"/>
      <c r="E226" s="785"/>
      <c r="F226" s="781"/>
      <c r="G226" s="781"/>
      <c r="H226" s="781"/>
      <c r="I226" s="781"/>
      <c r="J226" s="781"/>
      <c r="K226" s="781"/>
      <c r="L226" s="781"/>
      <c r="M226" s="781"/>
      <c r="N226" s="781"/>
      <c r="O226" s="781"/>
      <c r="P226" s="781"/>
      <c r="Q226" s="781"/>
      <c r="R226" s="781"/>
      <c r="S226" s="781"/>
      <c r="T226" s="781"/>
      <c r="U226" s="781"/>
      <c r="V226" s="781"/>
      <c r="W226" s="781"/>
      <c r="X226" s="781"/>
      <c r="Y226" s="781"/>
      <c r="Z226" s="781"/>
      <c r="AA226" s="781"/>
      <c r="AB226" s="781"/>
      <c r="AC226" s="781"/>
      <c r="AD226" s="781"/>
      <c r="AE226" s="781"/>
      <c r="AF226" s="781"/>
      <c r="AG226" s="781"/>
      <c r="AH226" s="781"/>
      <c r="AI226" s="781"/>
      <c r="AJ226" s="781"/>
      <c r="AK226" s="781"/>
      <c r="AL226" s="781"/>
      <c r="AM226" s="781"/>
    </row>
    <row r="227" spans="1:39" s="786" customFormat="1" x14ac:dyDescent="0.3">
      <c r="A227" s="783"/>
      <c r="B227" s="784"/>
      <c r="C227" s="784"/>
      <c r="D227" s="785"/>
      <c r="E227" s="785"/>
      <c r="F227" s="781"/>
      <c r="G227" s="781"/>
      <c r="H227" s="781"/>
      <c r="I227" s="781"/>
      <c r="J227" s="781"/>
      <c r="K227" s="781"/>
      <c r="L227" s="781"/>
      <c r="M227" s="781"/>
      <c r="N227" s="781"/>
      <c r="O227" s="781"/>
      <c r="P227" s="781"/>
      <c r="Q227" s="781"/>
      <c r="R227" s="781"/>
      <c r="S227" s="781"/>
      <c r="T227" s="781"/>
      <c r="U227" s="781"/>
      <c r="V227" s="781"/>
      <c r="W227" s="781"/>
      <c r="X227" s="781"/>
      <c r="Y227" s="781"/>
      <c r="Z227" s="781"/>
      <c r="AA227" s="781"/>
      <c r="AB227" s="781"/>
      <c r="AC227" s="781"/>
      <c r="AD227" s="781"/>
      <c r="AE227" s="781"/>
      <c r="AF227" s="781"/>
      <c r="AG227" s="781"/>
      <c r="AH227" s="781"/>
      <c r="AI227" s="781"/>
      <c r="AJ227" s="781"/>
      <c r="AK227" s="781"/>
      <c r="AL227" s="781"/>
      <c r="AM227" s="781"/>
    </row>
    <row r="228" spans="1:39" s="786" customFormat="1" x14ac:dyDescent="0.3">
      <c r="A228" s="783"/>
      <c r="B228" s="784"/>
      <c r="C228" s="784"/>
      <c r="D228" s="785"/>
      <c r="E228" s="785"/>
      <c r="F228" s="781"/>
      <c r="G228" s="781"/>
      <c r="H228" s="781"/>
      <c r="I228" s="781"/>
      <c r="J228" s="781"/>
      <c r="K228" s="781"/>
      <c r="L228" s="781"/>
      <c r="M228" s="781"/>
      <c r="N228" s="781"/>
      <c r="O228" s="781"/>
      <c r="P228" s="781"/>
      <c r="Q228" s="781"/>
      <c r="R228" s="781"/>
      <c r="S228" s="781"/>
      <c r="T228" s="781"/>
      <c r="U228" s="781"/>
      <c r="V228" s="781"/>
      <c r="W228" s="781"/>
      <c r="X228" s="781"/>
      <c r="Y228" s="781"/>
      <c r="Z228" s="781"/>
      <c r="AA228" s="781"/>
      <c r="AB228" s="781"/>
      <c r="AC228" s="781"/>
      <c r="AD228" s="781"/>
      <c r="AE228" s="781"/>
      <c r="AF228" s="781"/>
      <c r="AG228" s="781"/>
      <c r="AH228" s="781"/>
      <c r="AI228" s="781"/>
      <c r="AJ228" s="781"/>
      <c r="AK228" s="781"/>
      <c r="AL228" s="781"/>
      <c r="AM228" s="781"/>
    </row>
    <row r="229" spans="1:39" s="786" customFormat="1" x14ac:dyDescent="0.3">
      <c r="A229" s="783"/>
      <c r="B229" s="784"/>
      <c r="C229" s="784"/>
      <c r="D229" s="785"/>
      <c r="E229" s="785"/>
      <c r="F229" s="781"/>
      <c r="G229" s="781"/>
      <c r="H229" s="781"/>
      <c r="I229" s="781"/>
      <c r="J229" s="781"/>
      <c r="K229" s="781"/>
      <c r="L229" s="781"/>
      <c r="M229" s="781"/>
      <c r="N229" s="781"/>
      <c r="O229" s="781"/>
      <c r="P229" s="781"/>
      <c r="Q229" s="781"/>
      <c r="R229" s="781"/>
      <c r="S229" s="781"/>
      <c r="T229" s="781"/>
      <c r="U229" s="781"/>
      <c r="V229" s="781"/>
      <c r="W229" s="781"/>
      <c r="X229" s="781"/>
      <c r="Y229" s="781"/>
      <c r="Z229" s="781"/>
      <c r="AA229" s="781"/>
      <c r="AB229" s="781"/>
      <c r="AC229" s="781"/>
      <c r="AD229" s="781"/>
      <c r="AE229" s="781"/>
      <c r="AF229" s="781"/>
      <c r="AG229" s="781"/>
      <c r="AH229" s="781"/>
      <c r="AI229" s="781"/>
      <c r="AJ229" s="781"/>
      <c r="AK229" s="781"/>
      <c r="AL229" s="781"/>
      <c r="AM229" s="781"/>
    </row>
    <row r="230" spans="1:39" s="786" customFormat="1" x14ac:dyDescent="0.3">
      <c r="A230" s="783"/>
      <c r="B230" s="784"/>
      <c r="C230" s="784"/>
      <c r="D230" s="785"/>
      <c r="E230" s="785"/>
      <c r="F230" s="781"/>
      <c r="G230" s="781"/>
      <c r="H230" s="781"/>
      <c r="I230" s="781"/>
      <c r="J230" s="781"/>
      <c r="K230" s="781"/>
      <c r="L230" s="781"/>
      <c r="M230" s="781"/>
      <c r="N230" s="781"/>
      <c r="O230" s="781"/>
      <c r="P230" s="781"/>
      <c r="Q230" s="781"/>
      <c r="R230" s="781"/>
      <c r="S230" s="781"/>
      <c r="T230" s="781"/>
      <c r="U230" s="781"/>
      <c r="V230" s="781"/>
      <c r="W230" s="781"/>
      <c r="X230" s="781"/>
      <c r="Y230" s="781"/>
      <c r="Z230" s="781"/>
      <c r="AA230" s="781"/>
      <c r="AB230" s="781"/>
      <c r="AC230" s="781"/>
      <c r="AD230" s="781"/>
      <c r="AE230" s="781"/>
      <c r="AF230" s="781"/>
      <c r="AG230" s="781"/>
      <c r="AH230" s="781"/>
      <c r="AI230" s="781"/>
      <c r="AJ230" s="781"/>
      <c r="AK230" s="781"/>
      <c r="AL230" s="781"/>
      <c r="AM230" s="781"/>
    </row>
    <row r="231" spans="1:39" s="786" customFormat="1" x14ac:dyDescent="0.3">
      <c r="A231" s="783"/>
      <c r="B231" s="784"/>
      <c r="C231" s="784"/>
      <c r="D231" s="785"/>
      <c r="E231" s="785"/>
      <c r="F231" s="781"/>
      <c r="G231" s="781"/>
      <c r="H231" s="781"/>
      <c r="I231" s="781"/>
      <c r="J231" s="781"/>
      <c r="K231" s="781"/>
      <c r="L231" s="781"/>
      <c r="M231" s="781"/>
      <c r="N231" s="781"/>
      <c r="O231" s="781"/>
      <c r="P231" s="781"/>
      <c r="Q231" s="781"/>
      <c r="R231" s="781"/>
      <c r="S231" s="781"/>
      <c r="T231" s="781"/>
      <c r="U231" s="781"/>
      <c r="V231" s="781"/>
      <c r="W231" s="781"/>
      <c r="X231" s="781"/>
      <c r="Y231" s="781"/>
      <c r="Z231" s="781"/>
      <c r="AA231" s="781"/>
      <c r="AB231" s="781"/>
      <c r="AC231" s="781"/>
      <c r="AD231" s="781"/>
      <c r="AE231" s="781"/>
      <c r="AF231" s="781"/>
      <c r="AG231" s="781"/>
      <c r="AH231" s="781"/>
      <c r="AI231" s="781"/>
      <c r="AJ231" s="781"/>
      <c r="AK231" s="781"/>
      <c r="AL231" s="781"/>
      <c r="AM231" s="781"/>
    </row>
    <row r="232" spans="1:39" s="786" customFormat="1" x14ac:dyDescent="0.3">
      <c r="A232" s="783"/>
      <c r="B232" s="784"/>
      <c r="C232" s="784"/>
      <c r="D232" s="785"/>
      <c r="E232" s="785"/>
      <c r="F232" s="781"/>
      <c r="G232" s="781"/>
      <c r="H232" s="781"/>
      <c r="I232" s="781"/>
      <c r="J232" s="781"/>
      <c r="K232" s="781"/>
      <c r="L232" s="781"/>
      <c r="M232" s="781"/>
      <c r="N232" s="781"/>
      <c r="O232" s="781"/>
      <c r="P232" s="781"/>
      <c r="Q232" s="781"/>
      <c r="R232" s="781"/>
      <c r="S232" s="781"/>
      <c r="T232" s="781"/>
      <c r="U232" s="781"/>
      <c r="V232" s="781"/>
      <c r="W232" s="781"/>
      <c r="X232" s="781"/>
      <c r="Y232" s="781"/>
      <c r="Z232" s="781"/>
      <c r="AA232" s="781"/>
      <c r="AB232" s="781"/>
      <c r="AC232" s="781"/>
      <c r="AD232" s="781"/>
      <c r="AE232" s="781"/>
      <c r="AF232" s="781"/>
      <c r="AG232" s="781"/>
      <c r="AH232" s="781"/>
      <c r="AI232" s="781"/>
      <c r="AJ232" s="781"/>
      <c r="AK232" s="781"/>
      <c r="AL232" s="781"/>
      <c r="AM232" s="781"/>
    </row>
    <row r="233" spans="1:39" s="786" customFormat="1" x14ac:dyDescent="0.3">
      <c r="A233" s="783"/>
      <c r="B233" s="784"/>
      <c r="C233" s="784"/>
      <c r="D233" s="785"/>
      <c r="E233" s="785"/>
      <c r="F233" s="781"/>
      <c r="G233" s="781"/>
      <c r="H233" s="781"/>
      <c r="I233" s="781"/>
      <c r="J233" s="781"/>
      <c r="K233" s="781"/>
      <c r="L233" s="781"/>
      <c r="M233" s="781"/>
      <c r="N233" s="781"/>
      <c r="O233" s="781"/>
      <c r="P233" s="781"/>
      <c r="Q233" s="781"/>
      <c r="R233" s="781"/>
      <c r="S233" s="781"/>
      <c r="T233" s="781"/>
      <c r="U233" s="781"/>
      <c r="V233" s="781"/>
      <c r="W233" s="781"/>
      <c r="X233" s="781"/>
      <c r="Y233" s="781"/>
      <c r="Z233" s="781"/>
      <c r="AA233" s="781"/>
      <c r="AB233" s="781"/>
      <c r="AC233" s="781"/>
      <c r="AD233" s="781"/>
      <c r="AE233" s="781"/>
      <c r="AF233" s="781"/>
      <c r="AG233" s="781"/>
      <c r="AH233" s="781"/>
      <c r="AI233" s="781"/>
      <c r="AJ233" s="781"/>
      <c r="AK233" s="781"/>
      <c r="AL233" s="781"/>
      <c r="AM233" s="781"/>
    </row>
    <row r="234" spans="1:39" s="786" customFormat="1" x14ac:dyDescent="0.3">
      <c r="A234" s="783"/>
      <c r="B234" s="784"/>
      <c r="C234" s="784"/>
      <c r="D234" s="785"/>
      <c r="E234" s="785"/>
      <c r="F234" s="781"/>
      <c r="G234" s="781"/>
      <c r="H234" s="781"/>
      <c r="I234" s="781"/>
      <c r="J234" s="781"/>
      <c r="K234" s="781"/>
      <c r="L234" s="781"/>
      <c r="M234" s="781"/>
      <c r="N234" s="781"/>
      <c r="O234" s="781"/>
      <c r="P234" s="781"/>
      <c r="Q234" s="781"/>
      <c r="R234" s="781"/>
      <c r="S234" s="781"/>
      <c r="T234" s="781"/>
      <c r="U234" s="781"/>
      <c r="V234" s="781"/>
      <c r="W234" s="781"/>
      <c r="X234" s="781"/>
      <c r="Y234" s="781"/>
      <c r="Z234" s="781"/>
      <c r="AA234" s="781"/>
      <c r="AB234" s="781"/>
      <c r="AC234" s="781"/>
      <c r="AD234" s="781"/>
      <c r="AE234" s="781"/>
      <c r="AF234" s="781"/>
      <c r="AG234" s="781"/>
      <c r="AH234" s="781"/>
      <c r="AI234" s="781"/>
      <c r="AJ234" s="781"/>
      <c r="AK234" s="781"/>
      <c r="AL234" s="781"/>
      <c r="AM234" s="781"/>
    </row>
    <row r="235" spans="1:39" s="786" customFormat="1" x14ac:dyDescent="0.3">
      <c r="A235" s="783"/>
      <c r="B235" s="784"/>
      <c r="C235" s="784"/>
      <c r="D235" s="785"/>
      <c r="E235" s="785"/>
      <c r="F235" s="781"/>
      <c r="G235" s="781"/>
      <c r="H235" s="781"/>
      <c r="I235" s="781"/>
      <c r="J235" s="781"/>
      <c r="K235" s="781"/>
      <c r="L235" s="781"/>
      <c r="M235" s="781"/>
      <c r="N235" s="781"/>
      <c r="O235" s="781"/>
      <c r="P235" s="781"/>
      <c r="Q235" s="781"/>
      <c r="R235" s="781"/>
      <c r="S235" s="781"/>
      <c r="T235" s="781"/>
      <c r="U235" s="781"/>
      <c r="V235" s="781"/>
      <c r="W235" s="781"/>
      <c r="X235" s="781"/>
      <c r="Y235" s="781"/>
      <c r="Z235" s="781"/>
      <c r="AA235" s="781"/>
      <c r="AB235" s="781"/>
      <c r="AC235" s="781"/>
      <c r="AD235" s="781"/>
      <c r="AE235" s="781"/>
      <c r="AF235" s="781"/>
      <c r="AG235" s="781"/>
      <c r="AH235" s="781"/>
      <c r="AI235" s="781"/>
      <c r="AJ235" s="781"/>
      <c r="AK235" s="781"/>
      <c r="AL235" s="781"/>
      <c r="AM235" s="781"/>
    </row>
    <row r="236" spans="1:39" s="786" customFormat="1" x14ac:dyDescent="0.3">
      <c r="A236" s="783"/>
      <c r="B236" s="784"/>
      <c r="C236" s="784"/>
      <c r="D236" s="785"/>
      <c r="E236" s="785"/>
      <c r="F236" s="781"/>
      <c r="G236" s="781"/>
      <c r="H236" s="781"/>
      <c r="I236" s="781"/>
      <c r="J236" s="781"/>
      <c r="K236" s="781"/>
      <c r="L236" s="781"/>
      <c r="M236" s="781"/>
      <c r="N236" s="781"/>
      <c r="O236" s="781"/>
      <c r="P236" s="781"/>
      <c r="Q236" s="781"/>
      <c r="R236" s="781"/>
      <c r="S236" s="781"/>
      <c r="T236" s="781"/>
      <c r="U236" s="781"/>
      <c r="V236" s="781"/>
      <c r="W236" s="781"/>
      <c r="X236" s="781"/>
      <c r="Y236" s="781"/>
      <c r="Z236" s="781"/>
      <c r="AA236" s="781"/>
      <c r="AB236" s="781"/>
      <c r="AC236" s="781"/>
      <c r="AD236" s="781"/>
      <c r="AE236" s="781"/>
      <c r="AF236" s="781"/>
      <c r="AG236" s="781"/>
      <c r="AH236" s="781"/>
      <c r="AI236" s="781"/>
      <c r="AJ236" s="781"/>
      <c r="AK236" s="781"/>
      <c r="AL236" s="781"/>
      <c r="AM236" s="781"/>
    </row>
    <row r="237" spans="1:39" s="786" customFormat="1" x14ac:dyDescent="0.3">
      <c r="A237" s="783"/>
      <c r="B237" s="784"/>
      <c r="C237" s="784"/>
      <c r="D237" s="785"/>
      <c r="E237" s="785"/>
      <c r="F237" s="781"/>
      <c r="G237" s="781"/>
      <c r="H237" s="781"/>
      <c r="I237" s="781"/>
      <c r="J237" s="781"/>
      <c r="K237" s="781"/>
      <c r="L237" s="781"/>
      <c r="M237" s="781"/>
      <c r="N237" s="781"/>
      <c r="O237" s="781"/>
      <c r="P237" s="781"/>
      <c r="Q237" s="781"/>
      <c r="R237" s="781"/>
      <c r="S237" s="781"/>
      <c r="T237" s="781"/>
      <c r="U237" s="781"/>
      <c r="V237" s="781"/>
      <c r="W237" s="781"/>
      <c r="X237" s="781"/>
      <c r="Y237" s="781"/>
      <c r="Z237" s="781"/>
      <c r="AA237" s="781"/>
      <c r="AB237" s="781"/>
      <c r="AC237" s="781"/>
      <c r="AD237" s="781"/>
      <c r="AE237" s="781"/>
      <c r="AF237" s="781"/>
      <c r="AG237" s="781"/>
      <c r="AH237" s="781"/>
      <c r="AI237" s="781"/>
      <c r="AJ237" s="781"/>
      <c r="AK237" s="781"/>
      <c r="AL237" s="781"/>
      <c r="AM237" s="781"/>
    </row>
    <row r="238" spans="1:39" s="786" customFormat="1" x14ac:dyDescent="0.3">
      <c r="A238" s="783"/>
      <c r="B238" s="784"/>
      <c r="C238" s="784"/>
      <c r="D238" s="785"/>
      <c r="E238" s="785"/>
      <c r="F238" s="781"/>
      <c r="G238" s="781"/>
      <c r="H238" s="781"/>
      <c r="I238" s="781"/>
      <c r="J238" s="781"/>
      <c r="K238" s="781"/>
      <c r="L238" s="781"/>
      <c r="M238" s="781"/>
      <c r="N238" s="781"/>
      <c r="O238" s="781"/>
      <c r="P238" s="781"/>
      <c r="Q238" s="781"/>
      <c r="R238" s="781"/>
      <c r="S238" s="781"/>
      <c r="T238" s="781"/>
      <c r="U238" s="781"/>
      <c r="V238" s="781"/>
      <c r="W238" s="781"/>
      <c r="X238" s="781"/>
      <c r="Y238" s="781"/>
      <c r="Z238" s="781"/>
      <c r="AA238" s="781"/>
      <c r="AB238" s="781"/>
      <c r="AC238" s="781"/>
      <c r="AD238" s="781"/>
      <c r="AE238" s="781"/>
      <c r="AF238" s="781"/>
      <c r="AG238" s="781"/>
      <c r="AH238" s="781"/>
      <c r="AI238" s="781"/>
      <c r="AJ238" s="781"/>
      <c r="AK238" s="781"/>
      <c r="AL238" s="781"/>
      <c r="AM238" s="781"/>
    </row>
    <row r="239" spans="1:39" s="786" customFormat="1" x14ac:dyDescent="0.3">
      <c r="A239" s="783"/>
      <c r="B239" s="784"/>
      <c r="C239" s="784"/>
      <c r="D239" s="785"/>
      <c r="E239" s="785"/>
      <c r="F239" s="781"/>
      <c r="G239" s="781"/>
      <c r="H239" s="781"/>
      <c r="I239" s="781"/>
      <c r="J239" s="781"/>
      <c r="K239" s="781"/>
      <c r="L239" s="781"/>
      <c r="M239" s="781"/>
      <c r="N239" s="781"/>
      <c r="O239" s="781"/>
      <c r="P239" s="781"/>
      <c r="Q239" s="781"/>
      <c r="R239" s="781"/>
      <c r="S239" s="781"/>
      <c r="T239" s="781"/>
      <c r="U239" s="781"/>
      <c r="V239" s="781"/>
      <c r="W239" s="781"/>
      <c r="X239" s="781"/>
      <c r="Y239" s="781"/>
      <c r="Z239" s="781"/>
      <c r="AA239" s="781"/>
      <c r="AB239" s="781"/>
      <c r="AC239" s="781"/>
      <c r="AD239" s="781"/>
      <c r="AE239" s="781"/>
      <c r="AF239" s="781"/>
      <c r="AG239" s="781"/>
      <c r="AH239" s="781"/>
      <c r="AI239" s="781"/>
      <c r="AJ239" s="781"/>
      <c r="AK239" s="781"/>
      <c r="AL239" s="781"/>
      <c r="AM239" s="781"/>
    </row>
    <row r="240" spans="1:39" s="786" customFormat="1" x14ac:dyDescent="0.3">
      <c r="A240" s="783"/>
      <c r="B240" s="784"/>
      <c r="C240" s="784"/>
      <c r="D240" s="785"/>
      <c r="E240" s="785"/>
      <c r="F240" s="781"/>
      <c r="G240" s="781"/>
      <c r="H240" s="781"/>
      <c r="I240" s="781"/>
      <c r="J240" s="781"/>
      <c r="K240" s="781"/>
      <c r="L240" s="781"/>
      <c r="M240" s="781"/>
      <c r="N240" s="781"/>
      <c r="O240" s="781"/>
      <c r="P240" s="781"/>
      <c r="Q240" s="781"/>
      <c r="R240" s="781"/>
      <c r="S240" s="781"/>
      <c r="T240" s="781"/>
      <c r="U240" s="781"/>
      <c r="V240" s="781"/>
      <c r="W240" s="781"/>
      <c r="X240" s="781"/>
      <c r="Y240" s="781"/>
      <c r="Z240" s="781"/>
      <c r="AA240" s="781"/>
      <c r="AB240" s="781"/>
      <c r="AC240" s="781"/>
      <c r="AD240" s="781"/>
      <c r="AE240" s="781"/>
      <c r="AF240" s="781"/>
      <c r="AG240" s="781"/>
      <c r="AH240" s="781"/>
      <c r="AI240" s="781"/>
      <c r="AJ240" s="781"/>
      <c r="AK240" s="781"/>
      <c r="AL240" s="781"/>
      <c r="AM240" s="781"/>
    </row>
    <row r="241" spans="1:39" s="786" customFormat="1" x14ac:dyDescent="0.3">
      <c r="A241" s="783"/>
      <c r="B241" s="784"/>
      <c r="C241" s="784"/>
      <c r="D241" s="785"/>
      <c r="E241" s="785"/>
      <c r="F241" s="781"/>
      <c r="G241" s="781"/>
      <c r="H241" s="781"/>
      <c r="I241" s="781"/>
      <c r="J241" s="781"/>
      <c r="K241" s="781"/>
      <c r="L241" s="781"/>
      <c r="M241" s="781"/>
      <c r="N241" s="781"/>
      <c r="O241" s="781"/>
      <c r="P241" s="781"/>
      <c r="Q241" s="781"/>
      <c r="R241" s="781"/>
      <c r="S241" s="781"/>
      <c r="T241" s="781"/>
      <c r="U241" s="781"/>
      <c r="V241" s="781"/>
      <c r="W241" s="781"/>
      <c r="X241" s="781"/>
      <c r="Y241" s="781"/>
      <c r="Z241" s="781"/>
      <c r="AA241" s="781"/>
      <c r="AB241" s="781"/>
      <c r="AC241" s="781"/>
      <c r="AD241" s="781"/>
      <c r="AE241" s="781"/>
      <c r="AF241" s="781"/>
      <c r="AG241" s="781"/>
      <c r="AH241" s="781"/>
      <c r="AI241" s="781"/>
      <c r="AJ241" s="781"/>
      <c r="AK241" s="781"/>
      <c r="AL241" s="781"/>
      <c r="AM241" s="781"/>
    </row>
    <row r="242" spans="1:39" s="786" customFormat="1" x14ac:dyDescent="0.3">
      <c r="A242" s="783"/>
      <c r="B242" s="784"/>
      <c r="C242" s="784"/>
      <c r="D242" s="785"/>
      <c r="E242" s="785"/>
      <c r="F242" s="781"/>
      <c r="G242" s="781"/>
      <c r="H242" s="781"/>
      <c r="I242" s="781"/>
      <c r="J242" s="781"/>
      <c r="K242" s="781"/>
      <c r="L242" s="781"/>
      <c r="M242" s="781"/>
      <c r="N242" s="781"/>
      <c r="O242" s="781"/>
      <c r="P242" s="781"/>
      <c r="Q242" s="781"/>
      <c r="R242" s="781"/>
      <c r="S242" s="781"/>
      <c r="T242" s="781"/>
      <c r="U242" s="781"/>
      <c r="V242" s="781"/>
      <c r="W242" s="781"/>
      <c r="X242" s="781"/>
      <c r="Y242" s="781"/>
      <c r="Z242" s="781"/>
      <c r="AA242" s="781"/>
      <c r="AB242" s="781"/>
      <c r="AC242" s="781"/>
      <c r="AD242" s="781"/>
      <c r="AE242" s="781"/>
      <c r="AF242" s="781"/>
      <c r="AG242" s="781"/>
      <c r="AH242" s="781"/>
      <c r="AI242" s="781"/>
      <c r="AJ242" s="781"/>
      <c r="AK242" s="781"/>
      <c r="AL242" s="781"/>
      <c r="AM242" s="781"/>
    </row>
    <row r="243" spans="1:39" s="786" customFormat="1" x14ac:dyDescent="0.3">
      <c r="A243" s="783"/>
      <c r="B243" s="784"/>
      <c r="C243" s="784"/>
      <c r="D243" s="785"/>
      <c r="E243" s="785"/>
      <c r="F243" s="781"/>
      <c r="G243" s="781"/>
      <c r="H243" s="781"/>
      <c r="I243" s="781"/>
      <c r="J243" s="781"/>
      <c r="K243" s="781"/>
      <c r="L243" s="781"/>
      <c r="M243" s="781"/>
      <c r="N243" s="781"/>
      <c r="O243" s="781"/>
      <c r="P243" s="781"/>
      <c r="Q243" s="781"/>
      <c r="R243" s="781"/>
      <c r="S243" s="781"/>
      <c r="T243" s="781"/>
      <c r="U243" s="781"/>
      <c r="V243" s="781"/>
      <c r="W243" s="781"/>
      <c r="X243" s="781"/>
      <c r="Y243" s="781"/>
      <c r="Z243" s="781"/>
      <c r="AA243" s="781"/>
      <c r="AB243" s="781"/>
      <c r="AC243" s="781"/>
      <c r="AD243" s="781"/>
      <c r="AE243" s="781"/>
      <c r="AF243" s="781"/>
      <c r="AG243" s="781"/>
      <c r="AH243" s="781"/>
      <c r="AI243" s="781"/>
      <c r="AJ243" s="781"/>
      <c r="AK243" s="781"/>
      <c r="AL243" s="781"/>
      <c r="AM243" s="781"/>
    </row>
    <row r="244" spans="1:39" s="786" customFormat="1" x14ac:dyDescent="0.3">
      <c r="A244" s="783"/>
      <c r="B244" s="784"/>
      <c r="C244" s="784"/>
      <c r="D244" s="785"/>
      <c r="E244" s="785"/>
      <c r="F244" s="781"/>
      <c r="G244" s="781"/>
      <c r="H244" s="781"/>
      <c r="I244" s="781"/>
      <c r="J244" s="781"/>
      <c r="K244" s="781"/>
      <c r="L244" s="781"/>
      <c r="M244" s="781"/>
      <c r="N244" s="781"/>
      <c r="O244" s="781"/>
      <c r="P244" s="781"/>
      <c r="Q244" s="781"/>
      <c r="R244" s="781"/>
      <c r="S244" s="781"/>
      <c r="T244" s="781"/>
      <c r="U244" s="781"/>
      <c r="V244" s="781"/>
      <c r="W244" s="781"/>
      <c r="X244" s="781"/>
      <c r="Y244" s="781"/>
      <c r="Z244" s="781"/>
      <c r="AA244" s="781"/>
      <c r="AB244" s="781"/>
      <c r="AC244" s="781"/>
      <c r="AD244" s="781"/>
      <c r="AE244" s="781"/>
      <c r="AF244" s="781"/>
      <c r="AG244" s="781"/>
      <c r="AH244" s="781"/>
      <c r="AI244" s="781"/>
      <c r="AJ244" s="781"/>
      <c r="AK244" s="781"/>
      <c r="AL244" s="781"/>
      <c r="AM244" s="781"/>
    </row>
    <row r="245" spans="1:39" s="786" customFormat="1" x14ac:dyDescent="0.3">
      <c r="A245" s="783"/>
      <c r="B245" s="784"/>
      <c r="C245" s="784"/>
      <c r="D245" s="785"/>
      <c r="E245" s="785"/>
      <c r="F245" s="781"/>
      <c r="G245" s="781"/>
      <c r="H245" s="781"/>
      <c r="I245" s="781"/>
      <c r="J245" s="781"/>
      <c r="K245" s="781"/>
      <c r="L245" s="781"/>
      <c r="M245" s="781"/>
      <c r="N245" s="781"/>
      <c r="O245" s="781"/>
      <c r="P245" s="781"/>
      <c r="Q245" s="781"/>
      <c r="R245" s="781"/>
      <c r="S245" s="781"/>
      <c r="T245" s="781"/>
      <c r="U245" s="781"/>
      <c r="V245" s="781"/>
      <c r="W245" s="781"/>
      <c r="X245" s="781"/>
      <c r="Y245" s="781"/>
      <c r="Z245" s="781"/>
      <c r="AA245" s="781"/>
      <c r="AB245" s="781"/>
      <c r="AC245" s="781"/>
      <c r="AD245" s="781"/>
      <c r="AE245" s="781"/>
      <c r="AF245" s="781"/>
      <c r="AG245" s="781"/>
      <c r="AH245" s="781"/>
      <c r="AI245" s="781"/>
      <c r="AJ245" s="781"/>
      <c r="AK245" s="781"/>
      <c r="AL245" s="781"/>
      <c r="AM245" s="781"/>
    </row>
    <row r="246" spans="1:39" s="786" customFormat="1" x14ac:dyDescent="0.3">
      <c r="A246" s="783"/>
      <c r="B246" s="784"/>
      <c r="C246" s="784"/>
      <c r="D246" s="785"/>
      <c r="E246" s="785"/>
      <c r="F246" s="781"/>
      <c r="G246" s="781"/>
      <c r="H246" s="781"/>
      <c r="I246" s="781"/>
      <c r="J246" s="781"/>
      <c r="K246" s="781"/>
      <c r="L246" s="781"/>
      <c r="M246" s="781"/>
      <c r="N246" s="781"/>
      <c r="O246" s="781"/>
      <c r="P246" s="781"/>
      <c r="Q246" s="781"/>
      <c r="R246" s="781"/>
      <c r="S246" s="781"/>
      <c r="T246" s="781"/>
      <c r="U246" s="781"/>
      <c r="V246" s="781"/>
      <c r="W246" s="781"/>
      <c r="X246" s="781"/>
      <c r="Y246" s="781"/>
      <c r="Z246" s="781"/>
      <c r="AA246" s="781"/>
      <c r="AB246" s="781"/>
      <c r="AC246" s="781"/>
      <c r="AD246" s="781"/>
      <c r="AE246" s="781"/>
      <c r="AF246" s="781"/>
      <c r="AG246" s="781"/>
      <c r="AH246" s="781"/>
      <c r="AI246" s="781"/>
      <c r="AJ246" s="781"/>
      <c r="AK246" s="781"/>
      <c r="AL246" s="781"/>
      <c r="AM246" s="781"/>
    </row>
    <row r="247" spans="1:39" s="786" customFormat="1" x14ac:dyDescent="0.3">
      <c r="A247" s="783"/>
      <c r="B247" s="784"/>
      <c r="C247" s="784"/>
      <c r="D247" s="785"/>
      <c r="E247" s="785"/>
      <c r="F247" s="781"/>
      <c r="G247" s="781"/>
      <c r="H247" s="781"/>
      <c r="I247" s="781"/>
      <c r="J247" s="781"/>
      <c r="K247" s="781"/>
      <c r="L247" s="781"/>
      <c r="M247" s="781"/>
      <c r="N247" s="781"/>
      <c r="O247" s="781"/>
      <c r="P247" s="781"/>
      <c r="Q247" s="781"/>
      <c r="R247" s="781"/>
      <c r="S247" s="781"/>
      <c r="T247" s="781"/>
      <c r="U247" s="781"/>
      <c r="V247" s="781"/>
      <c r="W247" s="781"/>
      <c r="X247" s="781"/>
      <c r="Y247" s="781"/>
      <c r="Z247" s="781"/>
      <c r="AA247" s="781"/>
      <c r="AB247" s="781"/>
      <c r="AC247" s="781"/>
      <c r="AD247" s="781"/>
      <c r="AE247" s="781"/>
      <c r="AF247" s="781"/>
      <c r="AG247" s="781"/>
      <c r="AH247" s="781"/>
      <c r="AI247" s="781"/>
      <c r="AJ247" s="781"/>
      <c r="AK247" s="781"/>
      <c r="AL247" s="781"/>
      <c r="AM247" s="781"/>
    </row>
  </sheetData>
  <sheetProtection password="F93C" sheet="1" objects="1" scenarios="1" selectLockedCells="1" selectUnlockedCells="1"/>
  <mergeCells count="6">
    <mergeCell ref="C55:E55"/>
    <mergeCell ref="A1:E1"/>
    <mergeCell ref="A2:E2"/>
    <mergeCell ref="D5:D6"/>
    <mergeCell ref="D7:D8"/>
    <mergeCell ref="A16:E16"/>
  </mergeCells>
  <conditionalFormatting sqref="D7:E7">
    <cfRule type="cellIs" dxfId="50" priority="1" stopIfTrue="1" operator="equal">
      <formula>#REF!</formula>
    </cfRule>
  </conditionalFormatting>
  <pageMargins left="0.25" right="0.25" top="0.48206018518518517" bottom="0.75" header="0.3" footer="0.3"/>
  <pageSetup paperSize="9" scale="85"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A1:AB294"/>
  <sheetViews>
    <sheetView topLeftCell="C1" zoomScaleSheetLayoutView="100" workbookViewId="0">
      <selection activeCell="F47" sqref="F47"/>
    </sheetView>
  </sheetViews>
  <sheetFormatPr defaultColWidth="9.1796875" defaultRowHeight="14" x14ac:dyDescent="0.3"/>
  <cols>
    <col min="1" max="1" width="14.453125" style="786" customWidth="1"/>
    <col min="2" max="2" width="9.7265625" style="40" customWidth="1"/>
    <col min="3" max="3" width="33.453125" style="39" customWidth="1"/>
    <col min="4" max="4" width="21.1796875" style="38" customWidth="1"/>
    <col min="5" max="5" width="9.1796875" style="40"/>
    <col min="6" max="6" width="17.81640625" style="38" customWidth="1"/>
    <col min="7" max="7" width="14.7265625" style="40" bestFit="1" customWidth="1"/>
    <col min="8" max="8" width="9.1796875" style="786" customWidth="1"/>
    <col min="9" max="9" width="16.54296875" style="786" customWidth="1"/>
    <col min="10" max="12" width="9.1796875" style="786" customWidth="1"/>
    <col min="13" max="28" width="9.1796875" style="786"/>
    <col min="29" max="16384" width="9.1796875" style="20"/>
  </cols>
  <sheetData>
    <row r="1" spans="2:12" ht="21.75" customHeight="1" thickBot="1" x14ac:dyDescent="0.35">
      <c r="B1" s="1025" t="s">
        <v>622</v>
      </c>
      <c r="C1" s="1025"/>
      <c r="D1" s="1025"/>
      <c r="E1" s="1025"/>
      <c r="F1" s="1025"/>
      <c r="G1" s="823"/>
    </row>
    <row r="2" spans="2:12" ht="14.25" customHeight="1" x14ac:dyDescent="0.3">
      <c r="B2" s="1029" t="str">
        <f>'11. Detail Managment Report'!B2:C2</f>
        <v>File / Reference No:</v>
      </c>
      <c r="C2" s="1030"/>
      <c r="D2" s="824" t="str">
        <f>'11. Detail Managment Report'!D2</f>
        <v>Outpace Spinning Mills Ltd</v>
      </c>
      <c r="E2" s="175"/>
      <c r="F2" s="825"/>
      <c r="G2" s="175"/>
    </row>
    <row r="3" spans="2:12" ht="42" customHeight="1" x14ac:dyDescent="0.3">
      <c r="B3" s="1031" t="str">
        <f>'11. Detail Managment Report'!B3:C3</f>
        <v>Borrower Name</v>
      </c>
      <c r="C3" s="1032"/>
      <c r="D3" s="826" t="str">
        <f>'11. Detail Managment Report'!D3</f>
        <v>Outpace Spinning Mills Ltd</v>
      </c>
      <c r="E3" s="175"/>
      <c r="F3" s="825"/>
      <c r="G3" s="175"/>
    </row>
    <row r="4" spans="2:12" ht="22.5" customHeight="1" x14ac:dyDescent="0.3">
      <c r="B4" s="1031" t="str">
        <f>'11. Detail Managment Report'!B4:C4</f>
        <v>Group Name (if any)</v>
      </c>
      <c r="C4" s="1032"/>
      <c r="D4" s="826" t="str">
        <f>'11. Detail Managment Report'!D4</f>
        <v>Outright Group</v>
      </c>
      <c r="E4" s="175"/>
      <c r="F4" s="825"/>
      <c r="G4" s="175"/>
    </row>
    <row r="5" spans="2:12" ht="14.25" customHeight="1" x14ac:dyDescent="0.3">
      <c r="B5" s="1031" t="str">
        <f>'11. Detail Managment Report'!B5:C5</f>
        <v>Industry Name</v>
      </c>
      <c r="C5" s="1032"/>
      <c r="D5" s="826" t="str">
        <f>'11. Detail Managment Report'!D5</f>
        <v xml:space="preserve">2.  Textile </v>
      </c>
      <c r="E5" s="60"/>
      <c r="F5" s="1036"/>
      <c r="G5" s="60"/>
    </row>
    <row r="6" spans="2:12" ht="14.25" customHeight="1" x14ac:dyDescent="0.3">
      <c r="B6" s="1031" t="str">
        <f>'11. Detail Managment Report'!B6:C6</f>
        <v>Latest CIB Status</v>
      </c>
      <c r="C6" s="1032"/>
      <c r="D6" s="826" t="str">
        <f>'11. Detail Managment Report'!D6</f>
        <v>Standard</v>
      </c>
      <c r="E6" s="60"/>
      <c r="F6" s="1036"/>
      <c r="G6" s="60"/>
    </row>
    <row r="7" spans="2:12" ht="14.25" customHeight="1" x14ac:dyDescent="0.3">
      <c r="B7" s="1031" t="str">
        <f>'11. Detail Managment Report'!B7:C7</f>
        <v>Audit Status</v>
      </c>
      <c r="C7" s="1032"/>
      <c r="D7" s="826" t="str">
        <f>'11. Detail Managment Report'!D7</f>
        <v>Unaudited</v>
      </c>
      <c r="E7" s="60"/>
      <c r="F7" s="1037"/>
      <c r="G7" s="60"/>
      <c r="I7" s="781"/>
      <c r="J7" s="781"/>
      <c r="K7" s="781"/>
    </row>
    <row r="8" spans="2:12" ht="22.5" customHeight="1" x14ac:dyDescent="0.3">
      <c r="B8" s="1031" t="str">
        <f>'11. Detail Managment Report'!B8:C8</f>
        <v>Auditor Name</v>
      </c>
      <c r="C8" s="1032"/>
      <c r="D8" s="826" t="str">
        <f>'11. Detail Managment Report'!D8</f>
        <v>Dewan Nazrul Islam &amp; Co.</v>
      </c>
      <c r="E8" s="60"/>
      <c r="F8" s="1037"/>
      <c r="G8" s="60"/>
      <c r="H8" s="787"/>
      <c r="I8" s="781" t="s">
        <v>522</v>
      </c>
      <c r="J8" s="788">
        <f>G111/40</f>
        <v>0.71250000000000002</v>
      </c>
      <c r="K8" s="782">
        <f>1-J8</f>
        <v>0.28749999999999998</v>
      </c>
      <c r="L8" s="787"/>
    </row>
    <row r="9" spans="2:12" ht="14.25" customHeight="1" x14ac:dyDescent="0.3">
      <c r="B9" s="1031" t="str">
        <f>'11. Detail Managment Report'!B9:C9</f>
        <v>Analyst Name, Designations</v>
      </c>
      <c r="C9" s="1032"/>
      <c r="D9" s="826" t="str">
        <f>'11. Detail Managment Report'!D9</f>
        <v>Md. Matiur Rahman, SRM</v>
      </c>
      <c r="E9" s="60"/>
      <c r="F9" s="827"/>
      <c r="G9" s="60"/>
      <c r="H9" s="787"/>
      <c r="I9" s="781"/>
      <c r="J9" s="781"/>
      <c r="K9" s="781"/>
      <c r="L9" s="787"/>
    </row>
    <row r="10" spans="2:12" ht="14.25" customHeight="1" x14ac:dyDescent="0.3">
      <c r="B10" s="1031" t="str">
        <f>'11. Detail Managment Report'!B10:C10</f>
        <v>Verifier Name, Designation</v>
      </c>
      <c r="C10" s="1032"/>
      <c r="D10" s="826" t="str">
        <f>'11. Detail Managment Report'!D10</f>
        <v>Farhana Afrin, SM</v>
      </c>
      <c r="E10" s="60"/>
      <c r="F10" s="1043"/>
      <c r="G10" s="60"/>
    </row>
    <row r="11" spans="2:12" ht="15" hidden="1" customHeight="1" x14ac:dyDescent="0.3">
      <c r="B11" s="1031">
        <f>'11. Detail Managment Report'!B11:C11</f>
        <v>0</v>
      </c>
      <c r="C11" s="1032"/>
      <c r="D11" s="826">
        <f>'11. Detail Managment Report'!D11</f>
        <v>0</v>
      </c>
      <c r="E11" s="60"/>
      <c r="F11" s="1043"/>
      <c r="G11" s="60"/>
    </row>
    <row r="12" spans="2:12" ht="14.25" customHeight="1" x14ac:dyDescent="0.3">
      <c r="B12" s="1031" t="str">
        <f>'11. Detail Managment Report'!B12:C12</f>
        <v>Date of Analysis</v>
      </c>
      <c r="C12" s="1032"/>
      <c r="D12" s="828">
        <f>'11. Detail Managment Report'!D12</f>
        <v>45652</v>
      </c>
      <c r="E12" s="60"/>
      <c r="F12" s="1043"/>
      <c r="G12" s="60"/>
    </row>
    <row r="13" spans="2:12" ht="13.5" customHeight="1" x14ac:dyDescent="0.3">
      <c r="B13" s="1031" t="str">
        <f>'11. Detail Managment Report'!B13:C13</f>
        <v>Date of Financials</v>
      </c>
      <c r="C13" s="1032"/>
      <c r="D13" s="828">
        <f>'11. Detail Managment Report'!D13</f>
        <v>45473</v>
      </c>
      <c r="E13" s="60"/>
      <c r="F13" s="60"/>
      <c r="G13" s="60"/>
    </row>
    <row r="14" spans="2:12" ht="5.25" customHeight="1" thickBot="1" x14ac:dyDescent="0.35">
      <c r="B14" s="829"/>
      <c r="C14" s="829"/>
      <c r="D14" s="829"/>
      <c r="E14" s="830"/>
      <c r="F14" s="830"/>
      <c r="G14" s="831"/>
    </row>
    <row r="15" spans="2:12" ht="19.5" customHeight="1" thickBot="1" x14ac:dyDescent="0.35">
      <c r="B15" s="1042" t="s">
        <v>440</v>
      </c>
      <c r="C15" s="1042"/>
      <c r="D15" s="1042"/>
      <c r="E15" s="1042"/>
      <c r="F15" s="1042"/>
      <c r="G15" s="1042"/>
    </row>
    <row r="16" spans="2:12" ht="29.25" customHeight="1" x14ac:dyDescent="0.3">
      <c r="B16" s="832"/>
      <c r="C16" s="833" t="s">
        <v>268</v>
      </c>
      <c r="D16" s="833" t="s">
        <v>269</v>
      </c>
      <c r="E16" s="833" t="s">
        <v>216</v>
      </c>
      <c r="F16" s="833" t="s">
        <v>270</v>
      </c>
      <c r="G16" s="834" t="s">
        <v>227</v>
      </c>
    </row>
    <row r="17" spans="2:8" x14ac:dyDescent="0.3">
      <c r="B17" s="835" t="s">
        <v>331</v>
      </c>
      <c r="C17" s="836" t="s">
        <v>272</v>
      </c>
      <c r="D17" s="837"/>
      <c r="E17" s="838">
        <f>E20+E26+E32</f>
        <v>10</v>
      </c>
      <c r="F17" s="837"/>
      <c r="G17" s="839">
        <f>G19+G25+G31</f>
        <v>10</v>
      </c>
    </row>
    <row r="18" spans="2:8" ht="33" customHeight="1" x14ac:dyDescent="0.3">
      <c r="B18" s="840" t="s">
        <v>333</v>
      </c>
      <c r="C18" s="841" t="s">
        <v>1011</v>
      </c>
      <c r="D18" s="842"/>
      <c r="E18" s="843"/>
      <c r="F18" s="842"/>
      <c r="G18" s="844"/>
    </row>
    <row r="19" spans="2:8" ht="45.75" customHeight="1" x14ac:dyDescent="0.3">
      <c r="B19" s="845" t="s">
        <v>398</v>
      </c>
      <c r="C19" s="846" t="s">
        <v>1128</v>
      </c>
      <c r="D19" s="847"/>
      <c r="E19" s="848"/>
      <c r="F19" s="551" t="s">
        <v>1047</v>
      </c>
      <c r="G19" s="849">
        <f>IF(F19=D20,E20,IF(F19=D21,E21,IF(F19=D22,E22,IF(F19=D23,E23,IF(F19=D24,E24)))))</f>
        <v>5</v>
      </c>
    </row>
    <row r="20" spans="2:8" ht="57" customHeight="1" x14ac:dyDescent="0.3">
      <c r="B20" s="845"/>
      <c r="C20" s="850" t="s">
        <v>1012</v>
      </c>
      <c r="D20" s="826" t="s">
        <v>1047</v>
      </c>
      <c r="E20" s="851">
        <v>5</v>
      </c>
      <c r="F20" s="826"/>
      <c r="G20" s="852"/>
      <c r="H20" s="786">
        <f>1/5</f>
        <v>0.2</v>
      </c>
    </row>
    <row r="21" spans="2:8" ht="14.25" customHeight="1" x14ac:dyDescent="0.3">
      <c r="B21" s="845"/>
      <c r="C21" s="853"/>
      <c r="D21" s="826" t="s">
        <v>275</v>
      </c>
      <c r="E21" s="851">
        <v>4</v>
      </c>
      <c r="F21" s="826"/>
      <c r="G21" s="852"/>
    </row>
    <row r="22" spans="2:8" x14ac:dyDescent="0.3">
      <c r="B22" s="845"/>
      <c r="C22" s="846"/>
      <c r="D22" s="826" t="s">
        <v>274</v>
      </c>
      <c r="E22" s="851">
        <v>3</v>
      </c>
      <c r="F22" s="826"/>
      <c r="G22" s="852"/>
    </row>
    <row r="23" spans="2:8" x14ac:dyDescent="0.3">
      <c r="B23" s="845"/>
      <c r="C23" s="846"/>
      <c r="D23" s="826" t="s">
        <v>276</v>
      </c>
      <c r="E23" s="851">
        <v>1</v>
      </c>
      <c r="F23" s="826"/>
      <c r="G23" s="852"/>
    </row>
    <row r="24" spans="2:8" x14ac:dyDescent="0.3">
      <c r="B24" s="845"/>
      <c r="C24" s="846"/>
      <c r="D24" s="826" t="s">
        <v>277</v>
      </c>
      <c r="E24" s="851">
        <v>0</v>
      </c>
      <c r="F24" s="826"/>
      <c r="G24" s="852"/>
    </row>
    <row r="25" spans="2:8" ht="42" x14ac:dyDescent="0.3">
      <c r="B25" s="854" t="s">
        <v>400</v>
      </c>
      <c r="C25" s="855" t="s">
        <v>1129</v>
      </c>
      <c r="D25" s="842"/>
      <c r="E25" s="843"/>
      <c r="F25" s="551" t="s">
        <v>390</v>
      </c>
      <c r="G25" s="849">
        <f>IF(F25=D26,E26,IF(F25=D27,E27,IF(F25=D28,E28,IF(F25=D29,E29,IF(F25=D30,E30)))))</f>
        <v>4</v>
      </c>
    </row>
    <row r="26" spans="2:8" x14ac:dyDescent="0.3">
      <c r="B26" s="845"/>
      <c r="C26" s="846"/>
      <c r="D26" s="826" t="s">
        <v>390</v>
      </c>
      <c r="E26" s="851">
        <v>4</v>
      </c>
      <c r="F26" s="826"/>
      <c r="G26" s="852"/>
    </row>
    <row r="27" spans="2:8" x14ac:dyDescent="0.3">
      <c r="B27" s="845"/>
      <c r="C27" s="846"/>
      <c r="D27" s="826" t="s">
        <v>275</v>
      </c>
      <c r="E27" s="851">
        <v>3</v>
      </c>
      <c r="F27" s="826"/>
      <c r="G27" s="852"/>
    </row>
    <row r="28" spans="2:8" x14ac:dyDescent="0.3">
      <c r="B28" s="845"/>
      <c r="C28" s="846"/>
      <c r="D28" s="826" t="s">
        <v>274</v>
      </c>
      <c r="E28" s="851">
        <v>2</v>
      </c>
      <c r="F28" s="826"/>
      <c r="G28" s="852"/>
    </row>
    <row r="29" spans="2:8" x14ac:dyDescent="0.3">
      <c r="B29" s="845"/>
      <c r="C29" s="846"/>
      <c r="D29" s="826" t="s">
        <v>276</v>
      </c>
      <c r="E29" s="851">
        <v>1</v>
      </c>
      <c r="F29" s="826"/>
      <c r="G29" s="852"/>
    </row>
    <row r="30" spans="2:8" x14ac:dyDescent="0.3">
      <c r="B30" s="845"/>
      <c r="C30" s="846"/>
      <c r="D30" s="826" t="s">
        <v>277</v>
      </c>
      <c r="E30" s="851">
        <v>0</v>
      </c>
      <c r="F30" s="826"/>
      <c r="G30" s="852"/>
    </row>
    <row r="31" spans="2:8" ht="28" x14ac:dyDescent="0.3">
      <c r="B31" s="854" t="s">
        <v>335</v>
      </c>
      <c r="C31" s="841" t="s">
        <v>988</v>
      </c>
      <c r="D31" s="842"/>
      <c r="E31" s="843"/>
      <c r="F31" s="551" t="s">
        <v>279</v>
      </c>
      <c r="G31" s="849">
        <f>IF(F31=D32,E32,IF(F31=D33,E33))</f>
        <v>1</v>
      </c>
    </row>
    <row r="32" spans="2:8" ht="28" x14ac:dyDescent="0.3">
      <c r="B32" s="845"/>
      <c r="C32" s="846" t="s">
        <v>1013</v>
      </c>
      <c r="D32" s="826" t="s">
        <v>279</v>
      </c>
      <c r="E32" s="851">
        <v>1</v>
      </c>
      <c r="F32" s="826"/>
      <c r="G32" s="852"/>
    </row>
    <row r="33" spans="2:7" x14ac:dyDescent="0.3">
      <c r="B33" s="845"/>
      <c r="C33" s="846"/>
      <c r="D33" s="826" t="s">
        <v>280</v>
      </c>
      <c r="E33" s="851">
        <v>0</v>
      </c>
      <c r="F33" s="826"/>
      <c r="G33" s="852"/>
    </row>
    <row r="34" spans="2:7" x14ac:dyDescent="0.3">
      <c r="B34" s="856" t="s">
        <v>351</v>
      </c>
      <c r="C34" s="857" t="s">
        <v>283</v>
      </c>
      <c r="D34" s="858"/>
      <c r="E34" s="859">
        <f>E36+E42+E48+E53</f>
        <v>7</v>
      </c>
      <c r="F34" s="858"/>
      <c r="G34" s="860">
        <f>G35+G41+G47+G52</f>
        <v>6</v>
      </c>
    </row>
    <row r="35" spans="2:7" x14ac:dyDescent="0.3">
      <c r="B35" s="840" t="s">
        <v>352</v>
      </c>
      <c r="C35" s="841" t="s">
        <v>510</v>
      </c>
      <c r="D35" s="861"/>
      <c r="E35" s="862"/>
      <c r="F35" s="552" t="s">
        <v>511</v>
      </c>
      <c r="G35" s="849">
        <f>IF(F35=D36,E36,IF(F35=D37,E37,IF(F35=D38,E38)))</f>
        <v>2</v>
      </c>
    </row>
    <row r="36" spans="2:7" ht="28" x14ac:dyDescent="0.3">
      <c r="B36" s="845"/>
      <c r="C36" s="206" t="s">
        <v>1003</v>
      </c>
      <c r="D36" s="826" t="s">
        <v>511</v>
      </c>
      <c r="E36" s="851">
        <v>2</v>
      </c>
      <c r="F36" s="826"/>
      <c r="G36" s="852"/>
    </row>
    <row r="37" spans="2:7" ht="57" customHeight="1" x14ac:dyDescent="0.3">
      <c r="B37" s="845"/>
      <c r="C37" s="1026" t="s">
        <v>1014</v>
      </c>
      <c r="D37" s="826" t="s">
        <v>512</v>
      </c>
      <c r="E37" s="851">
        <v>1</v>
      </c>
      <c r="F37" s="826"/>
      <c r="G37" s="852"/>
    </row>
    <row r="38" spans="2:7" x14ac:dyDescent="0.3">
      <c r="B38" s="845"/>
      <c r="C38" s="1027"/>
      <c r="D38" s="826" t="s">
        <v>513</v>
      </c>
      <c r="E38" s="851">
        <v>0</v>
      </c>
      <c r="F38" s="826"/>
      <c r="G38" s="852"/>
    </row>
    <row r="39" spans="2:7" x14ac:dyDescent="0.3">
      <c r="B39" s="845"/>
      <c r="C39" s="1028"/>
      <c r="D39" s="826"/>
      <c r="E39" s="851"/>
      <c r="F39" s="826"/>
      <c r="G39" s="852"/>
    </row>
    <row r="40" spans="2:7" x14ac:dyDescent="0.3">
      <c r="B40" s="845"/>
      <c r="C40" s="206"/>
      <c r="D40" s="826"/>
      <c r="E40" s="851"/>
      <c r="F40" s="826"/>
      <c r="G40" s="852"/>
    </row>
    <row r="41" spans="2:7" x14ac:dyDescent="0.3">
      <c r="B41" s="840" t="s">
        <v>353</v>
      </c>
      <c r="C41" s="207" t="s">
        <v>286</v>
      </c>
      <c r="D41" s="842"/>
      <c r="E41" s="843"/>
      <c r="F41" s="552" t="s">
        <v>391</v>
      </c>
      <c r="G41" s="849">
        <f>IF(F41=D42,E42,IF(F41=D43,E43,IF(F41=D44,E44,IF(F41=D45,E45,IF(F41=D46,E46)))))</f>
        <v>2</v>
      </c>
    </row>
    <row r="42" spans="2:7" x14ac:dyDescent="0.3">
      <c r="B42" s="845"/>
      <c r="C42" s="206" t="s">
        <v>287</v>
      </c>
      <c r="D42" s="826" t="s">
        <v>391</v>
      </c>
      <c r="E42" s="851">
        <v>2</v>
      </c>
      <c r="F42" s="826"/>
      <c r="G42" s="852"/>
    </row>
    <row r="43" spans="2:7" x14ac:dyDescent="0.3">
      <c r="B43" s="845"/>
      <c r="C43" s="206" t="s">
        <v>1015</v>
      </c>
      <c r="D43" s="863" t="s">
        <v>392</v>
      </c>
      <c r="E43" s="851">
        <v>1.5</v>
      </c>
      <c r="F43" s="826"/>
      <c r="G43" s="852"/>
    </row>
    <row r="44" spans="2:7" x14ac:dyDescent="0.3">
      <c r="B44" s="845"/>
      <c r="C44" s="206"/>
      <c r="D44" s="863" t="s">
        <v>514</v>
      </c>
      <c r="E44" s="851">
        <v>1</v>
      </c>
      <c r="F44" s="826"/>
      <c r="G44" s="852"/>
    </row>
    <row r="45" spans="2:7" x14ac:dyDescent="0.3">
      <c r="B45" s="845"/>
      <c r="C45" s="206"/>
      <c r="D45" s="863" t="s">
        <v>515</v>
      </c>
      <c r="E45" s="851">
        <v>0.5</v>
      </c>
      <c r="F45" s="826"/>
      <c r="G45" s="852"/>
    </row>
    <row r="46" spans="2:7" x14ac:dyDescent="0.3">
      <c r="B46" s="845"/>
      <c r="C46" s="206"/>
      <c r="D46" s="826" t="s">
        <v>393</v>
      </c>
      <c r="E46" s="851">
        <v>0</v>
      </c>
      <c r="F46" s="826"/>
      <c r="G46" s="852"/>
    </row>
    <row r="47" spans="2:7" ht="34.5" customHeight="1" x14ac:dyDescent="0.3">
      <c r="B47" s="840" t="s">
        <v>354</v>
      </c>
      <c r="C47" s="207" t="s">
        <v>289</v>
      </c>
      <c r="D47" s="861"/>
      <c r="E47" s="862"/>
      <c r="F47" s="552" t="s">
        <v>613</v>
      </c>
      <c r="G47" s="849">
        <f>IF(F47=D48,E48,IF(F47=D49,E49,IF(F47=D50,E50,IF(F47=D51,E51))))</f>
        <v>0.5</v>
      </c>
    </row>
    <row r="48" spans="2:7" ht="48" customHeight="1" x14ac:dyDescent="0.3">
      <c r="B48" s="845"/>
      <c r="C48" s="206" t="s">
        <v>989</v>
      </c>
      <c r="D48" s="208" t="s">
        <v>1004</v>
      </c>
      <c r="E48" s="851">
        <v>1</v>
      </c>
      <c r="F48" s="826"/>
      <c r="G48" s="852"/>
    </row>
    <row r="49" spans="1:28" x14ac:dyDescent="0.3">
      <c r="B49" s="845"/>
      <c r="C49" s="820" t="s">
        <v>394</v>
      </c>
      <c r="D49" s="826" t="s">
        <v>290</v>
      </c>
      <c r="E49" s="851">
        <v>0.75</v>
      </c>
      <c r="F49" s="826"/>
      <c r="G49" s="852"/>
    </row>
    <row r="50" spans="1:28" ht="28" x14ac:dyDescent="0.3">
      <c r="B50" s="845"/>
      <c r="C50" s="821"/>
      <c r="D50" s="826" t="s">
        <v>613</v>
      </c>
      <c r="E50" s="851">
        <v>0.5</v>
      </c>
      <c r="F50" s="826"/>
      <c r="G50" s="852"/>
    </row>
    <row r="51" spans="1:28" x14ac:dyDescent="0.3">
      <c r="B51" s="845"/>
      <c r="C51" s="822"/>
      <c r="D51" s="826" t="s">
        <v>291</v>
      </c>
      <c r="E51" s="851">
        <v>0</v>
      </c>
      <c r="F51" s="826"/>
      <c r="G51" s="852"/>
    </row>
    <row r="52" spans="1:28" s="25" customFormat="1" ht="28" x14ac:dyDescent="0.3">
      <c r="A52" s="789"/>
      <c r="B52" s="840" t="s">
        <v>355</v>
      </c>
      <c r="C52" s="209" t="s">
        <v>1016</v>
      </c>
      <c r="D52" s="861"/>
      <c r="E52" s="862"/>
      <c r="F52" s="552" t="s">
        <v>292</v>
      </c>
      <c r="G52" s="212">
        <f>IF(F52=D53,E53,IF(F52=D54,E54,IF(F52=D55,E55,IF(F52=D56,E56))))</f>
        <v>1.5</v>
      </c>
      <c r="H52" s="789"/>
      <c r="I52" s="789"/>
      <c r="J52" s="789"/>
      <c r="K52" s="789"/>
      <c r="L52" s="789"/>
      <c r="M52" s="789"/>
      <c r="N52" s="789"/>
      <c r="O52" s="789"/>
      <c r="P52" s="789"/>
      <c r="Q52" s="789"/>
      <c r="R52" s="789"/>
      <c r="S52" s="789"/>
      <c r="T52" s="789"/>
      <c r="U52" s="789"/>
      <c r="V52" s="789"/>
      <c r="W52" s="789"/>
      <c r="X52" s="789"/>
      <c r="Y52" s="789"/>
      <c r="Z52" s="789"/>
      <c r="AA52" s="789"/>
      <c r="AB52" s="789"/>
    </row>
    <row r="53" spans="1:28" x14ac:dyDescent="0.3">
      <c r="B53" s="845"/>
      <c r="C53" s="846"/>
      <c r="D53" s="826">
        <v>1</v>
      </c>
      <c r="E53" s="851">
        <v>2</v>
      </c>
      <c r="F53" s="826"/>
      <c r="G53" s="852"/>
    </row>
    <row r="54" spans="1:28" ht="72.5" x14ac:dyDescent="0.3">
      <c r="B54" s="845"/>
      <c r="C54" s="799" t="s">
        <v>1021</v>
      </c>
      <c r="D54" s="826" t="s">
        <v>292</v>
      </c>
      <c r="E54" s="851">
        <v>1.5</v>
      </c>
      <c r="F54" s="826"/>
      <c r="G54" s="852"/>
    </row>
    <row r="55" spans="1:28" x14ac:dyDescent="0.3">
      <c r="B55" s="845"/>
      <c r="C55" s="846"/>
      <c r="D55" s="826" t="s">
        <v>293</v>
      </c>
      <c r="E55" s="851">
        <v>0.5</v>
      </c>
      <c r="F55" s="826"/>
      <c r="G55" s="852"/>
    </row>
    <row r="56" spans="1:28" x14ac:dyDescent="0.3">
      <c r="B56" s="845"/>
      <c r="C56" s="846"/>
      <c r="D56" s="826" t="s">
        <v>294</v>
      </c>
      <c r="E56" s="851">
        <v>0</v>
      </c>
      <c r="F56" s="826"/>
      <c r="G56" s="852"/>
    </row>
    <row r="57" spans="1:28" s="25" customFormat="1" x14ac:dyDescent="0.3">
      <c r="A57" s="789"/>
      <c r="B57" s="856" t="s">
        <v>396</v>
      </c>
      <c r="C57" s="857" t="s">
        <v>296</v>
      </c>
      <c r="D57" s="858"/>
      <c r="E57" s="859">
        <f>E59+E64+E69+E73</f>
        <v>7</v>
      </c>
      <c r="F57" s="858"/>
      <c r="G57" s="860">
        <f>G58+G63+G68+G72</f>
        <v>5</v>
      </c>
      <c r="H57" s="789"/>
      <c r="I57" s="789"/>
      <c r="J57" s="789"/>
      <c r="K57" s="789"/>
      <c r="L57" s="789"/>
      <c r="M57" s="789"/>
      <c r="N57" s="789"/>
      <c r="O57" s="789"/>
      <c r="P57" s="789"/>
      <c r="Q57" s="789"/>
      <c r="R57" s="789"/>
      <c r="S57" s="789"/>
      <c r="T57" s="789"/>
      <c r="U57" s="789"/>
      <c r="V57" s="789"/>
      <c r="W57" s="789"/>
      <c r="X57" s="789"/>
      <c r="Y57" s="789"/>
      <c r="Z57" s="789"/>
      <c r="AA57" s="789"/>
      <c r="AB57" s="789"/>
    </row>
    <row r="58" spans="1:28" s="25" customFormat="1" ht="62.25" customHeight="1" x14ac:dyDescent="0.3">
      <c r="A58" s="789"/>
      <c r="B58" s="840" t="s">
        <v>357</v>
      </c>
      <c r="C58" s="841" t="s">
        <v>298</v>
      </c>
      <c r="D58" s="861"/>
      <c r="E58" s="862"/>
      <c r="F58" s="552" t="s">
        <v>299</v>
      </c>
      <c r="G58" s="212">
        <f>IF(F58=D59,E59,IF(F58=D60,E60,IF(F58=D61,E61)))</f>
        <v>2</v>
      </c>
      <c r="H58" s="789"/>
      <c r="I58" s="789"/>
      <c r="J58" s="789"/>
      <c r="K58" s="789"/>
      <c r="L58" s="789"/>
      <c r="M58" s="789"/>
      <c r="N58" s="789"/>
      <c r="O58" s="789"/>
      <c r="P58" s="789"/>
      <c r="Q58" s="789"/>
      <c r="R58" s="789"/>
      <c r="S58" s="789"/>
      <c r="T58" s="789"/>
      <c r="U58" s="789"/>
      <c r="V58" s="789"/>
      <c r="W58" s="789"/>
      <c r="X58" s="789"/>
      <c r="Y58" s="789"/>
      <c r="Z58" s="789"/>
      <c r="AA58" s="789"/>
      <c r="AB58" s="789"/>
    </row>
    <row r="59" spans="1:28" ht="56" x14ac:dyDescent="0.3">
      <c r="B59" s="845"/>
      <c r="C59" s="206" t="s">
        <v>1022</v>
      </c>
      <c r="D59" s="208" t="s">
        <v>299</v>
      </c>
      <c r="E59" s="851">
        <v>2</v>
      </c>
      <c r="F59" s="826"/>
      <c r="G59" s="852"/>
    </row>
    <row r="60" spans="1:28" ht="28" x14ac:dyDescent="0.3">
      <c r="B60" s="845"/>
      <c r="C60" s="206" t="s">
        <v>614</v>
      </c>
      <c r="D60" s="208" t="s">
        <v>300</v>
      </c>
      <c r="E60" s="851">
        <v>1</v>
      </c>
      <c r="F60" s="826"/>
      <c r="G60" s="852"/>
    </row>
    <row r="61" spans="1:28" x14ac:dyDescent="0.3">
      <c r="B61" s="845"/>
      <c r="C61" s="206"/>
      <c r="D61" s="208" t="s">
        <v>429</v>
      </c>
      <c r="E61" s="851">
        <v>0</v>
      </c>
      <c r="F61" s="826"/>
      <c r="G61" s="852"/>
    </row>
    <row r="62" spans="1:28" x14ac:dyDescent="0.3">
      <c r="B62" s="845"/>
      <c r="C62" s="846"/>
      <c r="D62" s="208"/>
      <c r="E62" s="851">
        <v>0</v>
      </c>
      <c r="F62" s="826"/>
      <c r="G62" s="852"/>
    </row>
    <row r="63" spans="1:28" s="25" customFormat="1" ht="51.75" customHeight="1" x14ac:dyDescent="0.3">
      <c r="A63" s="789"/>
      <c r="B63" s="864" t="s">
        <v>358</v>
      </c>
      <c r="C63" s="865" t="s">
        <v>302</v>
      </c>
      <c r="D63" s="866"/>
      <c r="E63" s="867"/>
      <c r="F63" s="552" t="s">
        <v>303</v>
      </c>
      <c r="G63" s="212">
        <f>IF(F63=D64,E64,IF(F63=D65,E65,IF(F63=D66,E66)))</f>
        <v>2</v>
      </c>
      <c r="H63" s="789"/>
      <c r="I63" s="789"/>
      <c r="J63" s="789"/>
      <c r="K63" s="789"/>
      <c r="L63" s="789"/>
      <c r="M63" s="789"/>
      <c r="N63" s="789"/>
      <c r="O63" s="789"/>
      <c r="P63" s="789"/>
      <c r="Q63" s="789"/>
      <c r="R63" s="789"/>
      <c r="S63" s="789"/>
      <c r="T63" s="789"/>
      <c r="U63" s="789"/>
      <c r="V63" s="789"/>
      <c r="W63" s="789"/>
      <c r="X63" s="789"/>
      <c r="Y63" s="789"/>
      <c r="Z63" s="789"/>
      <c r="AA63" s="789"/>
      <c r="AB63" s="789"/>
    </row>
    <row r="64" spans="1:28" ht="28" x14ac:dyDescent="0.3">
      <c r="B64" s="845"/>
      <c r="C64" s="846"/>
      <c r="D64" s="826" t="s">
        <v>303</v>
      </c>
      <c r="E64" s="851">
        <v>2</v>
      </c>
      <c r="F64" s="826"/>
      <c r="G64" s="852"/>
    </row>
    <row r="65" spans="1:28" ht="28" x14ac:dyDescent="0.3">
      <c r="B65" s="845"/>
      <c r="C65" s="846"/>
      <c r="D65" s="826" t="s">
        <v>304</v>
      </c>
      <c r="E65" s="851">
        <v>1</v>
      </c>
      <c r="F65" s="826"/>
      <c r="G65" s="852"/>
    </row>
    <row r="66" spans="1:28" x14ac:dyDescent="0.3">
      <c r="B66" s="845"/>
      <c r="C66" s="846"/>
      <c r="D66" s="826" t="s">
        <v>305</v>
      </c>
      <c r="E66" s="851">
        <v>0</v>
      </c>
      <c r="F66" s="826"/>
      <c r="G66" s="852"/>
    </row>
    <row r="67" spans="1:28" x14ac:dyDescent="0.3">
      <c r="B67" s="845"/>
      <c r="C67" s="846"/>
      <c r="D67" s="826"/>
      <c r="E67" s="851"/>
      <c r="F67" s="826"/>
      <c r="G67" s="852"/>
    </row>
    <row r="68" spans="1:28" s="25" customFormat="1" ht="30" customHeight="1" x14ac:dyDescent="0.3">
      <c r="A68" s="789"/>
      <c r="B68" s="864" t="s">
        <v>359</v>
      </c>
      <c r="C68" s="865" t="s">
        <v>307</v>
      </c>
      <c r="D68" s="866"/>
      <c r="E68" s="867"/>
      <c r="F68" s="553" t="s">
        <v>309</v>
      </c>
      <c r="G68" s="212">
        <f>IF(F68=D69,E69,IF(F68=D70,E70,IF(F68=D71,E71)))</f>
        <v>1</v>
      </c>
      <c r="H68" s="789"/>
      <c r="I68" s="789"/>
      <c r="J68" s="789"/>
      <c r="K68" s="789"/>
      <c r="L68" s="789"/>
      <c r="M68" s="789"/>
      <c r="N68" s="789"/>
      <c r="O68" s="789"/>
      <c r="P68" s="789"/>
      <c r="Q68" s="789"/>
      <c r="R68" s="789"/>
      <c r="S68" s="789"/>
      <c r="T68" s="789"/>
      <c r="U68" s="789"/>
      <c r="V68" s="789"/>
      <c r="W68" s="789"/>
      <c r="X68" s="789"/>
      <c r="Y68" s="789"/>
      <c r="Z68" s="789"/>
      <c r="AA68" s="789"/>
      <c r="AB68" s="789"/>
    </row>
    <row r="69" spans="1:28" ht="21" customHeight="1" x14ac:dyDescent="0.3">
      <c r="B69" s="845"/>
      <c r="C69" s="1039" t="s">
        <v>990</v>
      </c>
      <c r="D69" s="826" t="s">
        <v>308</v>
      </c>
      <c r="E69" s="851">
        <v>2</v>
      </c>
      <c r="F69" s="826"/>
      <c r="G69" s="852"/>
    </row>
    <row r="70" spans="1:28" x14ac:dyDescent="0.3">
      <c r="B70" s="845"/>
      <c r="C70" s="1040"/>
      <c r="D70" s="826" t="s">
        <v>309</v>
      </c>
      <c r="E70" s="851">
        <v>1</v>
      </c>
      <c r="F70" s="826"/>
      <c r="G70" s="852"/>
    </row>
    <row r="71" spans="1:28" ht="36" customHeight="1" x14ac:dyDescent="0.3">
      <c r="B71" s="845"/>
      <c r="C71" s="1041"/>
      <c r="D71" s="826" t="s">
        <v>310</v>
      </c>
      <c r="E71" s="851">
        <v>0</v>
      </c>
      <c r="F71" s="826"/>
      <c r="G71" s="852"/>
    </row>
    <row r="72" spans="1:28" ht="28" x14ac:dyDescent="0.3">
      <c r="B72" s="854" t="s">
        <v>403</v>
      </c>
      <c r="C72" s="868" t="s">
        <v>1023</v>
      </c>
      <c r="D72" s="842"/>
      <c r="E72" s="843"/>
      <c r="F72" s="552" t="s">
        <v>280</v>
      </c>
      <c r="G72" s="849">
        <f>IF(F72=D73,E73,IF(F72=D74,E74))</f>
        <v>0</v>
      </c>
    </row>
    <row r="73" spans="1:28" x14ac:dyDescent="0.3">
      <c r="B73" s="845"/>
      <c r="C73" s="826"/>
      <c r="D73" s="826" t="s">
        <v>279</v>
      </c>
      <c r="E73" s="851">
        <v>1</v>
      </c>
      <c r="F73" s="826"/>
      <c r="G73" s="852"/>
    </row>
    <row r="74" spans="1:28" x14ac:dyDescent="0.3">
      <c r="B74" s="845"/>
      <c r="C74" s="826"/>
      <c r="D74" s="826" t="s">
        <v>280</v>
      </c>
      <c r="E74" s="851">
        <v>0</v>
      </c>
      <c r="F74" s="826"/>
      <c r="G74" s="852"/>
    </row>
    <row r="75" spans="1:28" x14ac:dyDescent="0.3">
      <c r="B75" s="856" t="s">
        <v>360</v>
      </c>
      <c r="C75" s="857" t="s">
        <v>312</v>
      </c>
      <c r="D75" s="858"/>
      <c r="E75" s="859">
        <f>E77+E82+E87+E93</f>
        <v>11</v>
      </c>
      <c r="F75" s="858"/>
      <c r="G75" s="860">
        <f>G76+G81+G86+G92</f>
        <v>2.5</v>
      </c>
    </row>
    <row r="76" spans="1:28" s="25" customFormat="1" ht="62.25" customHeight="1" x14ac:dyDescent="0.3">
      <c r="A76" s="789"/>
      <c r="B76" s="840" t="s">
        <v>361</v>
      </c>
      <c r="C76" s="841" t="s">
        <v>314</v>
      </c>
      <c r="D76" s="861"/>
      <c r="E76" s="862"/>
      <c r="F76" s="552" t="s">
        <v>1026</v>
      </c>
      <c r="G76" s="212">
        <f>IF(F76=D77,E77,IF(F76=D78,E78,IF(F76=D79,E79,IF(F76=D80,E80))))</f>
        <v>1.5</v>
      </c>
      <c r="H76" s="789"/>
      <c r="I76" s="789"/>
      <c r="J76" s="789"/>
      <c r="K76" s="789"/>
      <c r="L76" s="789"/>
      <c r="M76" s="789"/>
      <c r="N76" s="789"/>
      <c r="O76" s="789"/>
      <c r="P76" s="789"/>
      <c r="Q76" s="789"/>
      <c r="R76" s="789"/>
      <c r="S76" s="789"/>
      <c r="T76" s="789"/>
      <c r="U76" s="789"/>
      <c r="V76" s="789"/>
      <c r="W76" s="789"/>
      <c r="X76" s="789"/>
      <c r="Y76" s="789"/>
      <c r="Z76" s="789"/>
      <c r="AA76" s="789"/>
      <c r="AB76" s="789"/>
    </row>
    <row r="77" spans="1:28" x14ac:dyDescent="0.3">
      <c r="B77" s="845"/>
      <c r="C77" s="846"/>
      <c r="D77" s="210" t="s">
        <v>552</v>
      </c>
      <c r="E77" s="851">
        <v>2</v>
      </c>
      <c r="F77" s="826"/>
      <c r="G77" s="852"/>
    </row>
    <row r="78" spans="1:28" ht="56" x14ac:dyDescent="0.3">
      <c r="B78" s="845"/>
      <c r="C78" s="846"/>
      <c r="D78" s="210" t="s">
        <v>1026</v>
      </c>
      <c r="E78" s="851">
        <v>1.5</v>
      </c>
      <c r="F78" s="826"/>
      <c r="G78" s="852"/>
    </row>
    <row r="79" spans="1:28" ht="28" x14ac:dyDescent="0.3">
      <c r="B79" s="845"/>
      <c r="C79" s="846"/>
      <c r="D79" s="210" t="s">
        <v>1024</v>
      </c>
      <c r="E79" s="851">
        <v>1</v>
      </c>
      <c r="F79" s="826"/>
      <c r="G79" s="852"/>
    </row>
    <row r="80" spans="1:28" x14ac:dyDescent="0.3">
      <c r="B80" s="845"/>
      <c r="C80" s="846"/>
      <c r="D80" s="210" t="s">
        <v>1025</v>
      </c>
      <c r="E80" s="851">
        <v>0</v>
      </c>
      <c r="F80" s="826"/>
      <c r="G80" s="852"/>
    </row>
    <row r="81" spans="1:28" s="25" customFormat="1" ht="96" customHeight="1" x14ac:dyDescent="0.3">
      <c r="A81" s="789"/>
      <c r="B81" s="840" t="s">
        <v>362</v>
      </c>
      <c r="C81" s="841" t="s">
        <v>316</v>
      </c>
      <c r="D81" s="861"/>
      <c r="E81" s="862"/>
      <c r="F81" s="552" t="s">
        <v>1030</v>
      </c>
      <c r="G81" s="212">
        <f>IF(F81=D82,E82,IF(F81=D83,E83,IF(F81=D84,E84,IF(F81=D85,E85))))</f>
        <v>0</v>
      </c>
      <c r="H81" s="789"/>
      <c r="I81" s="789"/>
      <c r="J81" s="789"/>
      <c r="K81" s="789"/>
      <c r="L81" s="789"/>
      <c r="M81" s="789"/>
      <c r="N81" s="789"/>
      <c r="O81" s="789"/>
      <c r="P81" s="789"/>
      <c r="Q81" s="789"/>
      <c r="R81" s="789"/>
      <c r="S81" s="789"/>
      <c r="T81" s="789"/>
      <c r="U81" s="789"/>
      <c r="V81" s="789"/>
      <c r="W81" s="789"/>
      <c r="X81" s="789"/>
      <c r="Y81" s="789"/>
      <c r="Z81" s="789"/>
      <c r="AA81" s="789"/>
      <c r="AB81" s="789"/>
    </row>
    <row r="82" spans="1:28" ht="56" x14ac:dyDescent="0.3">
      <c r="B82" s="845"/>
      <c r="C82" s="846"/>
      <c r="D82" s="210" t="s">
        <v>1027</v>
      </c>
      <c r="E82" s="851">
        <v>2</v>
      </c>
      <c r="F82" s="826"/>
      <c r="G82" s="852"/>
    </row>
    <row r="83" spans="1:28" ht="56" x14ac:dyDescent="0.3">
      <c r="B83" s="845"/>
      <c r="C83" s="846"/>
      <c r="D83" s="210" t="s">
        <v>1028</v>
      </c>
      <c r="E83" s="851">
        <v>1.5</v>
      </c>
      <c r="F83" s="826"/>
      <c r="G83" s="852"/>
    </row>
    <row r="84" spans="1:28" ht="56" x14ac:dyDescent="0.3">
      <c r="B84" s="845"/>
      <c r="C84" s="846"/>
      <c r="D84" s="210" t="s">
        <v>1029</v>
      </c>
      <c r="E84" s="851">
        <v>1</v>
      </c>
      <c r="F84" s="826"/>
      <c r="G84" s="852"/>
    </row>
    <row r="85" spans="1:28" x14ac:dyDescent="0.3">
      <c r="B85" s="845"/>
      <c r="C85" s="846"/>
      <c r="D85" s="210" t="s">
        <v>1030</v>
      </c>
      <c r="E85" s="851">
        <v>0</v>
      </c>
      <c r="F85" s="826"/>
      <c r="G85" s="852"/>
    </row>
    <row r="86" spans="1:28" s="25" customFormat="1" x14ac:dyDescent="0.3">
      <c r="A86" s="789"/>
      <c r="B86" s="840" t="s">
        <v>363</v>
      </c>
      <c r="C86" s="841" t="s">
        <v>1031</v>
      </c>
      <c r="D86" s="861"/>
      <c r="E86" s="862"/>
      <c r="F86" s="552" t="s">
        <v>322</v>
      </c>
      <c r="G86" s="212">
        <f>IF(F86=D87,E87,IF(F86=D88,E88,IF(F86=D89,E89,IF(F86=D90,E90,IF(F86=D91,E91)))))</f>
        <v>0</v>
      </c>
      <c r="H86" s="789"/>
      <c r="I86" s="789"/>
      <c r="J86" s="789"/>
      <c r="K86" s="789"/>
      <c r="L86" s="789"/>
      <c r="M86" s="789"/>
      <c r="N86" s="789"/>
      <c r="O86" s="789"/>
      <c r="P86" s="789"/>
      <c r="Q86" s="789"/>
      <c r="R86" s="789"/>
      <c r="S86" s="789"/>
      <c r="T86" s="789"/>
      <c r="U86" s="789"/>
      <c r="V86" s="789"/>
      <c r="W86" s="789"/>
      <c r="X86" s="789"/>
      <c r="Y86" s="789"/>
      <c r="Z86" s="789"/>
      <c r="AA86" s="789"/>
      <c r="AB86" s="789"/>
    </row>
    <row r="87" spans="1:28" ht="42" x14ac:dyDescent="0.3">
      <c r="B87" s="845"/>
      <c r="C87" s="846" t="s">
        <v>1040</v>
      </c>
      <c r="D87" s="826" t="s">
        <v>318</v>
      </c>
      <c r="E87" s="851">
        <v>5</v>
      </c>
      <c r="F87" s="826"/>
      <c r="G87" s="852"/>
    </row>
    <row r="88" spans="1:28" x14ac:dyDescent="0.3">
      <c r="B88" s="845"/>
      <c r="C88" s="846"/>
      <c r="D88" s="826" t="s">
        <v>319</v>
      </c>
      <c r="E88" s="851">
        <v>4</v>
      </c>
      <c r="F88" s="826"/>
      <c r="G88" s="852"/>
    </row>
    <row r="89" spans="1:28" x14ac:dyDescent="0.3">
      <c r="B89" s="845"/>
      <c r="C89" s="1033" t="s">
        <v>1043</v>
      </c>
      <c r="D89" s="826" t="s">
        <v>320</v>
      </c>
      <c r="E89" s="851">
        <v>3</v>
      </c>
      <c r="F89" s="826"/>
      <c r="G89" s="852"/>
    </row>
    <row r="90" spans="1:28" x14ac:dyDescent="0.3">
      <c r="B90" s="845"/>
      <c r="C90" s="1038"/>
      <c r="D90" s="826" t="s">
        <v>321</v>
      </c>
      <c r="E90" s="851">
        <v>2</v>
      </c>
      <c r="F90" s="826"/>
      <c r="G90" s="852"/>
    </row>
    <row r="91" spans="1:28" ht="48" customHeight="1" x14ac:dyDescent="0.3">
      <c r="B91" s="845"/>
      <c r="C91" s="1034"/>
      <c r="D91" s="826" t="s">
        <v>322</v>
      </c>
      <c r="E91" s="851">
        <v>0</v>
      </c>
      <c r="F91" s="826"/>
      <c r="G91" s="852"/>
    </row>
    <row r="92" spans="1:28" s="25" customFormat="1" ht="95.25" customHeight="1" x14ac:dyDescent="0.3">
      <c r="A92" s="789"/>
      <c r="B92" s="840" t="s">
        <v>364</v>
      </c>
      <c r="C92" s="841" t="s">
        <v>1041</v>
      </c>
      <c r="D92" s="861"/>
      <c r="E92" s="862"/>
      <c r="F92" s="551" t="s">
        <v>991</v>
      </c>
      <c r="G92" s="212">
        <f>IF(F92=D93,E93,IF(F92=D94,E94,IF(F92=D95,E95,IF(F92=D96,E96))))</f>
        <v>1</v>
      </c>
      <c r="H92" s="789"/>
      <c r="I92" s="789"/>
      <c r="J92" s="789"/>
      <c r="K92" s="789"/>
      <c r="L92" s="789"/>
      <c r="M92" s="789"/>
      <c r="N92" s="789"/>
      <c r="O92" s="789"/>
      <c r="P92" s="789"/>
      <c r="Q92" s="789"/>
      <c r="R92" s="789"/>
      <c r="S92" s="789"/>
      <c r="T92" s="789"/>
      <c r="U92" s="789"/>
      <c r="V92" s="789"/>
      <c r="W92" s="789"/>
      <c r="X92" s="789"/>
      <c r="Y92" s="789"/>
      <c r="Z92" s="789"/>
      <c r="AA92" s="789"/>
      <c r="AB92" s="789"/>
    </row>
    <row r="93" spans="1:28" ht="42" x14ac:dyDescent="0.3">
      <c r="B93" s="845"/>
      <c r="C93" s="846"/>
      <c r="D93" s="826" t="s">
        <v>1044</v>
      </c>
      <c r="E93" s="851">
        <v>2</v>
      </c>
      <c r="F93" s="826"/>
      <c r="G93" s="852"/>
    </row>
    <row r="94" spans="1:28" ht="99.75" customHeight="1" x14ac:dyDescent="0.3">
      <c r="B94" s="845"/>
      <c r="C94" s="1033" t="s">
        <v>1042</v>
      </c>
      <c r="D94" s="210" t="s">
        <v>395</v>
      </c>
      <c r="E94" s="851">
        <v>1.5</v>
      </c>
      <c r="F94" s="826"/>
      <c r="G94" s="852"/>
    </row>
    <row r="95" spans="1:28" ht="78.75" customHeight="1" x14ac:dyDescent="0.3">
      <c r="B95" s="845"/>
      <c r="C95" s="1034"/>
      <c r="D95" s="210" t="s">
        <v>991</v>
      </c>
      <c r="E95" s="851">
        <v>1</v>
      </c>
      <c r="F95" s="826"/>
      <c r="G95" s="852"/>
    </row>
    <row r="96" spans="1:28" x14ac:dyDescent="0.3">
      <c r="B96" s="845"/>
      <c r="C96" s="846"/>
      <c r="D96" s="210" t="s">
        <v>324</v>
      </c>
      <c r="E96" s="851">
        <v>0</v>
      </c>
      <c r="F96" s="826"/>
      <c r="G96" s="852"/>
    </row>
    <row r="97" spans="1:28" x14ac:dyDescent="0.3">
      <c r="B97" s="845"/>
      <c r="C97" s="846"/>
      <c r="D97" s="826"/>
      <c r="E97" s="851"/>
      <c r="F97" s="826"/>
      <c r="G97" s="852"/>
    </row>
    <row r="98" spans="1:28" s="25" customFormat="1" x14ac:dyDescent="0.3">
      <c r="A98" s="789"/>
      <c r="B98" s="856" t="s">
        <v>365</v>
      </c>
      <c r="C98" s="857" t="s">
        <v>325</v>
      </c>
      <c r="D98" s="858"/>
      <c r="E98" s="859">
        <f>E99</f>
        <v>3</v>
      </c>
      <c r="F98" s="858"/>
      <c r="G98" s="860">
        <f>G99</f>
        <v>3</v>
      </c>
      <c r="H98" s="789"/>
      <c r="I98" s="789"/>
      <c r="J98" s="789"/>
      <c r="K98" s="789"/>
      <c r="L98" s="789"/>
      <c r="M98" s="789"/>
      <c r="N98" s="789"/>
      <c r="O98" s="789"/>
      <c r="P98" s="789"/>
      <c r="Q98" s="789"/>
      <c r="R98" s="789"/>
      <c r="S98" s="789"/>
      <c r="T98" s="789"/>
      <c r="U98" s="789"/>
      <c r="V98" s="789"/>
      <c r="W98" s="789"/>
      <c r="X98" s="789"/>
      <c r="Y98" s="789"/>
      <c r="Z98" s="789"/>
      <c r="AA98" s="789"/>
      <c r="AB98" s="789"/>
    </row>
    <row r="99" spans="1:28" ht="69" customHeight="1" x14ac:dyDescent="0.3">
      <c r="B99" s="854" t="s">
        <v>397</v>
      </c>
      <c r="C99" s="855" t="s">
        <v>327</v>
      </c>
      <c r="D99" s="211" t="s">
        <v>550</v>
      </c>
      <c r="E99" s="843">
        <v>3</v>
      </c>
      <c r="F99" s="551" t="s">
        <v>550</v>
      </c>
      <c r="G99" s="849">
        <f>IF(F99=D99,E99,IF(F99=D100,E100,IF(F99=D101,E101,IF(F99=D102,E102))))</f>
        <v>3</v>
      </c>
    </row>
    <row r="100" spans="1:28" ht="42" x14ac:dyDescent="0.3">
      <c r="B100" s="845"/>
      <c r="C100" s="846"/>
      <c r="D100" s="205" t="s">
        <v>328</v>
      </c>
      <c r="E100" s="851">
        <v>2</v>
      </c>
      <c r="F100" s="826"/>
      <c r="G100" s="852"/>
    </row>
    <row r="101" spans="1:28" ht="56" x14ac:dyDescent="0.3">
      <c r="B101" s="845"/>
      <c r="C101" s="846"/>
      <c r="D101" s="205" t="s">
        <v>329</v>
      </c>
      <c r="E101" s="851">
        <v>1</v>
      </c>
      <c r="F101" s="826"/>
      <c r="G101" s="852"/>
    </row>
    <row r="102" spans="1:28" ht="42" x14ac:dyDescent="0.3">
      <c r="B102" s="845"/>
      <c r="C102" s="846"/>
      <c r="D102" s="205" t="s">
        <v>330</v>
      </c>
      <c r="E102" s="851">
        <v>0</v>
      </c>
      <c r="F102" s="826"/>
      <c r="G102" s="852"/>
    </row>
    <row r="103" spans="1:28" x14ac:dyDescent="0.3">
      <c r="B103" s="845"/>
      <c r="C103" s="846"/>
      <c r="D103" s="826"/>
      <c r="E103" s="851"/>
      <c r="F103" s="826"/>
      <c r="G103" s="852"/>
    </row>
    <row r="104" spans="1:28" s="25" customFormat="1" x14ac:dyDescent="0.3">
      <c r="A104" s="789"/>
      <c r="B104" s="856" t="s">
        <v>366</v>
      </c>
      <c r="C104" s="857" t="s">
        <v>332</v>
      </c>
      <c r="D104" s="858"/>
      <c r="E104" s="859">
        <f>E106+E109</f>
        <v>2</v>
      </c>
      <c r="F104" s="858"/>
      <c r="G104" s="860">
        <f>G105+G108</f>
        <v>2</v>
      </c>
      <c r="H104" s="789"/>
      <c r="I104" s="789"/>
      <c r="J104" s="789"/>
      <c r="K104" s="789"/>
      <c r="L104" s="789"/>
      <c r="M104" s="789"/>
      <c r="N104" s="789"/>
      <c r="O104" s="789"/>
      <c r="P104" s="789"/>
      <c r="Q104" s="789"/>
      <c r="R104" s="789"/>
      <c r="S104" s="789"/>
      <c r="T104" s="789"/>
      <c r="U104" s="789"/>
      <c r="V104" s="789"/>
      <c r="W104" s="789"/>
      <c r="X104" s="789"/>
      <c r="Y104" s="789"/>
      <c r="Z104" s="789"/>
      <c r="AA104" s="789"/>
      <c r="AB104" s="789"/>
    </row>
    <row r="105" spans="1:28" s="25" customFormat="1" ht="33" customHeight="1" x14ac:dyDescent="0.3">
      <c r="A105" s="789"/>
      <c r="B105" s="840" t="s">
        <v>367</v>
      </c>
      <c r="C105" s="841" t="s">
        <v>334</v>
      </c>
      <c r="D105" s="861"/>
      <c r="E105" s="862"/>
      <c r="F105" s="552" t="s">
        <v>279</v>
      </c>
      <c r="G105" s="212">
        <f>IF(F105=D106,E106,IF(F105=D107,E107))</f>
        <v>1</v>
      </c>
      <c r="H105" s="789"/>
      <c r="I105" s="789"/>
      <c r="J105" s="789"/>
      <c r="K105" s="789"/>
      <c r="L105" s="789"/>
      <c r="M105" s="789"/>
      <c r="N105" s="789"/>
      <c r="O105" s="789"/>
      <c r="P105" s="789"/>
      <c r="Q105" s="789"/>
      <c r="R105" s="789"/>
      <c r="S105" s="789"/>
      <c r="T105" s="789"/>
      <c r="U105" s="789"/>
      <c r="V105" s="789"/>
      <c r="W105" s="789"/>
      <c r="X105" s="789"/>
      <c r="Y105" s="789"/>
      <c r="Z105" s="789"/>
      <c r="AA105" s="789"/>
      <c r="AB105" s="789"/>
    </row>
    <row r="106" spans="1:28" x14ac:dyDescent="0.3">
      <c r="B106" s="845"/>
      <c r="C106" s="846"/>
      <c r="D106" s="826" t="s">
        <v>279</v>
      </c>
      <c r="E106" s="851">
        <v>1</v>
      </c>
      <c r="F106" s="826"/>
      <c r="G106" s="852"/>
    </row>
    <row r="107" spans="1:28" x14ac:dyDescent="0.3">
      <c r="B107" s="845"/>
      <c r="C107" s="846"/>
      <c r="D107" s="826" t="s">
        <v>280</v>
      </c>
      <c r="E107" s="851">
        <v>0</v>
      </c>
      <c r="F107" s="826"/>
      <c r="G107" s="852"/>
    </row>
    <row r="108" spans="1:28" ht="46.5" customHeight="1" x14ac:dyDescent="0.3">
      <c r="B108" s="840" t="s">
        <v>368</v>
      </c>
      <c r="C108" s="841" t="s">
        <v>516</v>
      </c>
      <c r="D108" s="861"/>
      <c r="E108" s="862"/>
      <c r="F108" s="551" t="s">
        <v>992</v>
      </c>
      <c r="G108" s="849">
        <f>IF(F108=D109,E109,IF(F108=D110,E110))</f>
        <v>1</v>
      </c>
    </row>
    <row r="109" spans="1:28" ht="50.25" customHeight="1" x14ac:dyDescent="0.3">
      <c r="B109" s="845"/>
      <c r="C109" s="846" t="s">
        <v>993</v>
      </c>
      <c r="D109" s="826" t="s">
        <v>992</v>
      </c>
      <c r="E109" s="851">
        <v>1</v>
      </c>
      <c r="F109" s="826"/>
      <c r="G109" s="852"/>
    </row>
    <row r="110" spans="1:28" ht="45.75" customHeight="1" x14ac:dyDescent="0.3">
      <c r="B110" s="845"/>
      <c r="C110" s="846"/>
      <c r="D110" s="826" t="s">
        <v>517</v>
      </c>
      <c r="E110" s="851">
        <v>0</v>
      </c>
      <c r="F110" s="826"/>
      <c r="G110" s="852"/>
    </row>
    <row r="111" spans="1:28" ht="12" customHeight="1" x14ac:dyDescent="0.3">
      <c r="B111" s="869"/>
      <c r="C111" s="870" t="s">
        <v>281</v>
      </c>
      <c r="D111" s="871"/>
      <c r="E111" s="872">
        <f>E104+E98+E75+E57+E34+E17</f>
        <v>40</v>
      </c>
      <c r="F111" s="871"/>
      <c r="G111" s="873">
        <f>G104+G98+G75+G57+G34+G17</f>
        <v>28.5</v>
      </c>
    </row>
    <row r="112" spans="1:28" ht="2.25" customHeight="1" thickBot="1" x14ac:dyDescent="0.35">
      <c r="B112" s="874"/>
      <c r="C112" s="875"/>
      <c r="D112" s="876"/>
      <c r="E112" s="874"/>
      <c r="F112" s="876"/>
      <c r="G112" s="874"/>
    </row>
    <row r="113" spans="2:7" ht="14.5" thickBot="1" x14ac:dyDescent="0.35">
      <c r="B113" s="1035" t="s">
        <v>409</v>
      </c>
      <c r="C113" s="1035"/>
      <c r="D113" s="1035"/>
      <c r="E113" s="1035"/>
      <c r="F113" s="1035"/>
      <c r="G113" s="877">
        <f>G111/E111</f>
        <v>0.71250000000000002</v>
      </c>
    </row>
    <row r="114" spans="2:7" s="786" customFormat="1" x14ac:dyDescent="0.3">
      <c r="B114" s="784"/>
      <c r="C114" s="790"/>
      <c r="D114" s="791"/>
      <c r="E114" s="784"/>
      <c r="F114" s="791"/>
      <c r="G114" s="784"/>
    </row>
    <row r="115" spans="2:7" s="786" customFormat="1" x14ac:dyDescent="0.3">
      <c r="B115" s="784"/>
      <c r="C115" s="790"/>
      <c r="D115" s="791"/>
      <c r="E115" s="784"/>
      <c r="F115" s="791"/>
      <c r="G115" s="784"/>
    </row>
    <row r="116" spans="2:7" s="786" customFormat="1" x14ac:dyDescent="0.3">
      <c r="B116" s="784"/>
      <c r="C116" s="790"/>
      <c r="D116" s="791"/>
      <c r="E116" s="784"/>
      <c r="F116" s="791"/>
      <c r="G116" s="784"/>
    </row>
    <row r="117" spans="2:7" s="786" customFormat="1" x14ac:dyDescent="0.3">
      <c r="B117" s="784"/>
      <c r="C117" s="790"/>
      <c r="D117" s="791"/>
      <c r="E117" s="784"/>
      <c r="F117" s="791"/>
      <c r="G117" s="784"/>
    </row>
    <row r="118" spans="2:7" s="786" customFormat="1" x14ac:dyDescent="0.3">
      <c r="B118" s="784"/>
      <c r="C118" s="790"/>
      <c r="D118" s="791"/>
      <c r="E118" s="784"/>
      <c r="F118" s="791"/>
      <c r="G118" s="784"/>
    </row>
    <row r="119" spans="2:7" s="786" customFormat="1" x14ac:dyDescent="0.3">
      <c r="B119" s="784"/>
      <c r="C119" s="790"/>
      <c r="D119" s="791"/>
      <c r="E119" s="784"/>
      <c r="F119" s="791"/>
      <c r="G119" s="784"/>
    </row>
    <row r="120" spans="2:7" s="786" customFormat="1" x14ac:dyDescent="0.3">
      <c r="B120" s="784"/>
      <c r="C120" s="790"/>
      <c r="D120" s="791"/>
      <c r="E120" s="784"/>
      <c r="F120" s="791"/>
      <c r="G120" s="784"/>
    </row>
    <row r="121" spans="2:7" s="786" customFormat="1" x14ac:dyDescent="0.3">
      <c r="B121" s="784"/>
      <c r="C121" s="790"/>
      <c r="D121" s="791"/>
      <c r="E121" s="784"/>
      <c r="F121" s="791"/>
      <c r="G121" s="784"/>
    </row>
    <row r="122" spans="2:7" s="786" customFormat="1" x14ac:dyDescent="0.3">
      <c r="B122" s="784"/>
      <c r="C122" s="790"/>
      <c r="D122" s="791"/>
      <c r="E122" s="784"/>
      <c r="F122" s="791"/>
      <c r="G122" s="784"/>
    </row>
    <row r="123" spans="2:7" s="786" customFormat="1" x14ac:dyDescent="0.3">
      <c r="B123" s="784"/>
      <c r="C123" s="790"/>
      <c r="D123" s="791"/>
      <c r="E123" s="784"/>
      <c r="F123" s="791"/>
      <c r="G123" s="784"/>
    </row>
    <row r="124" spans="2:7" s="786" customFormat="1" x14ac:dyDescent="0.3">
      <c r="B124" s="784"/>
      <c r="C124" s="790"/>
      <c r="D124" s="791"/>
      <c r="E124" s="784"/>
      <c r="F124" s="791"/>
      <c r="G124" s="784"/>
    </row>
    <row r="125" spans="2:7" s="786" customFormat="1" x14ac:dyDescent="0.3">
      <c r="B125" s="784"/>
      <c r="C125" s="790"/>
      <c r="D125" s="791"/>
      <c r="E125" s="784"/>
      <c r="F125" s="791"/>
      <c r="G125" s="784"/>
    </row>
    <row r="126" spans="2:7" s="786" customFormat="1" x14ac:dyDescent="0.3">
      <c r="B126" s="784"/>
      <c r="C126" s="790"/>
      <c r="D126" s="791"/>
      <c r="E126" s="784"/>
      <c r="F126" s="791"/>
      <c r="G126" s="784"/>
    </row>
    <row r="127" spans="2:7" s="786" customFormat="1" x14ac:dyDescent="0.3">
      <c r="B127" s="784"/>
      <c r="C127" s="790"/>
      <c r="D127" s="791"/>
      <c r="E127" s="784"/>
      <c r="F127" s="791"/>
      <c r="G127" s="784"/>
    </row>
    <row r="128" spans="2:7" s="786" customFormat="1" x14ac:dyDescent="0.3">
      <c r="B128" s="784"/>
      <c r="C128" s="790"/>
      <c r="D128" s="791"/>
      <c r="E128" s="784"/>
      <c r="F128" s="791"/>
      <c r="G128" s="784"/>
    </row>
    <row r="129" spans="2:7" s="786" customFormat="1" x14ac:dyDescent="0.3">
      <c r="B129" s="784"/>
      <c r="C129" s="790"/>
      <c r="D129" s="791"/>
      <c r="E129" s="784"/>
      <c r="F129" s="791"/>
      <c r="G129" s="784"/>
    </row>
    <row r="130" spans="2:7" s="786" customFormat="1" x14ac:dyDescent="0.3">
      <c r="B130" s="784"/>
      <c r="C130" s="790"/>
      <c r="D130" s="791"/>
      <c r="E130" s="784"/>
      <c r="F130" s="791"/>
      <c r="G130" s="784"/>
    </row>
    <row r="131" spans="2:7" s="786" customFormat="1" x14ac:dyDescent="0.3">
      <c r="B131" s="784"/>
      <c r="C131" s="790"/>
      <c r="D131" s="791"/>
      <c r="E131" s="784"/>
      <c r="F131" s="791"/>
      <c r="G131" s="784"/>
    </row>
    <row r="132" spans="2:7" s="786" customFormat="1" x14ac:dyDescent="0.3">
      <c r="B132" s="784"/>
      <c r="C132" s="790"/>
      <c r="D132" s="791"/>
      <c r="E132" s="784"/>
      <c r="F132" s="791"/>
      <c r="G132" s="784"/>
    </row>
    <row r="133" spans="2:7" s="786" customFormat="1" x14ac:dyDescent="0.3">
      <c r="B133" s="784"/>
      <c r="C133" s="790"/>
      <c r="D133" s="791"/>
      <c r="E133" s="784"/>
      <c r="F133" s="791"/>
      <c r="G133" s="784"/>
    </row>
    <row r="134" spans="2:7" s="786" customFormat="1" x14ac:dyDescent="0.3">
      <c r="B134" s="784"/>
      <c r="C134" s="790"/>
      <c r="D134" s="791"/>
      <c r="E134" s="784"/>
      <c r="F134" s="791"/>
      <c r="G134" s="784"/>
    </row>
    <row r="135" spans="2:7" s="786" customFormat="1" x14ac:dyDescent="0.3">
      <c r="B135" s="784"/>
      <c r="C135" s="790"/>
      <c r="D135" s="791"/>
      <c r="E135" s="784"/>
      <c r="F135" s="791"/>
      <c r="G135" s="784"/>
    </row>
    <row r="136" spans="2:7" s="786" customFormat="1" x14ac:dyDescent="0.3">
      <c r="B136" s="784"/>
      <c r="C136" s="790"/>
      <c r="D136" s="791"/>
      <c r="E136" s="784"/>
      <c r="F136" s="791"/>
      <c r="G136" s="784"/>
    </row>
    <row r="137" spans="2:7" s="786" customFormat="1" x14ac:dyDescent="0.3">
      <c r="B137" s="784"/>
      <c r="C137" s="790"/>
      <c r="D137" s="791"/>
      <c r="E137" s="784"/>
      <c r="F137" s="791"/>
      <c r="G137" s="784"/>
    </row>
    <row r="138" spans="2:7" s="786" customFormat="1" x14ac:dyDescent="0.3">
      <c r="B138" s="784"/>
      <c r="C138" s="790"/>
      <c r="D138" s="791"/>
      <c r="E138" s="784"/>
      <c r="F138" s="791"/>
      <c r="G138" s="784"/>
    </row>
    <row r="139" spans="2:7" s="786" customFormat="1" x14ac:dyDescent="0.3">
      <c r="B139" s="784"/>
      <c r="C139" s="790"/>
      <c r="D139" s="791"/>
      <c r="E139" s="784"/>
      <c r="F139" s="791"/>
      <c r="G139" s="784"/>
    </row>
    <row r="140" spans="2:7" s="786" customFormat="1" x14ac:dyDescent="0.3">
      <c r="B140" s="784"/>
      <c r="C140" s="790"/>
      <c r="D140" s="791"/>
      <c r="E140" s="784"/>
      <c r="F140" s="791"/>
      <c r="G140" s="784"/>
    </row>
    <row r="141" spans="2:7" s="786" customFormat="1" x14ac:dyDescent="0.3">
      <c r="B141" s="784"/>
      <c r="C141" s="790"/>
      <c r="D141" s="791"/>
      <c r="E141" s="784"/>
      <c r="F141" s="791"/>
      <c r="G141" s="784"/>
    </row>
    <row r="142" spans="2:7" s="786" customFormat="1" x14ac:dyDescent="0.3">
      <c r="B142" s="784"/>
      <c r="C142" s="790"/>
      <c r="D142" s="791"/>
      <c r="E142" s="784"/>
      <c r="F142" s="791"/>
      <c r="G142" s="784"/>
    </row>
    <row r="143" spans="2:7" s="786" customFormat="1" x14ac:dyDescent="0.3">
      <c r="B143" s="784"/>
      <c r="C143" s="790"/>
      <c r="D143" s="791"/>
      <c r="E143" s="784"/>
      <c r="F143" s="791"/>
      <c r="G143" s="784"/>
    </row>
    <row r="144" spans="2:7" s="786" customFormat="1" x14ac:dyDescent="0.3">
      <c r="B144" s="784"/>
      <c r="C144" s="790"/>
      <c r="D144" s="791"/>
      <c r="E144" s="784"/>
      <c r="F144" s="791"/>
      <c r="G144" s="784"/>
    </row>
    <row r="145" spans="2:7" s="786" customFormat="1" x14ac:dyDescent="0.3">
      <c r="B145" s="784"/>
      <c r="C145" s="790"/>
      <c r="D145" s="791"/>
      <c r="E145" s="784"/>
      <c r="F145" s="791"/>
      <c r="G145" s="784"/>
    </row>
    <row r="146" spans="2:7" s="786" customFormat="1" x14ac:dyDescent="0.3">
      <c r="B146" s="784"/>
      <c r="C146" s="790"/>
      <c r="D146" s="791"/>
      <c r="E146" s="784"/>
      <c r="F146" s="791"/>
      <c r="G146" s="784"/>
    </row>
    <row r="147" spans="2:7" s="786" customFormat="1" x14ac:dyDescent="0.3">
      <c r="B147" s="784"/>
      <c r="C147" s="790"/>
      <c r="D147" s="791"/>
      <c r="E147" s="784"/>
      <c r="F147" s="791"/>
      <c r="G147" s="784"/>
    </row>
    <row r="148" spans="2:7" s="786" customFormat="1" x14ac:dyDescent="0.3">
      <c r="B148" s="784"/>
      <c r="C148" s="790"/>
      <c r="D148" s="791"/>
      <c r="E148" s="784"/>
      <c r="F148" s="791"/>
      <c r="G148" s="784"/>
    </row>
    <row r="149" spans="2:7" s="786" customFormat="1" x14ac:dyDescent="0.3">
      <c r="B149" s="784"/>
      <c r="C149" s="790"/>
      <c r="D149" s="791"/>
      <c r="E149" s="784"/>
      <c r="F149" s="791"/>
      <c r="G149" s="784"/>
    </row>
    <row r="150" spans="2:7" s="786" customFormat="1" x14ac:dyDescent="0.3">
      <c r="B150" s="784"/>
      <c r="C150" s="790"/>
      <c r="D150" s="791"/>
      <c r="E150" s="784"/>
      <c r="F150" s="791"/>
      <c r="G150" s="784"/>
    </row>
    <row r="151" spans="2:7" s="786" customFormat="1" x14ac:dyDescent="0.3">
      <c r="B151" s="784"/>
      <c r="C151" s="790"/>
      <c r="D151" s="791"/>
      <c r="E151" s="784"/>
      <c r="F151" s="791"/>
      <c r="G151" s="784"/>
    </row>
    <row r="152" spans="2:7" s="786" customFormat="1" x14ac:dyDescent="0.3">
      <c r="B152" s="784"/>
      <c r="C152" s="790"/>
      <c r="D152" s="791"/>
      <c r="E152" s="784"/>
      <c r="F152" s="791"/>
      <c r="G152" s="784"/>
    </row>
    <row r="153" spans="2:7" s="786" customFormat="1" x14ac:dyDescent="0.3">
      <c r="B153" s="784"/>
      <c r="C153" s="790"/>
      <c r="D153" s="791"/>
      <c r="E153" s="784"/>
      <c r="F153" s="791"/>
      <c r="G153" s="784"/>
    </row>
    <row r="154" spans="2:7" s="786" customFormat="1" x14ac:dyDescent="0.3">
      <c r="B154" s="784"/>
      <c r="C154" s="790"/>
      <c r="D154" s="791"/>
      <c r="E154" s="784"/>
      <c r="F154" s="791"/>
      <c r="G154" s="784"/>
    </row>
    <row r="155" spans="2:7" s="786" customFormat="1" x14ac:dyDescent="0.3">
      <c r="B155" s="784"/>
      <c r="C155" s="790"/>
      <c r="D155" s="791"/>
      <c r="E155" s="784"/>
      <c r="F155" s="791"/>
      <c r="G155" s="784"/>
    </row>
    <row r="156" spans="2:7" s="786" customFormat="1" x14ac:dyDescent="0.3">
      <c r="B156" s="784"/>
      <c r="C156" s="790"/>
      <c r="D156" s="791"/>
      <c r="E156" s="784"/>
      <c r="F156" s="791"/>
      <c r="G156" s="784"/>
    </row>
    <row r="157" spans="2:7" s="786" customFormat="1" x14ac:dyDescent="0.3">
      <c r="B157" s="784"/>
      <c r="C157" s="790"/>
      <c r="D157" s="791"/>
      <c r="E157" s="784"/>
      <c r="F157" s="791"/>
      <c r="G157" s="784"/>
    </row>
    <row r="158" spans="2:7" s="786" customFormat="1" x14ac:dyDescent="0.3">
      <c r="B158" s="784"/>
      <c r="C158" s="790"/>
      <c r="D158" s="791"/>
      <c r="E158" s="784"/>
      <c r="F158" s="791"/>
      <c r="G158" s="784"/>
    </row>
    <row r="159" spans="2:7" s="786" customFormat="1" x14ac:dyDescent="0.3">
      <c r="B159" s="784"/>
      <c r="C159" s="790"/>
      <c r="D159" s="791"/>
      <c r="E159" s="784"/>
      <c r="F159" s="791"/>
      <c r="G159" s="784"/>
    </row>
    <row r="160" spans="2:7" s="786" customFormat="1" x14ac:dyDescent="0.3">
      <c r="B160" s="784"/>
      <c r="C160" s="790"/>
      <c r="D160" s="791"/>
      <c r="E160" s="784"/>
      <c r="F160" s="791"/>
      <c r="G160" s="784"/>
    </row>
    <row r="161" spans="2:7" s="786" customFormat="1" x14ac:dyDescent="0.3">
      <c r="B161" s="784"/>
      <c r="C161" s="790"/>
      <c r="D161" s="791"/>
      <c r="E161" s="784"/>
      <c r="F161" s="791"/>
      <c r="G161" s="784"/>
    </row>
    <row r="162" spans="2:7" s="786" customFormat="1" x14ac:dyDescent="0.3">
      <c r="B162" s="784"/>
      <c r="C162" s="790"/>
      <c r="D162" s="791"/>
      <c r="E162" s="784"/>
      <c r="F162" s="791"/>
      <c r="G162" s="784"/>
    </row>
    <row r="163" spans="2:7" s="786" customFormat="1" x14ac:dyDescent="0.3">
      <c r="B163" s="784"/>
      <c r="C163" s="790"/>
      <c r="D163" s="791"/>
      <c r="E163" s="784"/>
      <c r="F163" s="791"/>
      <c r="G163" s="784"/>
    </row>
    <row r="164" spans="2:7" s="786" customFormat="1" x14ac:dyDescent="0.3">
      <c r="B164" s="784"/>
      <c r="C164" s="790"/>
      <c r="D164" s="791"/>
      <c r="E164" s="784"/>
      <c r="F164" s="791"/>
      <c r="G164" s="784"/>
    </row>
    <row r="165" spans="2:7" s="786" customFormat="1" x14ac:dyDescent="0.3">
      <c r="B165" s="784"/>
      <c r="C165" s="790"/>
      <c r="D165" s="791"/>
      <c r="E165" s="784"/>
      <c r="F165" s="791"/>
      <c r="G165" s="784"/>
    </row>
    <row r="166" spans="2:7" s="786" customFormat="1" x14ac:dyDescent="0.3">
      <c r="B166" s="784"/>
      <c r="C166" s="790"/>
      <c r="D166" s="791"/>
      <c r="E166" s="784"/>
      <c r="F166" s="791"/>
      <c r="G166" s="784"/>
    </row>
    <row r="167" spans="2:7" s="786" customFormat="1" x14ac:dyDescent="0.3">
      <c r="B167" s="784"/>
      <c r="C167" s="790"/>
      <c r="D167" s="791"/>
      <c r="E167" s="784"/>
      <c r="F167" s="791"/>
      <c r="G167" s="784"/>
    </row>
    <row r="168" spans="2:7" s="786" customFormat="1" x14ac:dyDescent="0.3">
      <c r="B168" s="784"/>
      <c r="C168" s="790"/>
      <c r="D168" s="791"/>
      <c r="E168" s="784"/>
      <c r="F168" s="791"/>
      <c r="G168" s="784"/>
    </row>
    <row r="169" spans="2:7" s="786" customFormat="1" x14ac:dyDescent="0.3">
      <c r="B169" s="784"/>
      <c r="C169" s="790"/>
      <c r="D169" s="791"/>
      <c r="E169" s="784"/>
      <c r="F169" s="791"/>
      <c r="G169" s="784"/>
    </row>
    <row r="170" spans="2:7" s="786" customFormat="1" x14ac:dyDescent="0.3">
      <c r="B170" s="784"/>
      <c r="C170" s="790"/>
      <c r="D170" s="791"/>
      <c r="E170" s="784"/>
      <c r="F170" s="791"/>
      <c r="G170" s="784"/>
    </row>
    <row r="171" spans="2:7" s="786" customFormat="1" x14ac:dyDescent="0.3">
      <c r="B171" s="784"/>
      <c r="C171" s="790"/>
      <c r="D171" s="791"/>
      <c r="E171" s="784"/>
      <c r="F171" s="791"/>
      <c r="G171" s="784"/>
    </row>
    <row r="172" spans="2:7" s="786" customFormat="1" x14ac:dyDescent="0.3">
      <c r="B172" s="784"/>
      <c r="C172" s="790"/>
      <c r="D172" s="791"/>
      <c r="E172" s="784"/>
      <c r="F172" s="791"/>
      <c r="G172" s="784"/>
    </row>
    <row r="173" spans="2:7" s="786" customFormat="1" x14ac:dyDescent="0.3">
      <c r="B173" s="784"/>
      <c r="C173" s="790"/>
      <c r="D173" s="791"/>
      <c r="E173" s="784"/>
      <c r="F173" s="791"/>
      <c r="G173" s="784"/>
    </row>
    <row r="174" spans="2:7" s="786" customFormat="1" x14ac:dyDescent="0.3">
      <c r="B174" s="784"/>
      <c r="C174" s="790"/>
      <c r="D174" s="791"/>
      <c r="E174" s="784"/>
      <c r="F174" s="791"/>
      <c r="G174" s="784"/>
    </row>
    <row r="175" spans="2:7" s="786" customFormat="1" x14ac:dyDescent="0.3">
      <c r="B175" s="784"/>
      <c r="C175" s="790"/>
      <c r="D175" s="791"/>
      <c r="E175" s="784"/>
      <c r="F175" s="791"/>
      <c r="G175" s="784"/>
    </row>
    <row r="176" spans="2:7" s="786" customFormat="1" x14ac:dyDescent="0.3">
      <c r="B176" s="784"/>
      <c r="C176" s="790"/>
      <c r="D176" s="791"/>
      <c r="E176" s="784"/>
      <c r="F176" s="791"/>
      <c r="G176" s="784"/>
    </row>
    <row r="177" spans="2:7" s="786" customFormat="1" x14ac:dyDescent="0.3">
      <c r="B177" s="784"/>
      <c r="C177" s="790"/>
      <c r="D177" s="791"/>
      <c r="E177" s="784"/>
      <c r="F177" s="791"/>
      <c r="G177" s="784"/>
    </row>
    <row r="178" spans="2:7" s="786" customFormat="1" x14ac:dyDescent="0.3">
      <c r="B178" s="784"/>
      <c r="C178" s="790"/>
      <c r="D178" s="791"/>
      <c r="E178" s="784"/>
      <c r="F178" s="791"/>
      <c r="G178" s="784"/>
    </row>
    <row r="179" spans="2:7" s="786" customFormat="1" x14ac:dyDescent="0.3">
      <c r="B179" s="784"/>
      <c r="C179" s="790"/>
      <c r="D179" s="791"/>
      <c r="E179" s="784"/>
      <c r="F179" s="791"/>
      <c r="G179" s="784"/>
    </row>
    <row r="180" spans="2:7" s="786" customFormat="1" x14ac:dyDescent="0.3">
      <c r="B180" s="784"/>
      <c r="C180" s="790"/>
      <c r="D180" s="791"/>
      <c r="E180" s="784"/>
      <c r="F180" s="791"/>
      <c r="G180" s="784"/>
    </row>
    <row r="181" spans="2:7" s="786" customFormat="1" x14ac:dyDescent="0.3">
      <c r="B181" s="784"/>
      <c r="C181" s="790"/>
      <c r="D181" s="791"/>
      <c r="E181" s="784"/>
      <c r="F181" s="791"/>
      <c r="G181" s="784"/>
    </row>
    <row r="182" spans="2:7" s="786" customFormat="1" x14ac:dyDescent="0.3">
      <c r="B182" s="784"/>
      <c r="C182" s="790"/>
      <c r="D182" s="791"/>
      <c r="E182" s="784"/>
      <c r="F182" s="791"/>
      <c r="G182" s="784"/>
    </row>
    <row r="183" spans="2:7" s="786" customFormat="1" x14ac:dyDescent="0.3">
      <c r="B183" s="784"/>
      <c r="C183" s="790"/>
      <c r="D183" s="791"/>
      <c r="E183" s="784"/>
      <c r="F183" s="791"/>
      <c r="G183" s="784"/>
    </row>
    <row r="184" spans="2:7" s="786" customFormat="1" x14ac:dyDescent="0.3">
      <c r="B184" s="784"/>
      <c r="C184" s="790"/>
      <c r="D184" s="791"/>
      <c r="E184" s="784"/>
      <c r="F184" s="791"/>
      <c r="G184" s="784"/>
    </row>
    <row r="185" spans="2:7" s="786" customFormat="1" x14ac:dyDescent="0.3">
      <c r="B185" s="784"/>
      <c r="C185" s="790"/>
      <c r="D185" s="791"/>
      <c r="E185" s="784"/>
      <c r="F185" s="791"/>
      <c r="G185" s="784"/>
    </row>
    <row r="186" spans="2:7" s="786" customFormat="1" x14ac:dyDescent="0.3">
      <c r="B186" s="784"/>
      <c r="C186" s="790"/>
      <c r="D186" s="791"/>
      <c r="E186" s="784"/>
      <c r="F186" s="791"/>
      <c r="G186" s="784"/>
    </row>
    <row r="187" spans="2:7" s="786" customFormat="1" x14ac:dyDescent="0.3">
      <c r="B187" s="784"/>
      <c r="C187" s="790"/>
      <c r="D187" s="791"/>
      <c r="E187" s="784"/>
      <c r="F187" s="791"/>
      <c r="G187" s="784"/>
    </row>
    <row r="188" spans="2:7" s="786" customFormat="1" x14ac:dyDescent="0.3">
      <c r="B188" s="784"/>
      <c r="C188" s="790"/>
      <c r="D188" s="791"/>
      <c r="E188" s="784"/>
      <c r="F188" s="791"/>
      <c r="G188" s="784"/>
    </row>
    <row r="189" spans="2:7" s="786" customFormat="1" x14ac:dyDescent="0.3">
      <c r="B189" s="784"/>
      <c r="C189" s="790"/>
      <c r="D189" s="791"/>
      <c r="E189" s="784"/>
      <c r="F189" s="791"/>
      <c r="G189" s="784"/>
    </row>
    <row r="190" spans="2:7" s="786" customFormat="1" x14ac:dyDescent="0.3">
      <c r="B190" s="784"/>
      <c r="C190" s="790"/>
      <c r="D190" s="791"/>
      <c r="E190" s="784"/>
      <c r="F190" s="791"/>
      <c r="G190" s="784"/>
    </row>
    <row r="191" spans="2:7" s="786" customFormat="1" x14ac:dyDescent="0.3">
      <c r="B191" s="784"/>
      <c r="C191" s="790"/>
      <c r="D191" s="791"/>
      <c r="E191" s="784"/>
      <c r="F191" s="791"/>
      <c r="G191" s="784"/>
    </row>
    <row r="192" spans="2:7" s="786" customFormat="1" x14ac:dyDescent="0.3">
      <c r="B192" s="784"/>
      <c r="C192" s="790"/>
      <c r="D192" s="791"/>
      <c r="E192" s="784"/>
      <c r="F192" s="791"/>
      <c r="G192" s="784"/>
    </row>
    <row r="193" spans="2:7" s="786" customFormat="1" x14ac:dyDescent="0.3">
      <c r="B193" s="784"/>
      <c r="C193" s="790"/>
      <c r="D193" s="791"/>
      <c r="E193" s="784"/>
      <c r="F193" s="791"/>
      <c r="G193" s="784"/>
    </row>
    <row r="194" spans="2:7" s="786" customFormat="1" x14ac:dyDescent="0.3">
      <c r="B194" s="784"/>
      <c r="C194" s="790"/>
      <c r="D194" s="791"/>
      <c r="E194" s="784"/>
      <c r="F194" s="791"/>
      <c r="G194" s="784"/>
    </row>
    <row r="195" spans="2:7" s="786" customFormat="1" x14ac:dyDescent="0.3">
      <c r="B195" s="784"/>
      <c r="C195" s="790"/>
      <c r="D195" s="791"/>
      <c r="E195" s="784"/>
      <c r="F195" s="791"/>
      <c r="G195" s="784"/>
    </row>
    <row r="196" spans="2:7" s="786" customFormat="1" x14ac:dyDescent="0.3">
      <c r="B196" s="784"/>
      <c r="C196" s="790"/>
      <c r="D196" s="791"/>
      <c r="E196" s="784"/>
      <c r="F196" s="791"/>
      <c r="G196" s="784"/>
    </row>
    <row r="197" spans="2:7" s="786" customFormat="1" x14ac:dyDescent="0.3">
      <c r="B197" s="784"/>
      <c r="C197" s="790"/>
      <c r="D197" s="791"/>
      <c r="E197" s="784"/>
      <c r="F197" s="791"/>
      <c r="G197" s="784"/>
    </row>
    <row r="198" spans="2:7" s="786" customFormat="1" x14ac:dyDescent="0.3">
      <c r="B198" s="784"/>
      <c r="C198" s="790"/>
      <c r="D198" s="791"/>
      <c r="E198" s="784"/>
      <c r="F198" s="791"/>
      <c r="G198" s="784"/>
    </row>
    <row r="199" spans="2:7" s="786" customFormat="1" x14ac:dyDescent="0.3">
      <c r="B199" s="784"/>
      <c r="C199" s="790"/>
      <c r="D199" s="791"/>
      <c r="E199" s="784"/>
      <c r="F199" s="791"/>
      <c r="G199" s="784"/>
    </row>
    <row r="200" spans="2:7" s="786" customFormat="1" x14ac:dyDescent="0.3">
      <c r="B200" s="784"/>
      <c r="C200" s="790"/>
      <c r="D200" s="791"/>
      <c r="E200" s="784"/>
      <c r="F200" s="791"/>
      <c r="G200" s="784"/>
    </row>
    <row r="201" spans="2:7" s="786" customFormat="1" x14ac:dyDescent="0.3">
      <c r="B201" s="784"/>
      <c r="C201" s="790"/>
      <c r="D201" s="791"/>
      <c r="E201" s="784"/>
      <c r="F201" s="791"/>
      <c r="G201" s="784"/>
    </row>
    <row r="202" spans="2:7" s="786" customFormat="1" x14ac:dyDescent="0.3">
      <c r="B202" s="784"/>
      <c r="C202" s="790"/>
      <c r="D202" s="791"/>
      <c r="E202" s="784"/>
      <c r="F202" s="791"/>
      <c r="G202" s="784"/>
    </row>
    <row r="203" spans="2:7" s="786" customFormat="1" x14ac:dyDescent="0.3">
      <c r="B203" s="784"/>
      <c r="C203" s="790"/>
      <c r="D203" s="791"/>
      <c r="E203" s="784"/>
      <c r="F203" s="791"/>
      <c r="G203" s="784"/>
    </row>
    <row r="204" spans="2:7" s="786" customFormat="1" x14ac:dyDescent="0.3">
      <c r="B204" s="784"/>
      <c r="C204" s="790"/>
      <c r="D204" s="791"/>
      <c r="E204" s="784"/>
      <c r="F204" s="791"/>
      <c r="G204" s="784"/>
    </row>
    <row r="205" spans="2:7" s="786" customFormat="1" x14ac:dyDescent="0.3">
      <c r="B205" s="784"/>
      <c r="C205" s="790"/>
      <c r="D205" s="791"/>
      <c r="E205" s="784"/>
      <c r="F205" s="791"/>
      <c r="G205" s="784"/>
    </row>
    <row r="206" spans="2:7" s="786" customFormat="1" x14ac:dyDescent="0.3">
      <c r="B206" s="784"/>
      <c r="C206" s="790"/>
      <c r="D206" s="791"/>
      <c r="E206" s="784"/>
      <c r="F206" s="791"/>
      <c r="G206" s="784"/>
    </row>
    <row r="207" spans="2:7" s="786" customFormat="1" x14ac:dyDescent="0.3">
      <c r="B207" s="784"/>
      <c r="C207" s="790"/>
      <c r="D207" s="791"/>
      <c r="E207" s="784"/>
      <c r="F207" s="791"/>
      <c r="G207" s="784"/>
    </row>
    <row r="208" spans="2:7" s="786" customFormat="1" x14ac:dyDescent="0.3">
      <c r="B208" s="784"/>
      <c r="C208" s="790"/>
      <c r="D208" s="791"/>
      <c r="E208" s="784"/>
      <c r="F208" s="791"/>
      <c r="G208" s="784"/>
    </row>
    <row r="209" spans="2:7" s="786" customFormat="1" x14ac:dyDescent="0.3">
      <c r="B209" s="784"/>
      <c r="C209" s="790"/>
      <c r="D209" s="791"/>
      <c r="E209" s="784"/>
      <c r="F209" s="791"/>
      <c r="G209" s="784"/>
    </row>
    <row r="210" spans="2:7" s="786" customFormat="1" x14ac:dyDescent="0.3">
      <c r="B210" s="784"/>
      <c r="C210" s="790"/>
      <c r="D210" s="791"/>
      <c r="E210" s="784"/>
      <c r="F210" s="791"/>
      <c r="G210" s="784"/>
    </row>
    <row r="211" spans="2:7" s="786" customFormat="1" x14ac:dyDescent="0.3">
      <c r="B211" s="784"/>
      <c r="C211" s="790"/>
      <c r="D211" s="791"/>
      <c r="E211" s="784"/>
      <c r="F211" s="791"/>
      <c r="G211" s="784"/>
    </row>
    <row r="212" spans="2:7" s="786" customFormat="1" x14ac:dyDescent="0.3">
      <c r="B212" s="784"/>
      <c r="C212" s="790"/>
      <c r="D212" s="791"/>
      <c r="E212" s="784"/>
      <c r="F212" s="791"/>
      <c r="G212" s="784"/>
    </row>
    <row r="213" spans="2:7" s="786" customFormat="1" x14ac:dyDescent="0.3">
      <c r="B213" s="784"/>
      <c r="C213" s="790"/>
      <c r="D213" s="791"/>
      <c r="E213" s="784"/>
      <c r="F213" s="791"/>
      <c r="G213" s="784"/>
    </row>
    <row r="214" spans="2:7" s="786" customFormat="1" x14ac:dyDescent="0.3">
      <c r="B214" s="784"/>
      <c r="C214" s="790"/>
      <c r="D214" s="791"/>
      <c r="E214" s="784"/>
      <c r="F214" s="791"/>
      <c r="G214" s="784"/>
    </row>
    <row r="215" spans="2:7" s="786" customFormat="1" x14ac:dyDescent="0.3">
      <c r="B215" s="784"/>
      <c r="C215" s="790"/>
      <c r="D215" s="791"/>
      <c r="E215" s="784"/>
      <c r="F215" s="791"/>
      <c r="G215" s="784"/>
    </row>
    <row r="216" spans="2:7" s="786" customFormat="1" x14ac:dyDescent="0.3">
      <c r="B216" s="784"/>
      <c r="C216" s="790"/>
      <c r="D216" s="791"/>
      <c r="E216" s="784"/>
      <c r="F216" s="791"/>
      <c r="G216" s="784"/>
    </row>
    <row r="217" spans="2:7" s="786" customFormat="1" x14ac:dyDescent="0.3">
      <c r="B217" s="784"/>
      <c r="C217" s="790"/>
      <c r="D217" s="791"/>
      <c r="E217" s="784"/>
      <c r="F217" s="791"/>
      <c r="G217" s="784"/>
    </row>
    <row r="218" spans="2:7" s="786" customFormat="1" x14ac:dyDescent="0.3">
      <c r="B218" s="784"/>
      <c r="C218" s="790"/>
      <c r="D218" s="791"/>
      <c r="E218" s="784"/>
      <c r="F218" s="791"/>
      <c r="G218" s="784"/>
    </row>
    <row r="219" spans="2:7" s="786" customFormat="1" x14ac:dyDescent="0.3">
      <c r="B219" s="784"/>
      <c r="C219" s="790"/>
      <c r="D219" s="791"/>
      <c r="E219" s="784"/>
      <c r="F219" s="791"/>
      <c r="G219" s="784"/>
    </row>
    <row r="220" spans="2:7" s="786" customFormat="1" x14ac:dyDescent="0.3">
      <c r="B220" s="784"/>
      <c r="C220" s="790"/>
      <c r="D220" s="791"/>
      <c r="E220" s="784"/>
      <c r="F220" s="791"/>
      <c r="G220" s="784"/>
    </row>
    <row r="221" spans="2:7" s="786" customFormat="1" x14ac:dyDescent="0.3">
      <c r="B221" s="784"/>
      <c r="C221" s="790"/>
      <c r="D221" s="791"/>
      <c r="E221" s="784"/>
      <c r="F221" s="791"/>
      <c r="G221" s="784"/>
    </row>
    <row r="222" spans="2:7" s="786" customFormat="1" x14ac:dyDescent="0.3">
      <c r="B222" s="784"/>
      <c r="C222" s="790"/>
      <c r="D222" s="791"/>
      <c r="E222" s="784"/>
      <c r="F222" s="791"/>
      <c r="G222" s="784"/>
    </row>
    <row r="223" spans="2:7" s="786" customFormat="1" x14ac:dyDescent="0.3">
      <c r="B223" s="784"/>
      <c r="C223" s="790"/>
      <c r="D223" s="791"/>
      <c r="E223" s="784"/>
      <c r="F223" s="791"/>
      <c r="G223" s="784"/>
    </row>
    <row r="224" spans="2:7" s="786" customFormat="1" x14ac:dyDescent="0.3">
      <c r="B224" s="784"/>
      <c r="C224" s="790"/>
      <c r="D224" s="791"/>
      <c r="E224" s="784"/>
      <c r="F224" s="791"/>
      <c r="G224" s="784"/>
    </row>
    <row r="225" spans="2:7" s="786" customFormat="1" x14ac:dyDescent="0.3">
      <c r="B225" s="784"/>
      <c r="C225" s="790"/>
      <c r="D225" s="791"/>
      <c r="E225" s="784"/>
      <c r="F225" s="791"/>
      <c r="G225" s="784"/>
    </row>
    <row r="226" spans="2:7" s="786" customFormat="1" x14ac:dyDescent="0.3">
      <c r="B226" s="784"/>
      <c r="C226" s="790"/>
      <c r="D226" s="791"/>
      <c r="E226" s="784"/>
      <c r="F226" s="791"/>
      <c r="G226" s="784"/>
    </row>
    <row r="227" spans="2:7" s="786" customFormat="1" x14ac:dyDescent="0.3">
      <c r="B227" s="784"/>
      <c r="C227" s="790"/>
      <c r="D227" s="791"/>
      <c r="E227" s="784"/>
      <c r="F227" s="791"/>
      <c r="G227" s="784"/>
    </row>
    <row r="228" spans="2:7" s="786" customFormat="1" x14ac:dyDescent="0.3">
      <c r="B228" s="784"/>
      <c r="C228" s="790"/>
      <c r="D228" s="791"/>
      <c r="E228" s="784"/>
      <c r="F228" s="791"/>
      <c r="G228" s="784"/>
    </row>
    <row r="229" spans="2:7" s="786" customFormat="1" x14ac:dyDescent="0.3">
      <c r="B229" s="784"/>
      <c r="C229" s="790"/>
      <c r="D229" s="791"/>
      <c r="E229" s="784"/>
      <c r="F229" s="791"/>
      <c r="G229" s="784"/>
    </row>
    <row r="230" spans="2:7" s="786" customFormat="1" x14ac:dyDescent="0.3">
      <c r="B230" s="784"/>
      <c r="C230" s="790"/>
      <c r="D230" s="791"/>
      <c r="E230" s="784"/>
      <c r="F230" s="791"/>
      <c r="G230" s="784"/>
    </row>
    <row r="231" spans="2:7" s="786" customFormat="1" x14ac:dyDescent="0.3">
      <c r="B231" s="784"/>
      <c r="C231" s="790"/>
      <c r="D231" s="791"/>
      <c r="E231" s="784"/>
      <c r="F231" s="791"/>
      <c r="G231" s="784"/>
    </row>
    <row r="232" spans="2:7" s="786" customFormat="1" x14ac:dyDescent="0.3">
      <c r="B232" s="784"/>
      <c r="C232" s="790"/>
      <c r="D232" s="791"/>
      <c r="E232" s="784"/>
      <c r="F232" s="791"/>
      <c r="G232" s="784"/>
    </row>
    <row r="233" spans="2:7" s="786" customFormat="1" x14ac:dyDescent="0.3">
      <c r="B233" s="784"/>
      <c r="C233" s="790"/>
      <c r="D233" s="791"/>
      <c r="E233" s="784"/>
      <c r="F233" s="791"/>
      <c r="G233" s="784"/>
    </row>
    <row r="234" spans="2:7" s="786" customFormat="1" x14ac:dyDescent="0.3">
      <c r="B234" s="784"/>
      <c r="C234" s="790"/>
      <c r="D234" s="791"/>
      <c r="E234" s="784"/>
      <c r="F234" s="791"/>
      <c r="G234" s="784"/>
    </row>
    <row r="235" spans="2:7" s="786" customFormat="1" x14ac:dyDescent="0.3">
      <c r="B235" s="784"/>
      <c r="C235" s="790"/>
      <c r="D235" s="791"/>
      <c r="E235" s="784"/>
      <c r="F235" s="791"/>
      <c r="G235" s="784"/>
    </row>
    <row r="236" spans="2:7" s="786" customFormat="1" x14ac:dyDescent="0.3">
      <c r="B236" s="784"/>
      <c r="C236" s="790"/>
      <c r="D236" s="791"/>
      <c r="E236" s="784"/>
      <c r="F236" s="791"/>
      <c r="G236" s="784"/>
    </row>
    <row r="237" spans="2:7" s="786" customFormat="1" x14ac:dyDescent="0.3">
      <c r="B237" s="784"/>
      <c r="C237" s="790"/>
      <c r="D237" s="791"/>
      <c r="E237" s="784"/>
      <c r="F237" s="791"/>
      <c r="G237" s="784"/>
    </row>
    <row r="238" spans="2:7" s="786" customFormat="1" x14ac:dyDescent="0.3">
      <c r="B238" s="784"/>
      <c r="C238" s="790"/>
      <c r="D238" s="791"/>
      <c r="E238" s="784"/>
      <c r="F238" s="791"/>
      <c r="G238" s="784"/>
    </row>
    <row r="239" spans="2:7" s="786" customFormat="1" x14ac:dyDescent="0.3">
      <c r="B239" s="784"/>
      <c r="C239" s="790"/>
      <c r="D239" s="791"/>
      <c r="E239" s="784"/>
      <c r="F239" s="791"/>
      <c r="G239" s="784"/>
    </row>
    <row r="240" spans="2:7" s="786" customFormat="1" x14ac:dyDescent="0.3">
      <c r="B240" s="784"/>
      <c r="C240" s="790"/>
      <c r="D240" s="791"/>
      <c r="E240" s="784"/>
      <c r="F240" s="791"/>
      <c r="G240" s="784"/>
    </row>
    <row r="241" spans="2:7" s="786" customFormat="1" x14ac:dyDescent="0.3">
      <c r="B241" s="784"/>
      <c r="C241" s="790"/>
      <c r="D241" s="791"/>
      <c r="E241" s="784"/>
      <c r="F241" s="791"/>
      <c r="G241" s="784"/>
    </row>
    <row r="242" spans="2:7" s="786" customFormat="1" x14ac:dyDescent="0.3">
      <c r="B242" s="784"/>
      <c r="C242" s="790"/>
      <c r="D242" s="791"/>
      <c r="E242" s="784"/>
      <c r="F242" s="791"/>
      <c r="G242" s="784"/>
    </row>
    <row r="243" spans="2:7" s="786" customFormat="1" x14ac:dyDescent="0.3">
      <c r="B243" s="784"/>
      <c r="C243" s="790"/>
      <c r="D243" s="791"/>
      <c r="E243" s="784"/>
      <c r="F243" s="791"/>
      <c r="G243" s="784"/>
    </row>
    <row r="244" spans="2:7" s="786" customFormat="1" x14ac:dyDescent="0.3">
      <c r="B244" s="784"/>
      <c r="C244" s="790"/>
      <c r="D244" s="791"/>
      <c r="E244" s="784"/>
      <c r="F244" s="791"/>
      <c r="G244" s="784"/>
    </row>
    <row r="245" spans="2:7" s="786" customFormat="1" x14ac:dyDescent="0.3">
      <c r="B245" s="784"/>
      <c r="C245" s="790"/>
      <c r="D245" s="791"/>
      <c r="E245" s="784"/>
      <c r="F245" s="791"/>
      <c r="G245" s="784"/>
    </row>
    <row r="246" spans="2:7" s="786" customFormat="1" x14ac:dyDescent="0.3">
      <c r="B246" s="784"/>
      <c r="C246" s="790"/>
      <c r="D246" s="791"/>
      <c r="E246" s="784"/>
      <c r="F246" s="791"/>
      <c r="G246" s="784"/>
    </row>
    <row r="247" spans="2:7" s="786" customFormat="1" x14ac:dyDescent="0.3">
      <c r="B247" s="784"/>
      <c r="C247" s="790"/>
      <c r="D247" s="791"/>
      <c r="E247" s="784"/>
      <c r="F247" s="791"/>
      <c r="G247" s="784"/>
    </row>
    <row r="248" spans="2:7" s="786" customFormat="1" x14ac:dyDescent="0.3">
      <c r="B248" s="784"/>
      <c r="C248" s="790"/>
      <c r="D248" s="791"/>
      <c r="E248" s="784"/>
      <c r="F248" s="791"/>
      <c r="G248" s="784"/>
    </row>
    <row r="249" spans="2:7" s="786" customFormat="1" x14ac:dyDescent="0.3">
      <c r="B249" s="784"/>
      <c r="C249" s="790"/>
      <c r="D249" s="791"/>
      <c r="E249" s="784"/>
      <c r="F249" s="791"/>
      <c r="G249" s="784"/>
    </row>
    <row r="250" spans="2:7" s="786" customFormat="1" x14ac:dyDescent="0.3">
      <c r="B250" s="784"/>
      <c r="C250" s="790"/>
      <c r="D250" s="791"/>
      <c r="E250" s="784"/>
      <c r="F250" s="791"/>
      <c r="G250" s="784"/>
    </row>
    <row r="251" spans="2:7" s="786" customFormat="1" x14ac:dyDescent="0.3">
      <c r="B251" s="784"/>
      <c r="C251" s="790"/>
      <c r="D251" s="791"/>
      <c r="E251" s="784"/>
      <c r="F251" s="791"/>
      <c r="G251" s="784"/>
    </row>
    <row r="252" spans="2:7" s="786" customFormat="1" x14ac:dyDescent="0.3">
      <c r="B252" s="784"/>
      <c r="C252" s="790"/>
      <c r="D252" s="791"/>
      <c r="E252" s="784"/>
      <c r="F252" s="791"/>
      <c r="G252" s="784"/>
    </row>
    <row r="253" spans="2:7" s="786" customFormat="1" x14ac:dyDescent="0.3">
      <c r="B253" s="784"/>
      <c r="C253" s="790"/>
      <c r="D253" s="791"/>
      <c r="E253" s="784"/>
      <c r="F253" s="791"/>
      <c r="G253" s="784"/>
    </row>
    <row r="254" spans="2:7" s="786" customFormat="1" x14ac:dyDescent="0.3">
      <c r="B254" s="784"/>
      <c r="C254" s="790"/>
      <c r="D254" s="791"/>
      <c r="E254" s="784"/>
      <c r="F254" s="791"/>
      <c r="G254" s="784"/>
    </row>
    <row r="255" spans="2:7" s="786" customFormat="1" x14ac:dyDescent="0.3">
      <c r="B255" s="784"/>
      <c r="C255" s="790"/>
      <c r="D255" s="791"/>
      <c r="E255" s="784"/>
      <c r="F255" s="791"/>
      <c r="G255" s="784"/>
    </row>
    <row r="256" spans="2:7" s="786" customFormat="1" x14ac:dyDescent="0.3">
      <c r="B256" s="784"/>
      <c r="C256" s="790"/>
      <c r="D256" s="791"/>
      <c r="E256" s="784"/>
      <c r="F256" s="791"/>
      <c r="G256" s="784"/>
    </row>
    <row r="257" spans="2:7" s="786" customFormat="1" x14ac:dyDescent="0.3">
      <c r="B257" s="784"/>
      <c r="C257" s="790"/>
      <c r="D257" s="791"/>
      <c r="E257" s="784"/>
      <c r="F257" s="791"/>
      <c r="G257" s="784"/>
    </row>
    <row r="258" spans="2:7" s="786" customFormat="1" x14ac:dyDescent="0.3">
      <c r="B258" s="784"/>
      <c r="C258" s="790"/>
      <c r="D258" s="791"/>
      <c r="E258" s="784"/>
      <c r="F258" s="791"/>
      <c r="G258" s="784"/>
    </row>
    <row r="259" spans="2:7" s="786" customFormat="1" x14ac:dyDescent="0.3">
      <c r="B259" s="784"/>
      <c r="C259" s="790"/>
      <c r="D259" s="791"/>
      <c r="E259" s="784"/>
      <c r="F259" s="791"/>
      <c r="G259" s="784"/>
    </row>
    <row r="260" spans="2:7" s="786" customFormat="1" x14ac:dyDescent="0.3">
      <c r="B260" s="784"/>
      <c r="C260" s="790"/>
      <c r="D260" s="791"/>
      <c r="E260" s="784"/>
      <c r="F260" s="791"/>
      <c r="G260" s="784"/>
    </row>
    <row r="261" spans="2:7" s="786" customFormat="1" x14ac:dyDescent="0.3">
      <c r="B261" s="784"/>
      <c r="C261" s="790"/>
      <c r="D261" s="791"/>
      <c r="E261" s="784"/>
      <c r="F261" s="791"/>
      <c r="G261" s="784"/>
    </row>
    <row r="262" spans="2:7" s="786" customFormat="1" x14ac:dyDescent="0.3">
      <c r="B262" s="784"/>
      <c r="C262" s="790"/>
      <c r="D262" s="791"/>
      <c r="E262" s="784"/>
      <c r="F262" s="791"/>
      <c r="G262" s="784"/>
    </row>
    <row r="263" spans="2:7" s="786" customFormat="1" x14ac:dyDescent="0.3">
      <c r="B263" s="784"/>
      <c r="C263" s="790"/>
      <c r="D263" s="791"/>
      <c r="E263" s="784"/>
      <c r="F263" s="791"/>
      <c r="G263" s="784"/>
    </row>
    <row r="264" spans="2:7" s="786" customFormat="1" x14ac:dyDescent="0.3">
      <c r="B264" s="784"/>
      <c r="C264" s="790"/>
      <c r="D264" s="791"/>
      <c r="E264" s="784"/>
      <c r="F264" s="791"/>
      <c r="G264" s="784"/>
    </row>
    <row r="265" spans="2:7" s="786" customFormat="1" x14ac:dyDescent="0.3">
      <c r="B265" s="784"/>
      <c r="C265" s="790"/>
      <c r="D265" s="791"/>
      <c r="E265" s="784"/>
      <c r="F265" s="791"/>
      <c r="G265" s="784"/>
    </row>
    <row r="266" spans="2:7" s="786" customFormat="1" x14ac:dyDescent="0.3">
      <c r="B266" s="784"/>
      <c r="C266" s="790"/>
      <c r="D266" s="791"/>
      <c r="E266" s="784"/>
      <c r="F266" s="791"/>
      <c r="G266" s="784"/>
    </row>
    <row r="267" spans="2:7" s="786" customFormat="1" x14ac:dyDescent="0.3">
      <c r="B267" s="784"/>
      <c r="C267" s="790"/>
      <c r="D267" s="791"/>
      <c r="E267" s="784"/>
      <c r="F267" s="791"/>
      <c r="G267" s="784"/>
    </row>
    <row r="268" spans="2:7" s="786" customFormat="1" x14ac:dyDescent="0.3">
      <c r="B268" s="784"/>
      <c r="C268" s="790"/>
      <c r="D268" s="791"/>
      <c r="E268" s="784"/>
      <c r="F268" s="791"/>
      <c r="G268" s="784"/>
    </row>
    <row r="269" spans="2:7" s="786" customFormat="1" x14ac:dyDescent="0.3">
      <c r="B269" s="784"/>
      <c r="C269" s="790"/>
      <c r="D269" s="791"/>
      <c r="E269" s="784"/>
      <c r="F269" s="791"/>
      <c r="G269" s="784"/>
    </row>
    <row r="270" spans="2:7" s="786" customFormat="1" x14ac:dyDescent="0.3">
      <c r="B270" s="784"/>
      <c r="C270" s="790"/>
      <c r="D270" s="791"/>
      <c r="E270" s="784"/>
      <c r="F270" s="791"/>
      <c r="G270" s="784"/>
    </row>
    <row r="271" spans="2:7" s="786" customFormat="1" x14ac:dyDescent="0.3">
      <c r="B271" s="784"/>
      <c r="C271" s="790"/>
      <c r="D271" s="791"/>
      <c r="E271" s="784"/>
      <c r="F271" s="791"/>
      <c r="G271" s="784"/>
    </row>
    <row r="272" spans="2:7" s="786" customFormat="1" x14ac:dyDescent="0.3">
      <c r="B272" s="784"/>
      <c r="C272" s="790"/>
      <c r="D272" s="791"/>
      <c r="E272" s="784"/>
      <c r="F272" s="791"/>
      <c r="G272" s="784"/>
    </row>
    <row r="273" spans="2:7" s="786" customFormat="1" x14ac:dyDescent="0.3">
      <c r="B273" s="784"/>
      <c r="C273" s="790"/>
      <c r="D273" s="791"/>
      <c r="E273" s="784"/>
      <c r="F273" s="791"/>
      <c r="G273" s="784"/>
    </row>
    <row r="274" spans="2:7" s="786" customFormat="1" x14ac:dyDescent="0.3">
      <c r="B274" s="784"/>
      <c r="C274" s="790"/>
      <c r="D274" s="791"/>
      <c r="E274" s="784"/>
      <c r="F274" s="791"/>
      <c r="G274" s="784"/>
    </row>
    <row r="275" spans="2:7" s="786" customFormat="1" x14ac:dyDescent="0.3">
      <c r="B275" s="784"/>
      <c r="C275" s="790"/>
      <c r="D275" s="791"/>
      <c r="E275" s="784"/>
      <c r="F275" s="791"/>
      <c r="G275" s="784"/>
    </row>
    <row r="276" spans="2:7" s="786" customFormat="1" x14ac:dyDescent="0.3">
      <c r="B276" s="784"/>
      <c r="C276" s="790"/>
      <c r="D276" s="791"/>
      <c r="E276" s="784"/>
      <c r="F276" s="791"/>
      <c r="G276" s="784"/>
    </row>
    <row r="277" spans="2:7" s="786" customFormat="1" x14ac:dyDescent="0.3">
      <c r="B277" s="784"/>
      <c r="C277" s="790"/>
      <c r="D277" s="791"/>
      <c r="E277" s="784"/>
      <c r="F277" s="791"/>
      <c r="G277" s="784"/>
    </row>
    <row r="278" spans="2:7" s="786" customFormat="1" x14ac:dyDescent="0.3">
      <c r="B278" s="784"/>
      <c r="C278" s="790"/>
      <c r="D278" s="791"/>
      <c r="E278" s="784"/>
      <c r="F278" s="791"/>
      <c r="G278" s="784"/>
    </row>
    <row r="279" spans="2:7" s="786" customFormat="1" x14ac:dyDescent="0.3">
      <c r="B279" s="784"/>
      <c r="C279" s="790"/>
      <c r="D279" s="791"/>
      <c r="E279" s="784"/>
      <c r="F279" s="791"/>
      <c r="G279" s="784"/>
    </row>
    <row r="280" spans="2:7" s="786" customFormat="1" x14ac:dyDescent="0.3">
      <c r="B280" s="784"/>
      <c r="C280" s="790"/>
      <c r="D280" s="791"/>
      <c r="E280" s="784"/>
      <c r="F280" s="791"/>
      <c r="G280" s="784"/>
    </row>
    <row r="281" spans="2:7" s="786" customFormat="1" x14ac:dyDescent="0.3">
      <c r="B281" s="784"/>
      <c r="C281" s="790"/>
      <c r="D281" s="791"/>
      <c r="E281" s="784"/>
      <c r="F281" s="791"/>
      <c r="G281" s="784"/>
    </row>
    <row r="282" spans="2:7" s="786" customFormat="1" x14ac:dyDescent="0.3">
      <c r="B282" s="784"/>
      <c r="C282" s="790"/>
      <c r="D282" s="791"/>
      <c r="E282" s="784"/>
      <c r="F282" s="791"/>
      <c r="G282" s="784"/>
    </row>
    <row r="283" spans="2:7" s="786" customFormat="1" x14ac:dyDescent="0.3">
      <c r="B283" s="784"/>
      <c r="C283" s="790"/>
      <c r="D283" s="791"/>
      <c r="E283" s="784"/>
      <c r="F283" s="791"/>
      <c r="G283" s="784"/>
    </row>
    <row r="284" spans="2:7" s="786" customFormat="1" x14ac:dyDescent="0.3">
      <c r="B284" s="784"/>
      <c r="C284" s="790"/>
      <c r="D284" s="791"/>
      <c r="E284" s="784"/>
      <c r="F284" s="791"/>
      <c r="G284" s="784"/>
    </row>
    <row r="285" spans="2:7" s="786" customFormat="1" x14ac:dyDescent="0.3">
      <c r="B285" s="784"/>
      <c r="C285" s="790"/>
      <c r="D285" s="791"/>
      <c r="E285" s="784"/>
      <c r="F285" s="791"/>
      <c r="G285" s="784"/>
    </row>
    <row r="286" spans="2:7" s="786" customFormat="1" x14ac:dyDescent="0.3">
      <c r="B286" s="784"/>
      <c r="C286" s="790"/>
      <c r="D286" s="791"/>
      <c r="E286" s="784"/>
      <c r="F286" s="791"/>
      <c r="G286" s="784"/>
    </row>
    <row r="287" spans="2:7" s="786" customFormat="1" x14ac:dyDescent="0.3">
      <c r="B287" s="784"/>
      <c r="C287" s="790"/>
      <c r="D287" s="791"/>
      <c r="E287" s="784"/>
      <c r="F287" s="791"/>
      <c r="G287" s="784"/>
    </row>
    <row r="288" spans="2:7" s="786" customFormat="1" x14ac:dyDescent="0.3">
      <c r="B288" s="784"/>
      <c r="C288" s="790"/>
      <c r="D288" s="791"/>
      <c r="E288" s="784"/>
      <c r="F288" s="791"/>
      <c r="G288" s="784"/>
    </row>
    <row r="289" spans="2:7" s="786" customFormat="1" x14ac:dyDescent="0.3">
      <c r="B289" s="784"/>
      <c r="C289" s="790"/>
      <c r="D289" s="791"/>
      <c r="E289" s="784"/>
      <c r="F289" s="791"/>
      <c r="G289" s="784"/>
    </row>
    <row r="290" spans="2:7" s="786" customFormat="1" x14ac:dyDescent="0.3">
      <c r="B290" s="784"/>
      <c r="C290" s="790"/>
      <c r="D290" s="791"/>
      <c r="E290" s="784"/>
      <c r="F290" s="791"/>
      <c r="G290" s="784"/>
    </row>
    <row r="291" spans="2:7" s="786" customFormat="1" x14ac:dyDescent="0.3">
      <c r="B291" s="784"/>
      <c r="C291" s="790"/>
      <c r="D291" s="791"/>
      <c r="E291" s="784"/>
      <c r="F291" s="791"/>
      <c r="G291" s="784"/>
    </row>
    <row r="292" spans="2:7" s="786" customFormat="1" x14ac:dyDescent="0.3">
      <c r="B292" s="784"/>
      <c r="C292" s="790"/>
      <c r="D292" s="791"/>
      <c r="E292" s="784"/>
      <c r="F292" s="791"/>
      <c r="G292" s="784"/>
    </row>
    <row r="293" spans="2:7" s="786" customFormat="1" x14ac:dyDescent="0.3">
      <c r="B293" s="784"/>
      <c r="C293" s="790"/>
      <c r="D293" s="791"/>
      <c r="E293" s="784"/>
      <c r="F293" s="791"/>
      <c r="G293" s="784"/>
    </row>
    <row r="294" spans="2:7" s="786" customFormat="1" x14ac:dyDescent="0.3">
      <c r="B294" s="784"/>
      <c r="C294" s="790"/>
      <c r="D294" s="791"/>
      <c r="E294" s="784"/>
      <c r="F294" s="791"/>
      <c r="G294" s="784"/>
    </row>
  </sheetData>
  <sheetProtection password="F93C" sheet="1" objects="1" scenarios="1" selectLockedCells="1"/>
  <mergeCells count="22">
    <mergeCell ref="C94:C95"/>
    <mergeCell ref="B113:F113"/>
    <mergeCell ref="F5:F6"/>
    <mergeCell ref="F7:F8"/>
    <mergeCell ref="C89:C91"/>
    <mergeCell ref="C69:C71"/>
    <mergeCell ref="B12:C12"/>
    <mergeCell ref="B13:C13"/>
    <mergeCell ref="B15:G15"/>
    <mergeCell ref="F10:F12"/>
    <mergeCell ref="B7:C7"/>
    <mergeCell ref="B8:C8"/>
    <mergeCell ref="B9:C9"/>
    <mergeCell ref="B10:C10"/>
    <mergeCell ref="B11:C11"/>
    <mergeCell ref="B1:F1"/>
    <mergeCell ref="C37:C39"/>
    <mergeCell ref="B2:C2"/>
    <mergeCell ref="B3:C3"/>
    <mergeCell ref="B4:C4"/>
    <mergeCell ref="B5:C5"/>
    <mergeCell ref="B6:C6"/>
  </mergeCells>
  <conditionalFormatting sqref="I6">
    <cfRule type="iconSet" priority="1">
      <iconSet iconSet="3Symbols">
        <cfvo type="percent" val="0"/>
        <cfvo type="percent" val="33"/>
        <cfvo type="percent" val="67"/>
      </iconSet>
    </cfRule>
  </conditionalFormatting>
  <dataValidations count="18">
    <dataValidation type="list" allowBlank="1" showInputMessage="1" showErrorMessage="1" sqref="F105" xr:uid="{00000000-0002-0000-1000-000000000000}">
      <formula1>$D$106:$D$107</formula1>
    </dataValidation>
    <dataValidation type="list" allowBlank="1" showInputMessage="1" showErrorMessage="1" sqref="F99" xr:uid="{00000000-0002-0000-1000-000001000000}">
      <formula1>$D$99:$D$102</formula1>
    </dataValidation>
    <dataValidation type="list" allowBlank="1" showInputMessage="1" showErrorMessage="1" sqref="F92" xr:uid="{00000000-0002-0000-1000-000002000000}">
      <formula1>$D$93:$D$96</formula1>
    </dataValidation>
    <dataValidation type="list" allowBlank="1" showInputMessage="1" showErrorMessage="1" sqref="F86" xr:uid="{00000000-0002-0000-1000-000003000000}">
      <formula1>$D$87:$D$91</formula1>
    </dataValidation>
    <dataValidation type="list" allowBlank="1" showInputMessage="1" showErrorMessage="1" sqref="F81" xr:uid="{00000000-0002-0000-1000-000004000000}">
      <formula1>$D$82:$D$85</formula1>
    </dataValidation>
    <dataValidation type="list" allowBlank="1" showInputMessage="1" showErrorMessage="1" sqref="F76" xr:uid="{00000000-0002-0000-1000-000005000000}">
      <formula1>$D$77:$D$80</formula1>
    </dataValidation>
    <dataValidation type="list" allowBlank="1" showInputMessage="1" showErrorMessage="1" sqref="F68" xr:uid="{00000000-0002-0000-1000-000006000000}">
      <formula1>$D$69:$D$71</formula1>
    </dataValidation>
    <dataValidation type="list" allowBlank="1" showInputMessage="1" showErrorMessage="1" sqref="F63" xr:uid="{00000000-0002-0000-1000-000007000000}">
      <formula1>$D$64:$D$67</formula1>
    </dataValidation>
    <dataValidation type="list" allowBlank="1" showInputMessage="1" showErrorMessage="1" sqref="F58" xr:uid="{00000000-0002-0000-1000-000008000000}">
      <formula1>$D$59:$D$62</formula1>
    </dataValidation>
    <dataValidation type="list" allowBlank="1" showInputMessage="1" showErrorMessage="1" sqref="F52" xr:uid="{00000000-0002-0000-1000-000009000000}">
      <formula1>$D$53:$D$56</formula1>
    </dataValidation>
    <dataValidation type="list" allowBlank="1" showInputMessage="1" showErrorMessage="1" sqref="F47" xr:uid="{00000000-0002-0000-1000-00000A000000}">
      <formula1>$D$48:$D$51</formula1>
    </dataValidation>
    <dataValidation type="list" allowBlank="1" showInputMessage="1" showErrorMessage="1" sqref="F41" xr:uid="{00000000-0002-0000-1000-00000B000000}">
      <formula1>$D$42:$D$46</formula1>
    </dataValidation>
    <dataValidation type="list" allowBlank="1" showInputMessage="1" showErrorMessage="1" sqref="F35" xr:uid="{00000000-0002-0000-1000-00000C000000}">
      <formula1>$D$36:$D$40</formula1>
    </dataValidation>
    <dataValidation type="list" allowBlank="1" showInputMessage="1" showErrorMessage="1" sqref="F31" xr:uid="{00000000-0002-0000-1000-00000D000000}">
      <formula1>$D$32:$D$33</formula1>
    </dataValidation>
    <dataValidation type="list" allowBlank="1" showInputMessage="1" showErrorMessage="1" sqref="F25" xr:uid="{00000000-0002-0000-1000-00000E000000}">
      <formula1>$D$26:$D$30</formula1>
    </dataValidation>
    <dataValidation type="list" allowBlank="1" showInputMessage="1" showErrorMessage="1" sqref="F19" xr:uid="{00000000-0002-0000-1000-00000F000000}">
      <formula1>$D$20:$D$24</formula1>
    </dataValidation>
    <dataValidation type="list" allowBlank="1" showInputMessage="1" showErrorMessage="1" sqref="F72" xr:uid="{00000000-0002-0000-1000-000010000000}">
      <formula1>$D$73:$D$74</formula1>
    </dataValidation>
    <dataValidation type="list" allowBlank="1" showInputMessage="1" showErrorMessage="1" sqref="F108" xr:uid="{00000000-0002-0000-1000-000011000000}">
      <formula1>$D$109:$D$110</formula1>
    </dataValidation>
  </dataValidations>
  <hyperlinks>
    <hyperlink ref="C54" location="'Rating Mapping'!A1" display="Rating Grade should be assigned in line with BB Rating Mapping as per BRPD circular 18/2014 on Risk-Based Capital Adequacy in line with Basel III (see annex )" xr:uid="{00000000-0004-0000-1000-000000000000}"/>
    <hyperlink ref="C89:C91" location="'Elligible Collateral'!A1" display="* Eligible collateral should be determined as per BRPD circular no 14 issued on September 23, 2012 (Para 07, Page 10). " xr:uid="{00000000-0004-0000-1000-000001000000}"/>
    <hyperlink ref="C94:C95" location="'Rating Mapping'!A1" display="Strong Corporate Guarantee means the credit rating of the guarantor should be at least 1 or 2 as per BB rating mapping mentioned in BRPD circular 18/2014 on Risk Based Capital Adequacy in line with Basel III. " xr:uid="{00000000-0004-0000-1000-000002000000}"/>
  </hyperlinks>
  <pageMargins left="0.25" right="0.25" top="0.38437500000000002" bottom="0.75" header="0.3" footer="0.3"/>
  <pageSetup paperSize="9" scale="9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3"/>
  <dimension ref="A1:AD96"/>
  <sheetViews>
    <sheetView zoomScaleSheetLayoutView="100" zoomScalePageLayoutView="97" workbookViewId="0"/>
  </sheetViews>
  <sheetFormatPr defaultColWidth="9.1796875" defaultRowHeight="14" x14ac:dyDescent="0.3"/>
  <cols>
    <col min="1" max="1" width="17.26953125" style="554" customWidth="1"/>
    <col min="2" max="2" width="5.26953125" style="650" bestFit="1" customWidth="1"/>
    <col min="3" max="3" width="28" style="544" customWidth="1"/>
    <col min="4" max="4" width="21.54296875" style="651" customWidth="1"/>
    <col min="5" max="5" width="12" style="652" customWidth="1"/>
    <col min="6" max="6" width="11.1796875" style="652" customWidth="1"/>
    <col min="7" max="7" width="15.1796875" style="652" customWidth="1"/>
    <col min="8" max="8" width="16.26953125" style="652" customWidth="1"/>
    <col min="9" max="9" width="19.453125" style="555" hidden="1" customWidth="1"/>
    <col min="10" max="10" width="27.81640625" style="555" hidden="1" customWidth="1"/>
    <col min="11" max="11" width="18" style="555" hidden="1" customWidth="1"/>
    <col min="12" max="12" width="9.1796875" style="555" hidden="1" customWidth="1"/>
    <col min="13" max="13" width="0" style="556" hidden="1" customWidth="1"/>
    <col min="14" max="30" width="9.1796875" style="557"/>
    <col min="31" max="16384" width="9.1796875" style="555"/>
  </cols>
  <sheetData>
    <row r="1" spans="2:12" ht="3" customHeight="1" thickBot="1" x14ac:dyDescent="0.35">
      <c r="B1" s="1044"/>
      <c r="C1" s="1044"/>
      <c r="D1" s="1044"/>
      <c r="E1" s="1044"/>
      <c r="F1" s="1044"/>
      <c r="G1" s="1044"/>
      <c r="H1" s="1044"/>
    </row>
    <row r="2" spans="2:12" ht="15" customHeight="1" x14ac:dyDescent="0.3">
      <c r="B2" s="1047" t="s">
        <v>412</v>
      </c>
      <c r="C2" s="1047"/>
      <c r="D2" s="558" t="str">
        <f>'2. Top Page'!D8</f>
        <v>Outpace Spinning Mills Ltd</v>
      </c>
      <c r="E2" s="1050" t="s">
        <v>1005</v>
      </c>
      <c r="F2" s="1051"/>
      <c r="G2" s="1051"/>
      <c r="H2" s="1051"/>
    </row>
    <row r="3" spans="2:12" ht="33" customHeight="1" x14ac:dyDescent="0.3">
      <c r="B3" s="1049" t="s">
        <v>994</v>
      </c>
      <c r="C3" s="1049"/>
      <c r="D3" s="559" t="str">
        <f>'2. Top Page'!D9</f>
        <v>Outpace Spinning Mills Ltd</v>
      </c>
      <c r="E3" s="1052"/>
      <c r="F3" s="1053"/>
      <c r="G3" s="1053"/>
      <c r="H3" s="1053"/>
    </row>
    <row r="4" spans="2:12" x14ac:dyDescent="0.3">
      <c r="B4" s="1048" t="s">
        <v>214</v>
      </c>
      <c r="C4" s="1048"/>
      <c r="D4" s="560" t="str">
        <f>'2. Top Page'!D10</f>
        <v>Outright Group</v>
      </c>
      <c r="E4" s="1052"/>
      <c r="F4" s="1053"/>
      <c r="G4" s="1053"/>
      <c r="H4" s="1053"/>
    </row>
    <row r="5" spans="2:12" x14ac:dyDescent="0.3">
      <c r="B5" s="1049" t="s">
        <v>411</v>
      </c>
      <c r="C5" s="1049"/>
      <c r="D5" s="559" t="str">
        <f>'2. Top Page'!D11</f>
        <v xml:space="preserve">2.  Textile </v>
      </c>
      <c r="E5" s="1054"/>
      <c r="F5" s="1055"/>
      <c r="G5" s="1055"/>
      <c r="H5" s="1055"/>
    </row>
    <row r="6" spans="2:12" ht="37.5" customHeight="1" x14ac:dyDescent="0.3">
      <c r="B6" s="1048" t="s">
        <v>413</v>
      </c>
      <c r="C6" s="1048"/>
      <c r="D6" s="560" t="str">
        <f>'2. Top Page'!D15</f>
        <v>Standard</v>
      </c>
      <c r="E6" s="1046" t="s">
        <v>407</v>
      </c>
      <c r="F6" s="1046"/>
      <c r="G6" s="766" t="s">
        <v>227</v>
      </c>
      <c r="H6" s="561" t="s">
        <v>615</v>
      </c>
    </row>
    <row r="7" spans="2:12" x14ac:dyDescent="0.3">
      <c r="B7" s="1049" t="s">
        <v>85</v>
      </c>
      <c r="C7" s="1049"/>
      <c r="D7" s="559" t="str">
        <f>'2. Top Page'!D16</f>
        <v>Unaudited</v>
      </c>
      <c r="E7" s="1049" t="s">
        <v>406</v>
      </c>
      <c r="F7" s="1049"/>
      <c r="G7" s="562">
        <f>E16</f>
        <v>22</v>
      </c>
      <c r="H7" s="1060" t="str">
        <f>IF(G8&gt;=80%,"Excellent",IF(G8&gt;=70%,"Good",IF(G8&gt;=50%,"Marginal",IF(G8&lt;50%,"Unacceptable",0))))</f>
        <v>Unacceptable</v>
      </c>
      <c r="J7" s="555" t="s">
        <v>518</v>
      </c>
      <c r="K7" s="563" t="s">
        <v>266</v>
      </c>
    </row>
    <row r="8" spans="2:12" ht="28" x14ac:dyDescent="0.3">
      <c r="B8" s="1048" t="s">
        <v>414</v>
      </c>
      <c r="C8" s="1048"/>
      <c r="D8" s="560" t="str">
        <f>top</f>
        <v>Dewan Nazrul Islam &amp; Co.</v>
      </c>
      <c r="E8" s="1049"/>
      <c r="F8" s="1049"/>
      <c r="G8" s="564">
        <f>G7/60</f>
        <v>0.36666666666666664</v>
      </c>
      <c r="H8" s="1060"/>
      <c r="J8" s="555" t="s">
        <v>519</v>
      </c>
      <c r="K8" s="565" t="s">
        <v>217</v>
      </c>
    </row>
    <row r="9" spans="2:12" ht="28" x14ac:dyDescent="0.3">
      <c r="B9" s="1049" t="s">
        <v>415</v>
      </c>
      <c r="C9" s="1049"/>
      <c r="D9" s="559" t="str">
        <f>'2. Top Page'!D18</f>
        <v>Md. Matiur Rahman, SRM</v>
      </c>
      <c r="E9" s="1049" t="s">
        <v>405</v>
      </c>
      <c r="F9" s="1049"/>
      <c r="G9" s="562">
        <f>E39</f>
        <v>28.5</v>
      </c>
      <c r="H9" s="1060" t="str">
        <f>IF(G10&gt;=80%,"Excellent",IF(G10&gt;=70%,"Good",IF(G10&gt;=60%,"Marginal",IF(G10&lt;60%,"Unacceptable",0))))</f>
        <v>Good</v>
      </c>
      <c r="J9" s="555" t="s">
        <v>520</v>
      </c>
      <c r="K9" s="566" t="s">
        <v>597</v>
      </c>
    </row>
    <row r="10" spans="2:12" x14ac:dyDescent="0.3">
      <c r="B10" s="1048" t="s">
        <v>79</v>
      </c>
      <c r="C10" s="1048"/>
      <c r="D10" s="1064" t="str">
        <f>'2. Top Page'!D19</f>
        <v>Farhana Afrin, SM</v>
      </c>
      <c r="E10" s="1049"/>
      <c r="F10" s="1049"/>
      <c r="G10" s="564">
        <f>G9/40</f>
        <v>0.71250000000000002</v>
      </c>
      <c r="H10" s="1060"/>
      <c r="J10" s="555" t="s">
        <v>521</v>
      </c>
      <c r="K10" s="567" t="s">
        <v>419</v>
      </c>
    </row>
    <row r="11" spans="2:12" ht="16.5" customHeight="1" x14ac:dyDescent="0.3">
      <c r="B11" s="1048"/>
      <c r="C11" s="1048"/>
      <c r="D11" s="1064"/>
      <c r="E11" s="1065" t="s">
        <v>408</v>
      </c>
      <c r="F11" s="1065"/>
      <c r="G11" s="562">
        <f>G7+G9</f>
        <v>50.5</v>
      </c>
      <c r="H11" s="1061" t="str">
        <f>IF(G8&lt;50%,"Unacceptable",IF(G12&gt;=80%,"Excellent",IF(G12&gt;=70%,"Good",IF(G12&gt;=60%,"Marginal",IF(G12&lt;60%,"Unacceptable",0)))))</f>
        <v>Unacceptable</v>
      </c>
    </row>
    <row r="12" spans="2:12" ht="14.25" customHeight="1" x14ac:dyDescent="0.3">
      <c r="B12" s="1049" t="s">
        <v>418</v>
      </c>
      <c r="C12" s="1049"/>
      <c r="D12" s="568">
        <f>'2. Top Page'!D21</f>
        <v>45652</v>
      </c>
      <c r="E12" s="1065"/>
      <c r="F12" s="1065"/>
      <c r="G12" s="564">
        <f>G11/100</f>
        <v>0.505</v>
      </c>
      <c r="H12" s="1062"/>
    </row>
    <row r="13" spans="2:12" ht="14.5" thickBot="1" x14ac:dyDescent="0.35">
      <c r="B13" s="1063" t="s">
        <v>215</v>
      </c>
      <c r="C13" s="1063"/>
      <c r="D13" s="569">
        <f>'2. Top Page'!D20</f>
        <v>45473</v>
      </c>
      <c r="E13" s="570"/>
      <c r="F13" s="570"/>
      <c r="G13" s="570"/>
      <c r="H13" s="570"/>
    </row>
    <row r="14" spans="2:12" ht="18" customHeight="1" thickBot="1" x14ac:dyDescent="0.35">
      <c r="B14" s="571"/>
      <c r="C14" s="572"/>
      <c r="D14" s="573"/>
      <c r="E14" s="574"/>
      <c r="F14" s="574"/>
      <c r="G14" s="575"/>
      <c r="H14" s="576"/>
      <c r="I14" s="577"/>
      <c r="J14" s="578"/>
      <c r="K14" s="579"/>
    </row>
    <row r="15" spans="2:12" ht="28.5" thickBot="1" x14ac:dyDescent="0.35">
      <c r="B15" s="580"/>
      <c r="C15" s="581"/>
      <c r="D15" s="582" t="s">
        <v>595</v>
      </c>
      <c r="E15" s="583" t="s">
        <v>227</v>
      </c>
      <c r="F15" s="583" t="s">
        <v>267</v>
      </c>
      <c r="G15" s="583" t="s">
        <v>409</v>
      </c>
      <c r="H15" s="584" t="s">
        <v>615</v>
      </c>
      <c r="I15" s="585"/>
      <c r="J15" s="586"/>
      <c r="K15" s="587"/>
    </row>
    <row r="16" spans="2:12" ht="23.25" customHeight="1" thickBot="1" x14ac:dyDescent="0.35">
      <c r="B16" s="1056" t="s">
        <v>338</v>
      </c>
      <c r="C16" s="1057"/>
      <c r="D16" s="1057"/>
      <c r="E16" s="588">
        <f>E17+E20+E23+E27+E32+E36</f>
        <v>22</v>
      </c>
      <c r="F16" s="588">
        <f>F17+F20+F23+F27+F32+F36</f>
        <v>60</v>
      </c>
      <c r="G16" s="589">
        <f>E16/F16</f>
        <v>0.36666666666666664</v>
      </c>
      <c r="H16" s="590" t="str">
        <f>IF(G16&gt;=80%,"Excellent",IF(G16&gt;=70%,"Good",IF(G16&gt;=60%,"Marginal",IF(G16&lt;60%,"Unacceptable",0))))</f>
        <v>Unacceptable</v>
      </c>
      <c r="I16" s="591"/>
      <c r="J16" s="591"/>
      <c r="K16" s="591"/>
      <c r="L16" s="591"/>
    </row>
    <row r="17" spans="1:30" s="602" customFormat="1" ht="14.5" thickBot="1" x14ac:dyDescent="0.35">
      <c r="A17" s="592"/>
      <c r="B17" s="593" t="s">
        <v>339</v>
      </c>
      <c r="C17" s="594" t="s">
        <v>340</v>
      </c>
      <c r="D17" s="595"/>
      <c r="E17" s="596">
        <f>E18+E19</f>
        <v>1</v>
      </c>
      <c r="F17" s="596">
        <f>F18+F19</f>
        <v>10</v>
      </c>
      <c r="G17" s="597">
        <f t="shared" ref="G17:G63" si="0">E17/F17</f>
        <v>0.1</v>
      </c>
      <c r="H17" s="590" t="str">
        <f t="shared" ref="H17:H22" si="1">IF(G17&gt;=80%,"Excellent",IF(G17&gt;=70%,"Good",IF(G17&gt;=60%,"Marginal",IF(G17&lt;60%,"Unacceptable",0))))</f>
        <v>Unacceptable</v>
      </c>
      <c r="I17" s="598"/>
      <c r="J17" s="599"/>
      <c r="K17" s="598"/>
      <c r="L17" s="598"/>
      <c r="M17" s="600"/>
      <c r="N17" s="601"/>
      <c r="O17" s="601"/>
      <c r="P17" s="601"/>
      <c r="Q17" s="601"/>
      <c r="R17" s="601"/>
      <c r="S17" s="601"/>
      <c r="T17" s="601"/>
      <c r="U17" s="601"/>
      <c r="V17" s="601"/>
      <c r="W17" s="601"/>
      <c r="X17" s="601"/>
      <c r="Y17" s="601"/>
      <c r="Z17" s="601"/>
      <c r="AA17" s="601"/>
      <c r="AB17" s="601"/>
      <c r="AC17" s="601"/>
      <c r="AD17" s="601"/>
    </row>
    <row r="18" spans="1:30" ht="33.75" customHeight="1" thickBot="1" x14ac:dyDescent="0.35">
      <c r="B18" s="603" t="s">
        <v>342</v>
      </c>
      <c r="C18" s="604" t="str">
        <f>'9. Inputs-Analysis'!C4</f>
        <v>1. Financial Debt to Tangible Net Worth (DTN)</v>
      </c>
      <c r="D18" s="773">
        <f>IF(D5='Basic Bullets'!E1,'1. RMG'!D19,IF(D5='Basic Bullets'!E2,'2.  Textile '!D19,IF(D5='Basic Bullets'!E3,'3. Food and Allied'!D19,IF(D5='Basic Bullets'!E4,'4. Pharmaceutical'!D19,IF(D5='Basic Bullets'!E5,'5. Chemical'!D19,IF(D5='Basic Bullets'!E6,'6. Fertilizer'!D19,IF(D5='Basic Bullets'!E7,'7.Cement'!D19,IF(D5='Basic Bullets'!E8,'8. Ceramic'!D19,IF(D5='Basic Bullets'!E9,'9. Ship Building'!D19,IF(D5='Basic Bullets'!E10,'10. Ship Breaking'!D19,IF(D5='Basic Bullets'!E11,'11. Jute Mills'!D19,IF(D5='Basic Bullets'!E12,'12. Steel Engineering '!D19,IF(D5='Basic Bullets'!E13,'13.Power and gas'!D19,IF(D5='Basic Bullets'!E14,'14. Industry_Others'!D19,IF(D5='Basic Bullets'!E15,'B. Trade and commerce'!D19,IF(D5='Basic Bullets'!E16,'C. Agro'!D19,IF(D5='Basic Bullets'!E17,'1. Service_Housing&amp;Cnst'!D19,IF(D5='Basic Bullets'!E18,'2. Service_Telecom'!D19,IF(D5='Basic Bullets'!E19,'3. Servic_Hospitals&amp;Clinics'!D19,IF(D5='Basic Bullets'!E20,'3. Service_ Others '!D19,0))))))))))))))))))))</f>
        <v>3.9252586061418495</v>
      </c>
      <c r="E18" s="606">
        <f>IF(D5='Basic Bullets'!E1,'1. RMG'!E19,IF(D5='Basic Bullets'!E2,'2.  Textile '!E19,IF(D5='Basic Bullets'!E3,'3. Food and Allied'!E19,IF(D5='Basic Bullets'!E4,'4. Pharmaceutical'!E19,IF(D5='Basic Bullets'!E5,'5. Chemical'!E19,IF(D5='Basic Bullets'!E6,'6. Fertilizer'!E19,IF(D5='Basic Bullets'!E7,'7.Cement'!E19,IF(D5='Basic Bullets'!E8,'8. Ceramic'!E19,IF(D5='Basic Bullets'!E9,'9. Ship Building'!E19,IF(D5='Basic Bullets'!E10,'10. Ship Breaking'!E19,IF(D5='Basic Bullets'!E11,'11. Jute Mills'!E19,IF(D5='Basic Bullets'!E12,'12. Steel Engineering '!E19,IF(D5='Basic Bullets'!E13,'13.Power and gas'!E19,IF(D5='Basic Bullets'!E14,'14. Industry_Others'!E19,IF(D5='Basic Bullets'!E15,'B. Trade and commerce'!E19,IF(D5='Basic Bullets'!E16,'C. Agro'!E19,IF(D5='Basic Bullets'!E17,'1. Service_Housing&amp;Cnst'!E19,IF(D5='Basic Bullets'!E18,'2. Service_Telecom'!E19,IF(D5='Basic Bullets'!E19,'3. Servic_Hospitals&amp;Clinics'!E19,IF(D5='Basic Bullets'!E20,'3. Service_ Others '!E19,0))))))))))))))))))))</f>
        <v>0</v>
      </c>
      <c r="F18" s="562">
        <v>7</v>
      </c>
      <c r="G18" s="607">
        <f t="shared" si="0"/>
        <v>0</v>
      </c>
      <c r="H18" s="590" t="str">
        <f t="shared" si="1"/>
        <v>Unacceptable</v>
      </c>
      <c r="I18" s="591"/>
      <c r="J18" s="1045" t="s">
        <v>575</v>
      </c>
      <c r="K18" s="1045"/>
      <c r="L18" s="1045"/>
    </row>
    <row r="19" spans="1:30" ht="33.75" customHeight="1" thickBot="1" x14ac:dyDescent="0.35">
      <c r="B19" s="603" t="s">
        <v>278</v>
      </c>
      <c r="C19" s="604" t="str">
        <f>'9. Inputs-Analysis'!C7</f>
        <v>2. Financial Debt to Total Assets (DTA)</v>
      </c>
      <c r="D19" s="773">
        <f>IF(D5='Basic Bullets'!E1,'1. RMG'!D29,IF(D5='Basic Bullets'!E2,'2.  Textile '!D29,IF(D5='Basic Bullets'!E3,'3. Food and Allied'!D29,IF(D5='Basic Bullets'!E4,'4. Pharmaceutical'!D29,IF(D5='Basic Bullets'!E5,'5. Chemical'!D29,IF(D5='Basic Bullets'!E6,'6. Fertilizer'!D29,IF(D5='Basic Bullets'!E7,'7.Cement'!D29,IF(D5='Basic Bullets'!E8,'8. Ceramic'!D29,IF(D5='Basic Bullets'!E9,'9. Ship Building'!D29,IF(D5='Basic Bullets'!E10,'10. Ship Breaking'!D29,IF(D5='Basic Bullets'!E11,'11. Jute Mills'!D29,IF(D5='Basic Bullets'!E12,'12. Steel Engineering '!D29,IF(D5='Basic Bullets'!E13,'13.Power and gas'!D29,IF(D5='Basic Bullets'!E14,'14. Industry_Others'!D29,IF(D5='Basic Bullets'!E15,'B. Trade and commerce'!D29,IF(D5='Basic Bullets'!E16,'C. Agro'!D29,IF(D5='Basic Bullets'!E17,'1. Service_Housing&amp;Cnst'!D29,IF(D5='Basic Bullets'!E18,'2. Service_Telecom'!D29,IF(D5='Basic Bullets'!E19,'3. Servic_Hospitals&amp;Clinics'!D29,IF(D5='Basic Bullets'!E20,'3. Service_ Others '!D29,0))))))))))))))))))))</f>
        <v>0.78528910732277912</v>
      </c>
      <c r="E19" s="606">
        <f>IF(D5='Basic Bullets'!E1,'1. RMG'!E29,IF(D5='Basic Bullets'!E2,'2.  Textile '!E29,IF(D5='Basic Bullets'!E3,'3. Food and Allied'!E29,IF(D5='Basic Bullets'!E4,'4. Pharmaceutical'!E29,IF(D5='Basic Bullets'!E5,'5. Chemical'!E29,IF(D5='Basic Bullets'!E6,'6. Fertilizer'!E29,IF(D5='Basic Bullets'!E7,'7.Cement'!E29,IF(D5='Basic Bullets'!E8,'8. Ceramic'!E29,IF(D5='Basic Bullets'!E9,'9. Ship Building'!E29,IF(D5='Basic Bullets'!E10,'10. Ship Breaking'!E29,IF(D5='Basic Bullets'!E11,'11. Jute Mills'!E29,IF(D5='Basic Bullets'!E12,'12. Steel Engineering '!E29,IF(D5='Basic Bullets'!E13,'13.Power and gas'!E29,IF(D5='Basic Bullets'!E14,'14. Industry_Others'!E29,IF(D5='Basic Bullets'!E15,'B. Trade and commerce'!E29,IF(D5='Basic Bullets'!E16,'C. Agro'!E29,IF(D5='Basic Bullets'!E17,'1. Service_Housing&amp;Cnst'!E29,IF(D5='Basic Bullets'!E18,'2. Service_Telecom'!E29,IF(D5='Basic Bullets'!E19,'3. Servic_Hospitals&amp;Clinics'!E29,IF(D5='Basic Bullets'!E20,'3. Service_ Others '!E29,0))))))))))))))))))))</f>
        <v>1</v>
      </c>
      <c r="F19" s="562">
        <v>3</v>
      </c>
      <c r="G19" s="607">
        <f t="shared" si="0"/>
        <v>0.33333333333333331</v>
      </c>
      <c r="H19" s="590" t="str">
        <f t="shared" si="1"/>
        <v>Unacceptable</v>
      </c>
      <c r="I19" s="591"/>
      <c r="J19" s="1045"/>
      <c r="K19" s="1045"/>
      <c r="L19" s="1045"/>
    </row>
    <row r="20" spans="1:30" s="602" customFormat="1" ht="14.5" thickBot="1" x14ac:dyDescent="0.35">
      <c r="A20" s="592"/>
      <c r="B20" s="608" t="s">
        <v>271</v>
      </c>
      <c r="C20" s="594" t="s">
        <v>341</v>
      </c>
      <c r="D20" s="595"/>
      <c r="E20" s="609">
        <f>SUM(E21:E22)</f>
        <v>5</v>
      </c>
      <c r="F20" s="609">
        <f>SUM(F21:F22)</f>
        <v>10</v>
      </c>
      <c r="G20" s="610">
        <f t="shared" si="0"/>
        <v>0.5</v>
      </c>
      <c r="H20" s="590" t="str">
        <f t="shared" si="1"/>
        <v>Unacceptable</v>
      </c>
      <c r="I20" s="598"/>
      <c r="J20" s="1045"/>
      <c r="K20" s="1045"/>
      <c r="L20" s="1045"/>
      <c r="M20" s="600"/>
      <c r="N20" s="601"/>
      <c r="O20" s="601"/>
      <c r="P20" s="601"/>
      <c r="Q20" s="601"/>
      <c r="R20" s="601"/>
      <c r="S20" s="601"/>
      <c r="T20" s="601"/>
      <c r="U20" s="601"/>
      <c r="V20" s="601"/>
      <c r="W20" s="601"/>
      <c r="X20" s="601"/>
      <c r="Y20" s="601"/>
      <c r="Z20" s="601"/>
      <c r="AA20" s="601"/>
      <c r="AB20" s="601"/>
      <c r="AC20" s="601"/>
      <c r="AD20" s="601"/>
    </row>
    <row r="21" spans="1:30" ht="14.5" thickBot="1" x14ac:dyDescent="0.35">
      <c r="B21" s="603" t="s">
        <v>273</v>
      </c>
      <c r="C21" s="604" t="str">
        <f>'9. Inputs-Analysis'!C11</f>
        <v>1. Current Ratio (CR)</v>
      </c>
      <c r="D21" s="605">
        <f>IF(D5='Basic Bullets'!E1,'1. RMG'!D37,IF(D5='Basic Bullets'!E2,'2.  Textile '!D37,IF(D5='Basic Bullets'!E3,'3. Food and Allied'!D37,IF(D5='Basic Bullets'!E4,'4. Pharmaceutical'!D37,IF(D5='Basic Bullets'!E5,'5. Chemical'!D37,IF(D5='Basic Bullets'!E6,'6. Fertilizer'!D37,IF(D5='Basic Bullets'!E7,'7.Cement'!D37,IF(D5='Basic Bullets'!E8,'8. Ceramic'!D37,IF(D5='Basic Bullets'!E9,'9. Ship Building'!D37,IF(D5='Basic Bullets'!E10,'10. Ship Breaking'!D37,IF(D5='Basic Bullets'!E11,'11. Jute Mills'!D37,IF(D5='Basic Bullets'!E12,'12. Steel Engineering '!D37,IF(D5='Basic Bullets'!E13,'13.Power and gas'!D37,IF(D5='Basic Bullets'!E14,'14. Industry_Others'!D37,IF(D5='Basic Bullets'!E15,'B. Trade and commerce'!D37,IF(D5='Basic Bullets'!E16,'C. Agro'!D37,IF(D5='Basic Bullets'!E17,'1. Service_Housing&amp;Cnst'!D37,IF(D5='Basic Bullets'!E18,'2. Service_Telecom'!D37,IF(D5='Basic Bullets'!E19,'3. Servic_Hospitals&amp;Clinics'!D37,IF(D5='Basic Bullets'!E20,'3. Service_ Others '!D37,0))))))))))))))))))))</f>
        <v>1.040552151554528</v>
      </c>
      <c r="E21" s="606">
        <f>IF(D5='Basic Bullets'!E1,'1. RMG'!E37,IF(D5='Basic Bullets'!E2,'2.  Textile '!E37,IF(D5='Basic Bullets'!E3,'3. Food and Allied'!E37,IF(D5='Basic Bullets'!E4,'4. Pharmaceutical'!E37,IF(D5='Basic Bullets'!E5,'5. Chemical'!E37,IF(D5='Basic Bullets'!E6,'6. Fertilizer'!E37,IF(D5='Basic Bullets'!E7,'7.Cement'!E37,IF(D5='Basic Bullets'!E8,'8. Ceramic'!E37,IF(D5='Basic Bullets'!E9,'9. Ship Building'!E37,IF(D5='Basic Bullets'!E10,'10. Ship Breaking'!E37,IF(D5='Basic Bullets'!E11,'11. Jute Mills'!E37,IF(D5='Basic Bullets'!E12,'12. Steel Engineering '!E37,IF(D5='Basic Bullets'!E13,'13.Power and gas'!E37,IF(D5='Basic Bullets'!E14,'14. Industry_Others'!E37,IF(D5='Basic Bullets'!E15,'B. Trade and commerce'!E37,IF(D5='Basic Bullets'!E16,'C. Agro'!E37,IF(D5='Basic Bullets'!E17,'1. Service_Housing&amp;Cnst'!E37,IF(D5='Basic Bullets'!E18,'2. Service_Telecom'!E37,IF(D5='Basic Bullets'!E19,'3. Servic_Hospitals&amp;Clinics'!E37,IF(D5='Basic Bullets'!E20,'3. Service_ Others '!E37,0))))))))))))))))))))</f>
        <v>5</v>
      </c>
      <c r="F21" s="562">
        <v>7</v>
      </c>
      <c r="G21" s="607">
        <f t="shared" si="0"/>
        <v>0.7142857142857143</v>
      </c>
      <c r="H21" s="590" t="str">
        <f t="shared" si="1"/>
        <v>Good</v>
      </c>
      <c r="I21" s="591"/>
      <c r="J21" s="1045"/>
      <c r="K21" s="1045"/>
      <c r="L21" s="1045"/>
    </row>
    <row r="22" spans="1:30" ht="15" thickBot="1" x14ac:dyDescent="0.4">
      <c r="B22" s="603" t="s">
        <v>278</v>
      </c>
      <c r="C22" s="611" t="str">
        <f>'9. Inputs-Analysis'!C10</f>
        <v>2. Cash Ratio (Cash)</v>
      </c>
      <c r="D22" s="612">
        <f>IF(D5='Basic Bullets'!E1,'1. RMG'!D45,IF(D5='Basic Bullets'!E2,'2.  Textile '!D45,IF(D5='Basic Bullets'!E3,'3. Food and Allied'!D45,IF(D5='Basic Bullets'!E4,'4. Pharmaceutical'!D45,IF(D5='Basic Bullets'!E5,'5. Chemical'!D45,IF(D5='Basic Bullets'!E6,'6. Fertilizer'!D45,IF(D5='Basic Bullets'!E7,'7.Cement'!D45,IF(D5='Basic Bullets'!E8,'8. Ceramic'!D45,IF(D5='Basic Bullets'!E9,'9. Ship Building'!D45,IF(D5='Basic Bullets'!E10,'10. Ship Breaking'!D45,IF(D5='Basic Bullets'!E11,'11. Jute Mills'!D45,IF(D5='Basic Bullets'!E12,'12. Steel Engineering '!D45,IF(D5='Basic Bullets'!E13,'13.Power and gas'!D45,IF(D5='Basic Bullets'!E14,'14. Industry_Others'!D45,IF(D5='Basic Bullets'!E15,'B. Trade and commerce'!D45,IF(D5='Basic Bullets'!E16,'C. Agro'!D45,IF(D5='Basic Bullets'!E17,'1. Service_Housing&amp;Cnst'!D45,IF(D5='Basic Bullets'!E18,'2. Service_Telecom'!D45,IF(D5='Basic Bullets'!E19,'3. Servic_Hospitals&amp;Clinics'!D45,IF(D5='Basic Bullets'!E20,'3. Service_ Others '!D45,0))))))))))))))))))))</f>
        <v>6.1472340974284764E-3</v>
      </c>
      <c r="E22" s="606">
        <f>IF(D5='Basic Bullets'!E1,'1. RMG'!E45,IF(D5='Basic Bullets'!E2,'2.  Textile '!E45,IF(D5='Basic Bullets'!E3,'3. Food and Allied'!E45,IF(D5='Basic Bullets'!E4,'4. Pharmaceutical'!E45,IF(D5='Basic Bullets'!E5,'5. Chemical'!E45,IF(D5='Basic Bullets'!E6,'6. Fertilizer'!E45,IF(D5='Basic Bullets'!E7,'7.Cement'!E45,IF(D5='Basic Bullets'!E8,'8. Ceramic'!E45,IF(D5='Basic Bullets'!E9,'9. Ship Building'!E45,IF(D5='Basic Bullets'!E10,'10. Ship Breaking'!E45,IF(D5='Basic Bullets'!E11,'11. Jute Mills'!E45,IF(D5='Basic Bullets'!E12,'12. Steel Engineering '!E45,IF(D5='Basic Bullets'!E13,'13.Power and gas'!E45,IF(D5='Basic Bullets'!E14,'14. Industry_Others'!E45,IF(D5='Basic Bullets'!E15,'B. Trade and commerce'!E45,IF(D5='Basic Bullets'!E16,'C. Agro'!E45,IF(D5='Basic Bullets'!E17,'1. Service_Housing&amp;Cnst'!E45,IF(D5='Basic Bullets'!E18,'2. Service_Telecom'!E45,IF(D5='Basic Bullets'!E19,'3. Servic_Hospitals&amp;Clinics'!E45,IF(D5='Basic Bullets'!E20,'3. Service_ Others '!E45,0))))))))))))))))))))</f>
        <v>0</v>
      </c>
      <c r="F22" s="562">
        <v>3</v>
      </c>
      <c r="G22" s="607">
        <f t="shared" si="0"/>
        <v>0</v>
      </c>
      <c r="H22" s="590" t="str">
        <f t="shared" si="1"/>
        <v>Unacceptable</v>
      </c>
      <c r="I22" s="591"/>
      <c r="J22" s="1045"/>
      <c r="K22" s="1045"/>
      <c r="L22" s="1045"/>
    </row>
    <row r="23" spans="1:30" s="602" customFormat="1" ht="18" customHeight="1" thickBot="1" x14ac:dyDescent="0.35">
      <c r="A23" s="592"/>
      <c r="B23" s="608" t="s">
        <v>282</v>
      </c>
      <c r="C23" s="594" t="s">
        <v>343</v>
      </c>
      <c r="D23" s="595"/>
      <c r="E23" s="609">
        <f>SUM(E24:E26)</f>
        <v>5</v>
      </c>
      <c r="F23" s="609">
        <f>SUM(F24:F26)</f>
        <v>10</v>
      </c>
      <c r="G23" s="610">
        <f t="shared" si="0"/>
        <v>0.5</v>
      </c>
      <c r="H23" s="590" t="str">
        <f t="shared" ref="H23:H32" si="2">IF(G23&gt;=80%,"Excellent",IF(G23&gt;=70%,"Good",IF(G23&gt;=60%,"Marginal",IF(G23&lt;60%,"Unacceptable",0))))</f>
        <v>Unacceptable</v>
      </c>
      <c r="I23" s="598"/>
      <c r="J23" s="1045"/>
      <c r="K23" s="1045"/>
      <c r="L23" s="1045"/>
      <c r="M23" s="600"/>
      <c r="N23" s="601"/>
      <c r="O23" s="601"/>
      <c r="P23" s="601"/>
      <c r="Q23" s="601"/>
      <c r="R23" s="601"/>
      <c r="S23" s="601"/>
      <c r="T23" s="601"/>
      <c r="U23" s="601"/>
      <c r="V23" s="601"/>
      <c r="W23" s="601"/>
      <c r="X23" s="601"/>
      <c r="Y23" s="601"/>
      <c r="Z23" s="601"/>
      <c r="AA23" s="601"/>
      <c r="AB23" s="601"/>
      <c r="AC23" s="601"/>
      <c r="AD23" s="601"/>
    </row>
    <row r="24" spans="1:30" ht="14.5" thickBot="1" x14ac:dyDescent="0.35">
      <c r="B24" s="603" t="s">
        <v>284</v>
      </c>
      <c r="C24" s="604" t="str">
        <f>'9. Inputs-Analysis'!C15</f>
        <v>1. Net Profit Margin (NPM)</v>
      </c>
      <c r="D24" s="773">
        <f>IF(D5='Basic Bullets'!E1,'1. RMG'!D53,IF(D5='Basic Bullets'!E2,'2.  Textile '!D53,IF(D5='Basic Bullets'!E3,'3. Food and Allied'!D53,IF(D5='Basic Bullets'!E4,'4. Pharmaceutical'!D53,IF(D5='Basic Bullets'!E5,'5. Chemical'!D53,IF(D5='Basic Bullets'!E6,'6. Fertilizer'!D53,IF(D5='Basic Bullets'!E7,'7.Cement'!D53,IF(D5='Basic Bullets'!E8,'8. Ceramic'!D53,IF(D5='Basic Bullets'!E9,'9. Ship Building'!D53,IF(D5='Basic Bullets'!E10,'10. Ship Breaking'!D53,IF(D5='Basic Bullets'!E11,'11. Jute Mills'!D53,IF(D5='Basic Bullets'!E12,'12. Steel Engineering '!D53,IF(D5='Basic Bullets'!E13,'13.Power and gas'!D53,IF(D5='Basic Bullets'!E14,'14. Industry_Others'!D53,IF(D5='Basic Bullets'!E15,'B. Trade and commerce'!D53,IF(D5='Basic Bullets'!E16,'C. Agro'!D53,IF(D5='Basic Bullets'!E17,'1. Service_Housing&amp;Cnst'!D53,IF(D5='Basic Bullets'!E18,'2. Service_Telecom'!D53,IF(D5='Basic Bullets'!E19,'3. Servic_Hospitals&amp;Clinics'!D53,IF(D5='Basic Bullets'!E20,'3. Service_ Others '!D53,0))))))))))))))))))))</f>
        <v>5.4896988386267581E-2</v>
      </c>
      <c r="E24" s="606">
        <f>IF(D5='Basic Bullets'!E1,'1. RMG'!E53,IF(D5='Basic Bullets'!E2,'2.  Textile '!E53,IF(D5='Basic Bullets'!E3,'3. Food and Allied'!E53,IF(D5='Basic Bullets'!E4,'4. Pharmaceutical'!E53,IF(D5='Basic Bullets'!E5,'5. Chemical'!E53,IF(D5='Basic Bullets'!E6,'6. Fertilizer'!E53,IF(D5='Basic Bullets'!E7,'7.Cement'!E53,IF(D5='Basic Bullets'!E8,'8. Ceramic'!E53,IF(D5='Basic Bullets'!E9,'9. Ship Building'!E53,IF(D5='Basic Bullets'!E10,'10. Ship Breaking'!E53,IF(D5='Basic Bullets'!E11,'11. Jute Mills'!E53,IF(D5='Basic Bullets'!E12,'12. Steel Engineering '!E53,IF(D5='Basic Bullets'!E13,'13.Power and gas'!E53,IF(D5='Basic Bullets'!E14,'14. Industry_Others'!E53,IF(D5='Basic Bullets'!E15,'B. Trade and commerce'!E53,IF(D5='Basic Bullets'!E16,'C. Agro'!E53,IF(D5='Basic Bullets'!E17,'1. Service_Housing&amp;Cnst'!E53,IF(D5='Basic Bullets'!E18,'2. Service_Telecom'!E53,IF(D5='Basic Bullets'!E19,'3. Servic_Hospitals&amp;Clinics'!E53,IF(D5='Basic Bullets'!E20,'3. Service_ Others '!E53,0))))))))))))))))))))</f>
        <v>3</v>
      </c>
      <c r="F24" s="562">
        <v>5</v>
      </c>
      <c r="G24" s="607">
        <f t="shared" si="0"/>
        <v>0.6</v>
      </c>
      <c r="H24" s="590" t="str">
        <f t="shared" si="2"/>
        <v>Marginal</v>
      </c>
      <c r="I24" s="591"/>
      <c r="J24" s="1045"/>
      <c r="K24" s="1045"/>
      <c r="L24" s="1045"/>
    </row>
    <row r="25" spans="1:30" ht="15" thickBot="1" x14ac:dyDescent="0.35">
      <c r="B25" s="613" t="s">
        <v>285</v>
      </c>
      <c r="C25" s="604" t="str">
        <f>'9. Inputs-Analysis'!C18</f>
        <v>2. Return on Assets (ROA)</v>
      </c>
      <c r="D25" s="772">
        <f>IF(D5='Basic Bullets'!E1,'1. RMG'!D62,IF(D5='Basic Bullets'!E2,'2.  Textile '!D62,IF(D5='Basic Bullets'!E3,'3. Food and Allied'!D62,IF(D5='Basic Bullets'!E4,'4. Pharmaceutical'!D62,IF(D5='Basic Bullets'!E5,'5. Chemical'!D62,IF(D5='Basic Bullets'!E6,'6. Fertilizer'!D62,IF(D5='Basic Bullets'!E7,'7.Cement'!D62,IF(D5='Basic Bullets'!E8,'8. Ceramic'!D62,IF(D5='Basic Bullets'!E9,'9. Ship Building'!D62,IF(D5='Basic Bullets'!E10,'10. Ship Breaking'!D62,IF(D5='Basic Bullets'!E11,'11. Jute Mills'!D62,IF(D5='Basic Bullets'!E12,'12. Steel Engineering '!D62,IF(D5='Basic Bullets'!E13,'13.Power and gas'!D62,IF(D5='Basic Bullets'!E14,'14. Industry_Others'!D62,IF(D5='Basic Bullets'!E15,'B. Trade and commerce'!D62,IF(D5='Basic Bullets'!E16,'C. Agro'!D62,IF(D5='Basic Bullets'!E17,'1. Service_Housing&amp;Cnst'!D62,IF(D5='Basic Bullets'!E18,'2. Service_Telecom'!D62,IF(D5='Basic Bullets'!E19,'3. Servic_Hospitals&amp;Clinics'!D62,IF(D5='Basic Bullets'!E20,'3. Service_ Others '!D62,0))))))))))))))))))))</f>
        <v>1.9426111026367571E-2</v>
      </c>
      <c r="E25" s="614">
        <f>IF(D5='Basic Bullets'!E1,'1. RMG'!E62,IF(D5='Basic Bullets'!E2,'2.  Textile '!E62,IF(D5='Basic Bullets'!E3,'3. Food and Allied'!E62,IF(D5='Basic Bullets'!E4,'4. Pharmaceutical'!E62,IF(D5='Basic Bullets'!E5,'5. Chemical'!E62,IF(D5='Basic Bullets'!E6,'6. Fertilizer'!E62,IF(D5='Basic Bullets'!E7,'7.Cement'!E62,IF(D5='Basic Bullets'!E8,'8. Ceramic'!E62,IF(D5='Basic Bullets'!E9,'9. Ship Building'!E62,IF(D5='Basic Bullets'!E10,'10. Ship Breaking'!E62,IF(D5='Basic Bullets'!E11,'11. Jute Mills'!E62,IF(D5='Basic Bullets'!E12,'12. Steel Engineering '!E62,IF(D5='Basic Bullets'!E13,'13.Power and gas'!E62,IF(D5='Basic Bullets'!E14,'14. Industry_Others'!E62,IF(D5='Basic Bullets'!E15,'B. Trade and commerce'!E62,IF(D5='Basic Bullets'!E16,'C. Agro'!E62,IF(D5='Basic Bullets'!E17,'1. Service_Housing&amp;Cnst'!E62,IF(D5='Basic Bullets'!E18,'2. Service_Telecom'!E62,IF(D5='Basic Bullets'!E19,'3. Servic_Hospitals&amp;Clinics'!E62,IF(D5='Basic Bullets'!E20,'3. Service_ Others '!E62,0))))))))))))))))))))</f>
        <v>1</v>
      </c>
      <c r="F25" s="615">
        <v>3</v>
      </c>
      <c r="G25" s="607">
        <f t="shared" si="0"/>
        <v>0.33333333333333331</v>
      </c>
      <c r="H25" s="590" t="str">
        <f t="shared" si="2"/>
        <v>Unacceptable</v>
      </c>
      <c r="I25" s="591"/>
      <c r="J25" s="1045"/>
      <c r="K25" s="1045"/>
      <c r="L25" s="1045"/>
    </row>
    <row r="26" spans="1:30" ht="33" customHeight="1" thickBot="1" x14ac:dyDescent="0.35">
      <c r="B26" s="613" t="s">
        <v>288</v>
      </c>
      <c r="C26" s="616" t="str">
        <f>'9. Inputs-Analysis'!C21</f>
        <v>3. Operating Profit to Operating Assets (OPOA)</v>
      </c>
      <c r="D26" s="774">
        <f>IF(D5='Basic Bullets'!E1,'1. RMG'!D69,IF(D5='Basic Bullets'!E2,'2.  Textile '!D69,IF(D5='Basic Bullets'!E3,'3. Food and Allied'!D69,IF(D5='Basic Bullets'!E4,'4. Pharmaceutical'!D69,IF(D5='Basic Bullets'!E5,'5. Chemical'!D69,IF(D5='Basic Bullets'!E6,'6. Fertilizer'!D69,IF(D5='Basic Bullets'!E7,'7.Cement'!D69,IF(D5='Basic Bullets'!E8,'8. Ceramic'!D69,IF(D5='Basic Bullets'!E9,'9. Ship Building'!D69,IF(D5='Basic Bullets'!E10,'10. Ship Breaking'!D69,IF(D5='Basic Bullets'!E11,'11. Jute Mills'!D69,IF(D5='Basic Bullets'!E12,'12. Steel Engineering '!D69,IF(D5='Basic Bullets'!E13,'13.Power and gas'!D69,IF(D5='Basic Bullets'!E14,'14. Industry_Others'!D69,IF(D5='Basic Bullets'!E15,'B. Trade and commerce'!D69,IF(D5='Basic Bullets'!E16,'C. Agro'!D69,IF(D5='Basic Bullets'!E17,'1. Service_Housing&amp;Cnst'!D69,IF(D5='Basic Bullets'!E18,'2. Service_Telecom'!D69,IF(D5='Basic Bullets'!E19,'3. Servic_Hospitals&amp;Clinics'!D69,IF(D5='Basic Bullets'!E20,'3. Service_ Others '!D69,0))))))))))))))))))))</f>
        <v>4.652054000911502E-2</v>
      </c>
      <c r="E26" s="614">
        <f>IF(D5='Basic Bullets'!E1,'1. RMG'!E69,IF(D5='Basic Bullets'!E2,'2.  Textile '!E69,IF(D5='Basic Bullets'!E3,'3. Food and Allied'!E69,IF(D5='Basic Bullets'!E4,'4. Pharmaceutical'!E69,IF(D5='Basic Bullets'!E5,'5. Chemical'!E69,IF(D5='Basic Bullets'!E6,'6. Fertilizer'!E69,IF(D5='Basic Bullets'!E7,'7.Cement'!E69,IF(D5='Basic Bullets'!E8,'8. Ceramic'!E69,IF(D5='Basic Bullets'!E9,'9. Ship Building'!E69,IF(D5='Basic Bullets'!E10,'10. Ship Breaking'!E69,IF(D5='Basic Bullets'!E11,'11. Jute Mills'!E69,IF(D5='Basic Bullets'!E12,'12. Steel Engineering '!E69,IF(D5='Basic Bullets'!E13,'13.Power and gas'!E69,IF(D5='Basic Bullets'!E14,'14. Industry_Others'!E69,IF(D5='Basic Bullets'!E15,'B. Trade and commerce'!E69,IF(D5='Basic Bullets'!E16,'C. Agro'!E69,IF(D5='Basic Bullets'!E17,'1. Service_Housing&amp;Cnst'!E69,IF(D5='Basic Bullets'!E18,'2. Service_Telecom'!E69,IF(D5='Basic Bullets'!E19,'3. Servic_Hospitals&amp;Clinics'!E69,IF(D5='Basic Bullets'!E20,'3. Service_ Others '!E69,0))))))))))))))))))))</f>
        <v>1</v>
      </c>
      <c r="F26" s="615">
        <v>2</v>
      </c>
      <c r="G26" s="607">
        <f t="shared" si="0"/>
        <v>0.5</v>
      </c>
      <c r="H26" s="590" t="str">
        <f t="shared" si="2"/>
        <v>Unacceptable</v>
      </c>
      <c r="I26" s="591"/>
      <c r="J26" s="1045"/>
      <c r="K26" s="1045"/>
      <c r="L26" s="1045"/>
    </row>
    <row r="27" spans="1:30" s="602" customFormat="1" ht="14.5" thickBot="1" x14ac:dyDescent="0.35">
      <c r="A27" s="592"/>
      <c r="B27" s="608" t="s">
        <v>295</v>
      </c>
      <c r="C27" s="594" t="s">
        <v>344</v>
      </c>
      <c r="D27" s="595"/>
      <c r="E27" s="609">
        <f>SUM(E28:E31)</f>
        <v>6</v>
      </c>
      <c r="F27" s="609">
        <f>SUM(F28:F31)</f>
        <v>15</v>
      </c>
      <c r="G27" s="610">
        <f t="shared" si="0"/>
        <v>0.4</v>
      </c>
      <c r="H27" s="590" t="str">
        <f t="shared" si="2"/>
        <v>Unacceptable</v>
      </c>
      <c r="I27" s="598"/>
      <c r="J27" s="598"/>
      <c r="K27" s="598"/>
      <c r="L27" s="598"/>
      <c r="M27" s="600"/>
      <c r="N27" s="601"/>
      <c r="O27" s="601"/>
      <c r="P27" s="601"/>
      <c r="Q27" s="601"/>
      <c r="R27" s="601"/>
      <c r="S27" s="601"/>
      <c r="T27" s="601"/>
      <c r="U27" s="601"/>
      <c r="V27" s="601"/>
      <c r="W27" s="601"/>
      <c r="X27" s="601"/>
      <c r="Y27" s="601"/>
      <c r="Z27" s="601"/>
      <c r="AA27" s="601"/>
      <c r="AB27" s="601"/>
      <c r="AC27" s="601"/>
      <c r="AD27" s="601"/>
    </row>
    <row r="28" spans="1:30" ht="15" thickBot="1" x14ac:dyDescent="0.35">
      <c r="B28" s="603" t="s">
        <v>297</v>
      </c>
      <c r="C28" s="604" t="str">
        <f>'9. Inputs-Analysis'!C24</f>
        <v>1. Interest Coverage (IC)</v>
      </c>
      <c r="D28" s="772">
        <f>IF(D5='Basic Bullets'!E1,'1. RMG'!D76,IF(D5='Basic Bullets'!E2,'2.  Textile '!D76,IF(D5='Basic Bullets'!E3,'3. Food and Allied'!D76,IF(D5='Basic Bullets'!E4,'4. Pharmaceutical'!D76,IF(D5='Basic Bullets'!E5,'5. Chemical'!D76,IF(D5='Basic Bullets'!E6,'6. Fertilizer'!D76,IF(D5='Basic Bullets'!E7,'7.Cement'!D76,IF(D5='Basic Bullets'!E8,'8. Ceramic'!D76,IF(D5='Basic Bullets'!E9,'9. Ship Building'!D76,IF(D5='Basic Bullets'!E10,'10. Ship Breaking'!D76,IF(D5='Basic Bullets'!E11,'11. Jute Mills'!D76,IF(D5='Basic Bullets'!E12,'12. Steel Engineering '!D76,IF(D5='Basic Bullets'!E13,'13.Power and gas'!D76,IF(D5='Basic Bullets'!E14,'14. Industry_Others'!D76,IF(D5='Basic Bullets'!E15,'B. Trade and commerce'!D76,IF(D5='Basic Bullets'!E16,'C. Agro'!D76,IF(D5='Basic Bullets'!E17,'1. Service_Housing&amp;Cnst'!D76,IF(D5='Basic Bullets'!E18,'2. Service_Telecom'!D76,IF(D5='Basic Bullets'!E19,'3. Servic_Hospitals&amp;Clinics'!D76,IF(D5='Basic Bullets'!E20,'3. Service_ Others '!D76,0))))))))))))))))))))</f>
        <v>2.1640484041893577</v>
      </c>
      <c r="E28" s="606">
        <f>IF(D5='Basic Bullets'!E1,'1. RMG'!E76,IF(D5='Basic Bullets'!E2,'2.  Textile '!E76,IF(D5='Basic Bullets'!E3,'3. Food and Allied'!E76,IF(D5='Basic Bullets'!E4,'4. Pharmaceutical'!E76,IF(D5='Basic Bullets'!E5,'5. Chemical'!E76,IF(D5='Basic Bullets'!E6,'6. Fertilizer'!E76,IF(D5='Basic Bullets'!E7,'7.Cement'!E76,IF(D5='Basic Bullets'!E8,'8. Ceramic'!E76,IF(D5='Basic Bullets'!E9,'9. Ship Building'!E76,IF(D5='Basic Bullets'!E10,'10. Ship Breaking'!E76,IF(D5='Basic Bullets'!E11,'11. Jute Mills'!E76,IF(D5='Basic Bullets'!E12,'12. Steel Engineering '!E76,IF(D5='Basic Bullets'!E13,'13.Power and gas'!E76,IF(D5='Basic Bullets'!E14,'14. Industry_Others'!E76,IF(D5='Basic Bullets'!E15,'B. Trade and commerce'!E76,IF(D5='Basic Bullets'!E16,'C. Agro'!E76,IF(D5='Basic Bullets'!E17,'1. Service_Housing&amp;Cnst'!E76,IF(D5='Basic Bullets'!E18,'2. Service_Telecom'!E76,IF(D5='Basic Bullets'!E19,'3. Servic_Hospitals&amp;Clinics'!E76,IF(D5='Basic Bullets'!E20,'3. Service_ Others '!E76,0))))))))))))))))))))</f>
        <v>1</v>
      </c>
      <c r="F28" s="562">
        <v>3</v>
      </c>
      <c r="G28" s="607">
        <f t="shared" si="0"/>
        <v>0.33333333333333331</v>
      </c>
      <c r="H28" s="590" t="str">
        <f t="shared" si="2"/>
        <v>Unacceptable</v>
      </c>
    </row>
    <row r="29" spans="1:30" ht="33.75" customHeight="1" thickBot="1" x14ac:dyDescent="0.35">
      <c r="B29" s="603" t="s">
        <v>301</v>
      </c>
      <c r="C29" s="604" t="str">
        <f>'9. Inputs-Analysis'!C27</f>
        <v>2. Debt Service Coverage Ratio (DSCR)</v>
      </c>
      <c r="D29" s="773">
        <f>IF(D5='Basic Bullets'!E1,'1. RMG'!D83,IF(D5='Basic Bullets'!E2,'2.  Textile '!D83,IF(D5='Basic Bullets'!E3,'3. Food and Allied'!D83,IF(D5='Basic Bullets'!E4,'4. Pharmaceutical'!D83,IF(D5='Basic Bullets'!E5,'5. Chemical'!D83,IF(D5='Basic Bullets'!E6,'6. Fertilizer'!D83,IF(D5='Basic Bullets'!E7,'7.Cement'!D83,IF(D5='Basic Bullets'!E8,'8. Ceramic'!D83,IF(D5='Basic Bullets'!E9,'9. Ship Building'!D83,IF(D5='Basic Bullets'!E10,'10. Ship Breaking'!D83,IF(D5='Basic Bullets'!E11,'11. Jute Mills'!D83,IF(D5='Basic Bullets'!E12,'12. Steel Engineering '!D83,IF(D5='Basic Bullets'!E13,'13.Power and gas'!D83,IF(D5='Basic Bullets'!E14,'14. Industry_Others'!D83,IF(D5='Basic Bullets'!E15,'B. Trade and commerce'!D83,IF(D5='Basic Bullets'!E16,'C. Agro'!D83,IF(D5='Basic Bullets'!E17,'1. Service_Housing&amp;Cnst'!D83,IF(D5='Basic Bullets'!E18,'2. Service_Telecom'!D83,IF(D5='Basic Bullets'!E19,'3. Servic_Hospitals&amp;Clinics'!D83,IF(D5='Basic Bullets'!E20,'3. Service_ Others '!D83,0))))))))))))))))))))</f>
        <v>1.4160266339747576</v>
      </c>
      <c r="E29" s="606">
        <f>IF(D5='Basic Bullets'!E1,'1. RMG'!E83,IF(D5='Basic Bullets'!E2,'2.  Textile '!E83,IF(D5='Basic Bullets'!E3,'3. Food and Allied'!E83,IF(D5='Basic Bullets'!E4,'4. Pharmaceutical'!E83,IF(D5='Basic Bullets'!E5,'5. Chemical'!E83,IF(D5='Basic Bullets'!E6,'6. Fertilizer'!E83,IF(D5='Basic Bullets'!E7,'7.Cement'!E83,IF(D5='Basic Bullets'!E8,'8. Ceramic'!E83,IF(D5='Basic Bullets'!E9,'9. Ship Building'!E83,IF(D5='Basic Bullets'!E10,'10. Ship Breaking'!E83,IF(D5='Basic Bullets'!E11,'11. Jute Mills'!E83,IF(D5='Basic Bullets'!E12,'12. Steel Engineering '!E83,IF(D5='Basic Bullets'!E13,'13.Power and gas'!E83,IF(D5='Basic Bullets'!E14,'14. Industry_Others'!E83,IF(D5='Basic Bullets'!E15,'B. Trade and commerce'!E83,IF(D5='Basic Bullets'!E16,'C. Agro'!E83,IF(D5='Basic Bullets'!E17,'1. Service_Housing&amp;Cnst'!E83,IF(D5='Basic Bullets'!E18,'2. Service_Telecom'!E83,IF(D5='Basic Bullets'!E19,'3. Servic_Hospitals&amp;Clinics'!E83,IF(D5='Basic Bullets'!E20,'3. Service_ Others '!E83,0))))))))))))))))))))</f>
        <v>2</v>
      </c>
      <c r="F29" s="562">
        <v>5</v>
      </c>
      <c r="G29" s="607">
        <f t="shared" si="0"/>
        <v>0.4</v>
      </c>
      <c r="H29" s="590" t="str">
        <f t="shared" si="2"/>
        <v>Unacceptable</v>
      </c>
    </row>
    <row r="30" spans="1:30" ht="28.5" thickBot="1" x14ac:dyDescent="0.35">
      <c r="B30" s="603" t="s">
        <v>306</v>
      </c>
      <c r="C30" s="604" t="str">
        <f>'9. Inputs-Analysis'!C30</f>
        <v>3. Operating Cashflow to Debt Ratio (CDR)</v>
      </c>
      <c r="D30" s="774">
        <f>IF(D5='Basic Bullets'!E1,'1. RMG'!D93,IF(D5='Basic Bullets'!E2,'2.  Textile '!D93,IF(D5='Basic Bullets'!E3,'3. Food and Allied'!D93,IF(D5='Basic Bullets'!E4,'4. Pharmaceutical'!D93,IF(D5='Basic Bullets'!E5,'5. Chemical'!D93,IF(D5='Basic Bullets'!E6,'6. Fertilizer'!D93,IF(D5='Basic Bullets'!E7,'7.Cement'!D93,IF(D5='Basic Bullets'!E8,'8. Ceramic'!D93,IF(D5='Basic Bullets'!E9,'9. Ship Building'!D93,IF(D5='Basic Bullets'!E10,'10. Ship Breaking'!D93,IF(D5='Basic Bullets'!E11,'11. Jute Mills'!D93,IF(D5='Basic Bullets'!E12,'12. Steel Engineering '!D93,IF(D5='Basic Bullets'!E13,'13.Power and gas'!D93,IF(D5='Basic Bullets'!E14,'14. Industry_Others'!D93,IF(D5='Basic Bullets'!E15,'B. Trade and commerce'!D93,IF(D5='Basic Bullets'!E16,'C. Agro'!D93,IF(D5='Basic Bullets'!E17,'1. Service_Housing&amp;Cnst'!D93,IF(D5='Basic Bullets'!E18,'2. Service_Telecom'!D93,IF(D5='Basic Bullets'!E19,'3. Servic_Hospitals&amp;Clinics'!D93,IF(D5='Basic Bullets'!E20,'3. Service_ Others '!D93,0))))))))))))))))))))</f>
        <v>3.3545581292940753E-2</v>
      </c>
      <c r="E30" s="606">
        <f>IF(D5='Basic Bullets'!E1,'1. RMG'!E93,IF(D5='Basic Bullets'!E2,'2.  Textile '!E93,IF(D5='Basic Bullets'!E3,'3. Food and Allied'!E93,IF(D5='Basic Bullets'!E4,'4. Pharmaceutical'!E93,IF(D5='Basic Bullets'!E5,'5. Chemical'!E93,IF(D5='Basic Bullets'!E6,'6. Fertilizer'!E93,IF(D5='Basic Bullets'!E7,'7.Cement'!E93,IF(D5='Basic Bullets'!E8,'8. Ceramic'!E93,IF(D5='Basic Bullets'!E9,'9. Ship Building'!E93,IF(D5='Basic Bullets'!E10,'10. Ship Breaking'!E93,IF(D5='Basic Bullets'!E11,'11. Jute Mills'!E93,IF(D5='Basic Bullets'!E12,'12. Steel Engineering '!E93,IF(D5='Basic Bullets'!E13,'13.Power and gas'!E93,IF(D5='Basic Bullets'!E14,'14. Industry_Others'!E93,IF(D5='Basic Bullets'!E15,'B. Trade and commerce'!E93,IF(D5='Basic Bullets'!E16,'C. Agro'!E93,IF(D5='Basic Bullets'!E17,'1. Service_Housing&amp;Cnst'!E93,IF(D5='Basic Bullets'!E18,'2. Service_Telecom'!E93,IF(D5='Basic Bullets'!E19,'3. Servic_Hospitals&amp;Clinics'!E93,IF(D5='Basic Bullets'!E20,'3. Service_ Others '!E93,0))))))))))))))))))))</f>
        <v>1</v>
      </c>
      <c r="F30" s="562">
        <v>4</v>
      </c>
      <c r="G30" s="607">
        <f t="shared" si="0"/>
        <v>0.25</v>
      </c>
      <c r="H30" s="590" t="str">
        <f t="shared" si="2"/>
        <v>Unacceptable</v>
      </c>
    </row>
    <row r="31" spans="1:30" ht="28.5" thickBot="1" x14ac:dyDescent="0.35">
      <c r="B31" s="603" t="s">
        <v>349</v>
      </c>
      <c r="C31" s="604" t="str">
        <f>'9. Inputs-Analysis'!C33</f>
        <v>4. Cashflow Coverage Ratio (CCR)</v>
      </c>
      <c r="D31" s="773">
        <f>IF(D5='Basic Bullets'!E1,'1. RMG'!D100,IF(D5='Basic Bullets'!E2,'2.  Textile '!D100,IF(D5='Basic Bullets'!E3,'3. Food and Allied'!D100,IF(D5='Basic Bullets'!E4,'4. Pharmaceutical'!D100,IF(D5='Basic Bullets'!E5,'5. Chemical'!D100,IF(D5='Basic Bullets'!E6,'6. Fertilizer'!D100,IF(D5='Basic Bullets'!E7,'7.Cement'!D100,IF(D5='Basic Bullets'!E8,'8. Ceramic'!D100,IF(D5='Basic Bullets'!E9,'9. Ship Building'!D100,IF(D5='Basic Bullets'!E10,'10. Ship Breaking'!D100,IF(D5='Basic Bullets'!E11,'11. Jute Mills'!D100,IF(D5='Basic Bullets'!E12,'12. Steel Engineering '!D100,IF(D5='Basic Bullets'!E13,'13.Power and gas'!D100,IF(D5='Basic Bullets'!E14,'14. Industry_Others'!D100,IF(D5='Basic Bullets'!E15,'B. Trade and commerce'!D100,IF(D5='Basic Bullets'!E16,'C. Agro'!D100,IF(D5='Basic Bullets'!E17,'1. Service_Housing&amp;Cnst'!D100,IF(D5='Basic Bullets'!E18,'2. Service_Telecom'!D100,IF(D5='Basic Bullets'!E19,'3. Servic_Hospitals&amp;Clinics'!D100,IF(D5='Basic Bullets'!E20,'3. Service_ Others '!D100,0))))))))))))))))))))</f>
        <v>0.76522361031669384</v>
      </c>
      <c r="E31" s="606">
        <f>IF(D5='Basic Bullets'!E1,'1. RMG'!E100,IF(D5='Basic Bullets'!E2,'2.  Textile '!E100,IF(D5='Basic Bullets'!E3,'3. Food and Allied'!E100,IF(D5='Basic Bullets'!E4,'4. Pharmaceutical'!E100,IF(D5='Basic Bullets'!E5,'5. Chemical'!E100,IF(D5='Basic Bullets'!E6,'6. Fertilizer'!E100,IF(D5='Basic Bullets'!E7,'7.Cement'!E100,IF(D5='Basic Bullets'!E8,'8. Ceramic'!E100,IF(D5='Basic Bullets'!E9,'9. Ship Building'!E100,IF(D5='Basic Bullets'!E10,'10. Ship Breaking'!E100,IF(D5='Basic Bullets'!E11,'11. Jute Mills'!E100,IF(D5='Basic Bullets'!E12,'12. Steel Engineering '!E100,IF(D5='Basic Bullets'!E13,'13.Power and gas'!E100,IF(D5='Basic Bullets'!E14,'14. Industry_Others'!E100,IF(D5='Basic Bullets'!E15,'B. Trade and commerce'!E100,IF(D5='Basic Bullets'!E16,'C. Agro'!E100,IF(D5='Basic Bullets'!E17,'1. Service_Housing&amp;Cnst'!E100,IF(D5='Basic Bullets'!E18,'2. Service_Telecom'!E100,IF(D5='Basic Bullets'!E19,'3. Servic_Hospitals&amp;Clinics'!E100,IF(D5='Basic Bullets'!E20,'3. Service_ Others '!E100,0))))))))))))))))))))</f>
        <v>2</v>
      </c>
      <c r="F31" s="562">
        <v>3</v>
      </c>
      <c r="G31" s="607">
        <f t="shared" si="0"/>
        <v>0.66666666666666663</v>
      </c>
      <c r="H31" s="590" t="str">
        <f t="shared" si="2"/>
        <v>Marginal</v>
      </c>
    </row>
    <row r="32" spans="1:30" s="602" customFormat="1" ht="14.5" thickBot="1" x14ac:dyDescent="0.35">
      <c r="A32" s="592"/>
      <c r="B32" s="608" t="s">
        <v>311</v>
      </c>
      <c r="C32" s="594" t="s">
        <v>345</v>
      </c>
      <c r="D32" s="595"/>
      <c r="E32" s="609">
        <f>SUM(E33:E35)</f>
        <v>3</v>
      </c>
      <c r="F32" s="609">
        <f>SUM(F33:F35)</f>
        <v>10</v>
      </c>
      <c r="G32" s="610">
        <f t="shared" si="0"/>
        <v>0.3</v>
      </c>
      <c r="H32" s="590" t="str">
        <f t="shared" si="2"/>
        <v>Unacceptable</v>
      </c>
      <c r="M32" s="600"/>
      <c r="N32" s="601"/>
      <c r="O32" s="601"/>
      <c r="P32" s="601"/>
      <c r="Q32" s="601"/>
      <c r="R32" s="601"/>
      <c r="S32" s="601"/>
      <c r="T32" s="601"/>
      <c r="U32" s="601"/>
      <c r="V32" s="601"/>
      <c r="W32" s="601"/>
      <c r="X32" s="601"/>
      <c r="Y32" s="601"/>
      <c r="Z32" s="601"/>
      <c r="AA32" s="601"/>
      <c r="AB32" s="601"/>
      <c r="AC32" s="601"/>
      <c r="AD32" s="601"/>
    </row>
    <row r="33" spans="1:30" ht="15.5" thickBot="1" x14ac:dyDescent="0.35">
      <c r="B33" s="603" t="s">
        <v>313</v>
      </c>
      <c r="C33" s="604" t="str">
        <f>'9. Inputs-Analysis'!C36</f>
        <v>1. Stock Turnover Days (STD)</v>
      </c>
      <c r="D33" s="774">
        <f>IF(D5='Basic Bullets'!E1,'1. RMG'!D107,IF(D5='Basic Bullets'!E2,'2.  Textile '!D107,IF(D5='Basic Bullets'!E3,'3. Food and Allied'!D107,IF(D5='Basic Bullets'!E4,'4. Pharmaceutical'!D107,IF(D5='Basic Bullets'!E5,'5. Chemical'!D107,IF(D5='Basic Bullets'!E6,'6. Fertilizer'!D107,IF(D5='Basic Bullets'!E7,'7.Cement'!D107,IF(D5='Basic Bullets'!E8,'8. Ceramic'!D107,IF(D5='Basic Bullets'!E9,'9. Ship Building'!D107,IF(D5='Basic Bullets'!E10,'10. Ship Breaking'!D107,IF(D5='Basic Bullets'!E11,'11. Jute Mills'!D107,IF(D5='Basic Bullets'!E12,'12. Steel Engineering '!D107,IF(D5='Basic Bullets'!E13,'13.Power and gas'!D107,IF(D5='Basic Bullets'!E14,'14. Industry_Others'!D107,IF(D5='Basic Bullets'!E15,'B. Trade and commerce'!D107,IF(D5='Basic Bullets'!E16,'C. Agro'!D107,IF(D5='Basic Bullets'!E17,'1. Service_Housing&amp;Cnst'!D107,IF(D5='Basic Bullets'!E18,'2. Service_Telecom'!D107,IF(D5='Basic Bullets'!E19,'3. Servic_Hospitals&amp;Clinics'!D107,IF(D5='Basic Bullets'!E20,'3. Service_ Others '!D107,0))))))))))))))))))))</f>
        <v>823.72780049574567</v>
      </c>
      <c r="E33" s="606">
        <f>IF(D5='Basic Bullets'!E1,'1. RMG'!E107,IF(D5='Basic Bullets'!E2,'2.  Textile '!E107,IF(D5='Basic Bullets'!E3,'3. Food and Allied'!E107,IF(D5='Basic Bullets'!E4,'4. Pharmaceutical'!E107,IF(D5='Basic Bullets'!E5,'5. Chemical'!E107,IF(D5='Basic Bullets'!E6,'6. Fertilizer'!E107,IF(D5='Basic Bullets'!E7,'7.Cement'!E107,IF(D5='Basic Bullets'!E8,'8. Ceramic'!E107,IF(D5='Basic Bullets'!E9,'9. Ship Building'!E107,IF(D5='Basic Bullets'!E10,'10. Ship Breaking'!E107,IF(D5='Basic Bullets'!E11,'11. Jute Mills'!E107,IF(D5='Basic Bullets'!E12,'12. Steel Engineering '!E107,IF(D5='Basic Bullets'!E13,'13.Power and gas'!E107,IF(D5='Basic Bullets'!E14,'14. Industry_Others'!E107,IF(D5='Basic Bullets'!E15,'B. Trade and commerce'!E107,IF(D5='Basic Bullets'!E16,'C. Agro'!E107,IF(D5='Basic Bullets'!E17,'1. Service_Housing&amp;Cnst'!E107,IF(D5='Basic Bullets'!E18,'2. Service_Telecom'!E107,IF(D5='Basic Bullets'!E19,'3. Servic_Hospitals&amp;Clinics'!E107,IF(D5='Basic Bullets'!E20,'3. Service_ Others '!E107,0))))))))))))))))))))</f>
        <v>0</v>
      </c>
      <c r="F33" s="562">
        <f>IF(D5='Basic Bullets'!E17,0,IF(D5='Basic Bullets'!E18,0,IF(D5='Basic Bullets'!E19,0,IF(D5='Basic Bullets'!E20,0,4))))</f>
        <v>4</v>
      </c>
      <c r="G33" s="607">
        <f t="shared" si="0"/>
        <v>0</v>
      </c>
      <c r="H33" s="590" t="str">
        <f t="shared" ref="H33:H46" si="3">IF(G33&gt;=80%,"Excellent",IF(G33&gt;=70%,"Good",IF(G33&gt;=60%,"Marginal",IF(G33&lt;60%,"Unacceptable",0))))</f>
        <v>Unacceptable</v>
      </c>
    </row>
    <row r="34" spans="1:30" ht="28.5" thickBot="1" x14ac:dyDescent="0.35">
      <c r="B34" s="603" t="s">
        <v>315</v>
      </c>
      <c r="C34" s="604" t="str">
        <f>'9. Inputs-Analysis'!C39</f>
        <v>2. Trade Debtor Collection Days (TDCD)</v>
      </c>
      <c r="D34" s="774">
        <f>IF(D5='Basic Bullets'!E1,'1. RMG'!D115,IF(D5='Basic Bullets'!E2,'2.  Textile '!D115,IF(D5='Basic Bullets'!E3,'3. Food and Allied'!D115,IF(D5='Basic Bullets'!E4,'4. Pharmaceutical'!D115,IF(D5='Basic Bullets'!E5,'5. Chemical'!D115,IF(D5='Basic Bullets'!E6,'6. Fertilizer'!D115,IF(D5='Basic Bullets'!E7,'7.Cement'!D115,IF(D5='Basic Bullets'!E8,'8. Ceramic'!D115,IF(D5='Basic Bullets'!E9,'9. Ship Building'!D115,IF(D5='Basic Bullets'!E10,'10. Ship Breaking'!D115,IF(D5='Basic Bullets'!E11,'11. Jute Mills'!D115,IF(D5='Basic Bullets'!E12,'12. Steel Engineering '!D115,IF(D5='Basic Bullets'!E13,'13.Power and gas'!D115,IF(D5='Basic Bullets'!E14,'14. Industry_Others'!D115,IF(D5='Basic Bullets'!E15,'B. Trade and commerce'!D115,IF(D5='Basic Bullets'!E16,'C. Agro'!D115,IF(D5='Basic Bullets'!E17,'1. Service_Housing&amp;Cnst'!D115,IF(D5='Basic Bullets'!E18,'2. Service_Telecom'!D115,IF(D5='Basic Bullets'!E19,'3. Servic_Hospitals&amp;Clinics'!D115,IF(D5='Basic Bullets'!E20,'3. Service_ Others '!D115,0))))))))))))))))))))</f>
        <v>89.219451744334833</v>
      </c>
      <c r="E34" s="606">
        <f>IF(D5='Basic Bullets'!E1,'1. RMG'!E115,IF(D5='Basic Bullets'!E2,'2.  Textile '!E115,IF(D5='Basic Bullets'!E3,'3. Food and Allied'!E115,IF(D5='Basic Bullets'!E4,'4. Pharmaceutical'!E115,IF(D5='Basic Bullets'!E5,'5. Chemical'!E115,IF(D5='Basic Bullets'!E6,'6. Fertilizer'!E115,IF(D5='Basic Bullets'!E7,'7.Cement'!E115,IF(D5='Basic Bullets'!E8,'8. Ceramic'!E115,IF(D5='Basic Bullets'!E9,'9. Ship Building'!E115,IF(D5='Basic Bullets'!E10,'10. Ship Breaking'!E115,IF(D5='Basic Bullets'!E11,'11. Jute Mills'!E115,IF(D5='Basic Bullets'!E12,'12. Steel Engineering '!E115,IF(D5='Basic Bullets'!E13,'13.Power and gas'!E115,IF(D5='Basic Bullets'!E14,'14. Industry_Others'!E115,IF(D5='Basic Bullets'!E15,'B. Trade and commerce'!E115,IF(D5='Basic Bullets'!E16,'C. Agro'!E115,IF(D5='Basic Bullets'!E17,'1. Service_Housing&amp;Cnst'!E115,IF(D5='Basic Bullets'!E18,'2. Service_Telecom'!E115,IF(D5='Basic Bullets'!E19,'3. Servic_Hospitals&amp;Clinics'!E115,IF(D5='Basic Bullets'!E20,'3. Service_ Others '!E115,0))))))))))))))))))))</f>
        <v>2</v>
      </c>
      <c r="F34" s="562">
        <f>IF(D5='Basic Bullets'!E17,5,IF(D5='Basic Bullets'!E18,5,IF(D5='Basic Bullets'!E19,5,IF(D5='Basic Bullets'!E20,5,3))))</f>
        <v>3</v>
      </c>
      <c r="G34" s="607">
        <f t="shared" si="0"/>
        <v>0.66666666666666663</v>
      </c>
      <c r="H34" s="590" t="str">
        <f t="shared" si="3"/>
        <v>Marginal</v>
      </c>
    </row>
    <row r="35" spans="1:30" ht="14.5" thickBot="1" x14ac:dyDescent="0.35">
      <c r="B35" s="603" t="s">
        <v>317</v>
      </c>
      <c r="C35" s="604" t="str">
        <f>'9. Inputs-Analysis'!C42</f>
        <v>3. Asset Turnover (AT)</v>
      </c>
      <c r="D35" s="773">
        <f>IF(D5='Basic Bullets'!E1,'1. RMG'!D122,IF(D5='Basic Bullets'!E2,'2.  Textile '!D122,IF(D5='Basic Bullets'!E3,'3. Food and Allied'!D122,IF(D5='Basic Bullets'!E4,'4. Pharmaceutical'!D122,IF(D5='Basic Bullets'!E5,'5. Chemical'!D122,IF(D5='Basic Bullets'!E6,'6. Fertilizer'!D122,IF(D5='Basic Bullets'!E7,'7.Cement'!D122,IF(D5='Basic Bullets'!E8,'8. Ceramic'!D122,IF(D5='Basic Bullets'!E9,'9. Ship Building'!D122,IF(D5='Basic Bullets'!E10,'10. Ship Breaking'!D122,IF(D5='Basic Bullets'!E11,'11. Jute Mills'!D122,IF(D5='Basic Bullets'!E12,'12. Steel Engineering '!D122,IF(D5='Basic Bullets'!E13,'13.Power and gas'!D122,IF(D5='Basic Bullets'!E14,'14. Industry_Others'!D122,IF(D5='Basic Bullets'!E15,'B. Trade and commerce'!D122,IF(D5='Basic Bullets'!E16,'C. Agro'!D122,IF(D5='Basic Bullets'!E17,'1. Service_Housing&amp;Cnst'!D122,IF(D5='Basic Bullets'!E18,'2. Service_Telecom'!D122,IF(D5='Basic Bullets'!E19,'3. Servic_Hospitals&amp;Clinics'!D122,IF(D5='Basic Bullets'!E20,'3. Service_ Others '!D122,0))))))))))))))))))))</f>
        <v>0.35386478561776608</v>
      </c>
      <c r="E35" s="606">
        <f>IF(D5='Basic Bullets'!E1,'1. RMG'!E122,IF(D5='Basic Bullets'!E2,'2.  Textile '!E122,IF(D5='Basic Bullets'!E3,'3. Food and Allied'!E122,IF(D5='Basic Bullets'!E4,'4. Pharmaceutical'!E122,IF(D5='Basic Bullets'!E5,'5. Chemical'!E122,IF(D5='Basic Bullets'!E6,'6. Fertilizer'!E122,IF(D5='Basic Bullets'!E7,'7.Cement'!E122,IF(D5='Basic Bullets'!E8,'8. Ceramic'!E122,IF(D5='Basic Bullets'!E9,'9. Ship Building'!E122,IF(D5='Basic Bullets'!E10,'10. Ship Breaking'!E122,IF(D5='Basic Bullets'!E11,'11. Jute Mills'!E122,IF(D5='Basic Bullets'!E12,'12. Steel Engineering '!E122,IF(D5='Basic Bullets'!E13,'13.Power and gas'!E122,IF(D5='Basic Bullets'!E14,'14. Industry_Others'!E122,IF(D5='Basic Bullets'!E15,'B. Trade and commerce'!E122,IF(D5='Basic Bullets'!E16,'C. Agro'!E122,IF(D5='Basic Bullets'!E17,'1. Service_Housing&amp;Cnst'!E122,IF(D5='Basic Bullets'!E18,'2. Service_Telecom'!E122,IF(D5='Basic Bullets'!E19,'3. Servic_Hospitals&amp;Clinics'!E122,IF(D5='Basic Bullets'!E20,'3. Service_ Others '!E122,0))))))))))))))))))))</f>
        <v>1</v>
      </c>
      <c r="F35" s="562">
        <f>IF(D5='Basic Bullets'!E17,5,IF(D5='Basic Bullets'!E18,5,IF(D5='Basic Bullets'!E19,5,IF(D5='Basic Bullets'!E20,5,3))))</f>
        <v>3</v>
      </c>
      <c r="G35" s="607">
        <f t="shared" si="0"/>
        <v>0.33333333333333331</v>
      </c>
      <c r="H35" s="590" t="str">
        <f t="shared" si="3"/>
        <v>Unacceptable</v>
      </c>
    </row>
    <row r="36" spans="1:30" s="602" customFormat="1" ht="14.5" thickBot="1" x14ac:dyDescent="0.35">
      <c r="A36" s="592"/>
      <c r="B36" s="608" t="s">
        <v>177</v>
      </c>
      <c r="C36" s="594" t="s">
        <v>348</v>
      </c>
      <c r="D36" s="595"/>
      <c r="E36" s="617">
        <f>E37+E38</f>
        <v>2</v>
      </c>
      <c r="F36" s="609">
        <f>F37+F38</f>
        <v>5</v>
      </c>
      <c r="G36" s="610">
        <f t="shared" si="0"/>
        <v>0.4</v>
      </c>
      <c r="H36" s="590" t="str">
        <f t="shared" si="3"/>
        <v>Unacceptable</v>
      </c>
      <c r="M36" s="600"/>
      <c r="N36" s="601"/>
      <c r="O36" s="601"/>
      <c r="P36" s="601"/>
      <c r="Q36" s="601"/>
      <c r="R36" s="601"/>
      <c r="S36" s="601"/>
      <c r="T36" s="601"/>
      <c r="U36" s="601"/>
      <c r="V36" s="601"/>
      <c r="W36" s="601"/>
      <c r="X36" s="601"/>
      <c r="Y36" s="601"/>
      <c r="Z36" s="601"/>
      <c r="AA36" s="601"/>
      <c r="AB36" s="601"/>
      <c r="AC36" s="601"/>
      <c r="AD36" s="601"/>
    </row>
    <row r="37" spans="1:30" ht="28.5" thickBot="1" x14ac:dyDescent="0.35">
      <c r="B37" s="603" t="s">
        <v>326</v>
      </c>
      <c r="C37" s="618" t="str">
        <f>'9. Inputs-Analysis'!C45</f>
        <v>1. Operating Cash Flow to Sales (CFS)</v>
      </c>
      <c r="D37" s="774">
        <f>IF(D5='Basic Bullets'!E1,'1. RMG'!D130,IF(D5='Basic Bullets'!E2,'2.  Textile '!D130,IF(D5='Basic Bullets'!E3,'3. Food and Allied'!D130,IF(D5='Basic Bullets'!E4,'4. Pharmaceutical'!D130,IF(D5='Basic Bullets'!E5,'5. Chemical'!D130,IF(D5='Basic Bullets'!E6,'6. Fertilizer'!D130,IF(D5='Basic Bullets'!E7,'7.Cement'!D130,IF(D5='Basic Bullets'!E8,'8. Ceramic'!D130,IF(D5='Basic Bullets'!E9,'9. Ship Building'!D130,IF(D5='Basic Bullets'!E10,'10. Ship Breaking'!D130,IF(D5='Basic Bullets'!E11,'11. Jute Mills'!D130,IF(D5='Basic Bullets'!E12,'12. Steel Engineering '!D130,IF(D5='Basic Bullets'!E13,'13.Power and gas'!D130,IF(D5='Basic Bullets'!E14,'14. Industry_Others'!D130,IF(D5='Basic Bullets'!E15,'B. Trade and commerce'!D130,IF(D5='Basic Bullets'!E16,'C. Agro'!D130,IF(D5='Basic Bullets'!E17,'1. Service_Housing&amp;Cnst'!D130,IF(D5='Basic Bullets'!E18,'2. Service_Telecom'!D130,IF(D5='Basic Bullets'!E19,'3. Servic_Hospitals&amp;Clinics'!D130,IF(D5='Basic Bullets'!E20,'3. Service_ Others '!D130,0))))))))))))))))))))</f>
        <v>7.4443631180108563E-2</v>
      </c>
      <c r="E37" s="606">
        <f>IF(D5='Basic Bullets'!E1,'1. RMG'!E130,IF(D5='Basic Bullets'!E2,'2.  Textile '!E130,IF(D5='Basic Bullets'!E3,'3. Food and Allied'!E130,IF(D5='Basic Bullets'!E4,'4. Pharmaceutical'!E130,IF(D5='Basic Bullets'!E5,'5. Chemical'!E130,IF(D5='Basic Bullets'!E6,'6. Fertilizer'!E130,IF(D5='Basic Bullets'!E7,'7.Cement'!E130,IF(D5='Basic Bullets'!E8,'8. Ceramic'!E130,IF(D5='Basic Bullets'!E9,'9. Ship Building'!E130,IF(D5='Basic Bullets'!E10,'10. Ship Breaking'!E130,IF(D5='Basic Bullets'!E11,'11. Jute Mills'!E130,IF(D5='Basic Bullets'!E12,'12. Steel Engineering '!E130,IF(D5='Basic Bullets'!E13,'13.Power and gas'!E130,IF(D5='Basic Bullets'!E14,'14. Industry_Others'!E130,IF(D5='Basic Bullets'!E15,'B. Trade and commerce'!E130,IF(D5='Basic Bullets'!E16,'C. Agro'!E130,IF(D5='Basic Bullets'!E17,'1. Service_Housing&amp;Cnst'!E130,IF(D5='Basic Bullets'!E18,'2. Service_Telecom'!E130,IF(D5='Basic Bullets'!E19,'3. Servic_Hospitals&amp;Clinics'!E130,IF(D5='Basic Bullets'!E20,'3. Service_ Others '!E130,0))))))))))))))))))))</f>
        <v>2</v>
      </c>
      <c r="F37" s="562">
        <v>3</v>
      </c>
      <c r="G37" s="607">
        <f t="shared" si="0"/>
        <v>0.66666666666666663</v>
      </c>
      <c r="H37" s="590" t="str">
        <f t="shared" si="3"/>
        <v>Marginal</v>
      </c>
    </row>
    <row r="38" spans="1:30" ht="28.5" thickBot="1" x14ac:dyDescent="0.35">
      <c r="B38" s="603" t="s">
        <v>350</v>
      </c>
      <c r="C38" s="618" t="str">
        <f>'9. Inputs-Analysis'!C48</f>
        <v>2. Cashflow based accrual ratio (CAR)</v>
      </c>
      <c r="D38" s="774">
        <f>IF(D5='Basic Bullets'!E1,'1. RMG'!D137,IF(D5='Basic Bullets'!E2,'2.  Textile '!D137,IF(D5='Basic Bullets'!E3,'3. Food and Allied'!D137,IF(D5='Basic Bullets'!E4,'4. Pharmaceutical'!D137,IF(D5='Basic Bullets'!E5,'5. Chemical'!D137,IF(D5='Basic Bullets'!E6,'6. Fertilizer'!D137,IF(D5='Basic Bullets'!E7,'7.Cement'!D137,IF(D5='Basic Bullets'!E8,'8. Ceramic'!D137,IF(D5='Basic Bullets'!E9,'9. Ship Building'!D137,IF(D5='Basic Bullets'!E10,'10. Ship Breaking'!D137,IF(D5='Basic Bullets'!E11,'11. Jute Mills'!D137,IF(D5='Basic Bullets'!E12,'12. Steel Engineering '!D137,IF(D5='Basic Bullets'!E13,'13.Power and gas'!D137,IF(D5='Basic Bullets'!E14,'14. Industry_Others'!D137,IF(D5='Basic Bullets'!E15,'B. Trade and commerce'!D137,IF(D5='Basic Bullets'!E16,'C. Agro'!D137,IF(D5='Basic Bullets'!E17,'1. Service_Housing&amp;Cnst'!D137,IF(D5='Basic Bullets'!E18,'2. Service_Telecom'!D137,IF(D5='Basic Bullets'!E19,'3. Servic_Hospitals&amp;Clinics'!D137,IF(D5='Basic Bullets'!E20,'3. Service_ Others '!D137,0))))))))))))))))))))</f>
        <v>7.7292884750961464E-3</v>
      </c>
      <c r="E38" s="606">
        <f>IF(D5='Basic Bullets'!E1,'1. RMG'!E137,IF(D5='Basic Bullets'!E2,'2.  Textile '!E137,IF(D5='Basic Bullets'!E3,'3. Food and Allied'!E137,IF(D5='Basic Bullets'!E4,'4. Pharmaceutical'!E137,IF(D5='Basic Bullets'!E5,'5. Chemical'!E137,IF(D5='Basic Bullets'!E6,'6. Fertilizer'!E137,IF(D5='Basic Bullets'!E7,'7.Cement'!E137,IF(D5='Basic Bullets'!E8,'8. Ceramic'!E137,IF(D5='Basic Bullets'!E9,'9. Ship Building'!E137,IF(D5='Basic Bullets'!E10,'10. Ship Breaking'!E137,IF(D5='Basic Bullets'!E11,'11. Jute Mills'!E137,IF(D5='Basic Bullets'!E12,'12. Steel Engineering '!E137,IF(D5='Basic Bullets'!E13,'13.Power and gas'!E137,IF(D5='Basic Bullets'!E14,'14. Industry_Others'!E137,IF(D5='Basic Bullets'!E15,'B. Trade and commerce'!E137,IF(D5='Basic Bullets'!E16,'C. Agro'!E137,IF(D5='Basic Bullets'!E17,'1. Service_Housing&amp;Cnst'!E137,IF(D5='Basic Bullets'!E18,'2. Service_Telecom'!E137,IF(D5='Basic Bullets'!E19,'3. Servic_Hospitals&amp;Clinics'!E137,IF(D5='Basic Bullets'!E20,'3. Service_ Others '!E137,0))))))))))))))))))))</f>
        <v>0</v>
      </c>
      <c r="F38" s="562">
        <v>2</v>
      </c>
      <c r="G38" s="607">
        <f t="shared" si="0"/>
        <v>0</v>
      </c>
      <c r="H38" s="590" t="str">
        <f t="shared" si="3"/>
        <v>Unacceptable</v>
      </c>
    </row>
    <row r="39" spans="1:30" ht="14.5" thickBot="1" x14ac:dyDescent="0.35">
      <c r="B39" s="1058" t="s">
        <v>337</v>
      </c>
      <c r="C39" s="1059"/>
      <c r="D39" s="1059"/>
      <c r="E39" s="619">
        <f>E40+E44+E49+E54+E59+E61</f>
        <v>28.5</v>
      </c>
      <c r="F39" s="619">
        <f>F40+F44+F49+F54+F59+F61</f>
        <v>40</v>
      </c>
      <c r="G39" s="589">
        <f t="shared" si="0"/>
        <v>0.71250000000000002</v>
      </c>
      <c r="H39" s="590" t="str">
        <f t="shared" si="3"/>
        <v>Good</v>
      </c>
    </row>
    <row r="40" spans="1:30" s="621" customFormat="1" ht="14.5" thickBot="1" x14ac:dyDescent="0.35">
      <c r="A40" s="554"/>
      <c r="B40" s="593" t="s">
        <v>331</v>
      </c>
      <c r="C40" s="594" t="s">
        <v>272</v>
      </c>
      <c r="D40" s="595"/>
      <c r="E40" s="620">
        <f>SUM(E41:E43)</f>
        <v>10</v>
      </c>
      <c r="F40" s="620">
        <f>SUM(F41:F43)</f>
        <v>10</v>
      </c>
      <c r="G40" s="610">
        <f t="shared" si="0"/>
        <v>1</v>
      </c>
      <c r="H40" s="590" t="str">
        <f t="shared" si="3"/>
        <v>Excellent</v>
      </c>
      <c r="J40" s="622"/>
      <c r="M40" s="623"/>
      <c r="N40" s="624"/>
      <c r="O40" s="624"/>
      <c r="P40" s="624"/>
      <c r="Q40" s="624"/>
      <c r="R40" s="624"/>
      <c r="S40" s="624"/>
      <c r="T40" s="624"/>
      <c r="U40" s="624"/>
      <c r="V40" s="624"/>
      <c r="W40" s="624"/>
      <c r="X40" s="624"/>
      <c r="Y40" s="624"/>
      <c r="Z40" s="624"/>
      <c r="AA40" s="624"/>
      <c r="AB40" s="624"/>
      <c r="AC40" s="624"/>
      <c r="AD40" s="624"/>
    </row>
    <row r="41" spans="1:30" ht="49.5" customHeight="1" thickBot="1" x14ac:dyDescent="0.35">
      <c r="B41" s="603" t="s">
        <v>398</v>
      </c>
      <c r="C41" s="618" t="str">
        <f>'10. Qualitative Analysis'!C19</f>
        <v>How many times the borrower was adversely classified in last 3 years</v>
      </c>
      <c r="D41" s="625" t="str">
        <f>'10. Qualitative Analysis'!F19</f>
        <v>O time</v>
      </c>
      <c r="E41" s="625">
        <f>'10. Qualitative Analysis'!G19</f>
        <v>5</v>
      </c>
      <c r="F41" s="562">
        <f>'10. Qualitative Analysis'!E20</f>
        <v>5</v>
      </c>
      <c r="G41" s="607">
        <f t="shared" si="0"/>
        <v>1</v>
      </c>
      <c r="H41" s="590" t="str">
        <f t="shared" si="3"/>
        <v>Excellent</v>
      </c>
      <c r="J41" s="626"/>
    </row>
    <row r="42" spans="1:30" ht="61.5" customHeight="1" thickBot="1" x14ac:dyDescent="0.35">
      <c r="B42" s="603" t="s">
        <v>399</v>
      </c>
      <c r="C42" s="618" t="str">
        <f>'10. Qualitative Analysis'!C25</f>
        <v>How many times the borrower's loans was rescheduled/ restructured in last 3 years</v>
      </c>
      <c r="D42" s="625" t="str">
        <f>'10. Qualitative Analysis'!F25</f>
        <v>0 time</v>
      </c>
      <c r="E42" s="625">
        <f>'10. Qualitative Analysis'!G25</f>
        <v>4</v>
      </c>
      <c r="F42" s="562">
        <f>'10. Qualitative Analysis'!E26</f>
        <v>4</v>
      </c>
      <c r="G42" s="607">
        <f t="shared" si="0"/>
        <v>1</v>
      </c>
      <c r="H42" s="590" t="str">
        <f t="shared" si="3"/>
        <v>Excellent</v>
      </c>
      <c r="J42" s="626"/>
    </row>
    <row r="43" spans="1:30" ht="48" customHeight="1" thickBot="1" x14ac:dyDescent="0.35">
      <c r="B43" s="603" t="s">
        <v>335</v>
      </c>
      <c r="C43" s="618" t="str">
        <f>'10. Qualitative Analysis'!C32</f>
        <v>Did The Borrower Pay Its Suppliers/ Creditors Regularly In Last 1 Year</v>
      </c>
      <c r="D43" s="625" t="str">
        <f>'10. Qualitative Analysis'!F31</f>
        <v>Yes</v>
      </c>
      <c r="E43" s="625">
        <f>'10. Qualitative Analysis'!G31</f>
        <v>1</v>
      </c>
      <c r="F43" s="562">
        <f>'10. Qualitative Analysis'!E32</f>
        <v>1</v>
      </c>
      <c r="G43" s="607">
        <f t="shared" si="0"/>
        <v>1</v>
      </c>
      <c r="H43" s="590" t="str">
        <f t="shared" si="3"/>
        <v>Excellent</v>
      </c>
      <c r="J43" s="626"/>
      <c r="K43" s="627"/>
    </row>
    <row r="44" spans="1:30" ht="14.5" thickBot="1" x14ac:dyDescent="0.35">
      <c r="B44" s="628" t="s">
        <v>351</v>
      </c>
      <c r="C44" s="629" t="s">
        <v>283</v>
      </c>
      <c r="D44" s="630"/>
      <c r="E44" s="631">
        <f>SUM(E45:E48)</f>
        <v>6</v>
      </c>
      <c r="F44" s="631">
        <f>SUM(F45:F48)</f>
        <v>7</v>
      </c>
      <c r="G44" s="610">
        <f t="shared" si="0"/>
        <v>0.8571428571428571</v>
      </c>
      <c r="H44" s="590" t="str">
        <f t="shared" si="3"/>
        <v>Excellent</v>
      </c>
      <c r="J44" s="632"/>
      <c r="K44" s="632"/>
    </row>
    <row r="45" spans="1:30" ht="14.5" thickBot="1" x14ac:dyDescent="0.35">
      <c r="B45" s="603" t="s">
        <v>352</v>
      </c>
      <c r="C45" s="618" t="str">
        <f>'10. Qualitative Analysis'!C35</f>
        <v>Sales Growth</v>
      </c>
      <c r="D45" s="625" t="str">
        <f>'10. Qualitative Analysis'!F35</f>
        <v>&gt;10%</v>
      </c>
      <c r="E45" s="625">
        <f>'10. Qualitative Analysis'!G35</f>
        <v>2</v>
      </c>
      <c r="F45" s="562">
        <v>2</v>
      </c>
      <c r="G45" s="607">
        <f t="shared" si="0"/>
        <v>1</v>
      </c>
      <c r="H45" s="590" t="str">
        <f t="shared" si="3"/>
        <v>Excellent</v>
      </c>
    </row>
    <row r="46" spans="1:30" ht="14.5" thickBot="1" x14ac:dyDescent="0.35">
      <c r="B46" s="603" t="s">
        <v>353</v>
      </c>
      <c r="C46" s="611" t="s">
        <v>286</v>
      </c>
      <c r="D46" s="633" t="str">
        <f>'10. Qualitative Analysis'!F41</f>
        <v>&gt;10 years</v>
      </c>
      <c r="E46" s="633">
        <f>'10. Qualitative Analysis'!G41</f>
        <v>2</v>
      </c>
      <c r="F46" s="562">
        <v>2</v>
      </c>
      <c r="G46" s="607">
        <f t="shared" si="0"/>
        <v>1</v>
      </c>
      <c r="H46" s="590" t="str">
        <f t="shared" si="3"/>
        <v>Excellent</v>
      </c>
    </row>
    <row r="47" spans="1:30" ht="28.5" customHeight="1" thickBot="1" x14ac:dyDescent="0.35">
      <c r="B47" s="603" t="s">
        <v>354</v>
      </c>
      <c r="C47" s="611" t="s">
        <v>289</v>
      </c>
      <c r="D47" s="634" t="str">
        <f>'10. Qualitative Analysis'!F47</f>
        <v>Growing but High Volatility</v>
      </c>
      <c r="E47" s="633">
        <f>'10. Qualitative Analysis'!G47</f>
        <v>0.5</v>
      </c>
      <c r="F47" s="562">
        <v>1</v>
      </c>
      <c r="G47" s="607">
        <f t="shared" si="0"/>
        <v>0.5</v>
      </c>
      <c r="H47" s="590" t="str">
        <f t="shared" ref="H47" si="4">IF(G47&gt;=85%,"Excellent",IF(G47&gt;=70%,"Good",IF(G47&gt;=55%,"Marginal",IF(G47&lt;55%,"Unacceptable",0))))</f>
        <v>Unacceptable</v>
      </c>
    </row>
    <row r="48" spans="1:30" ht="28.5" thickBot="1" x14ac:dyDescent="0.35">
      <c r="B48" s="603" t="s">
        <v>355</v>
      </c>
      <c r="C48" s="611" t="str">
        <f>'10. Qualitative Analysis'!C52</f>
        <v>Long-Term External Credit Rating of the Borrower</v>
      </c>
      <c r="D48" s="633" t="str">
        <f>'10. Qualitative Analysis'!F52</f>
        <v>2&amp;3</v>
      </c>
      <c r="E48" s="633">
        <f>'10. Qualitative Analysis'!G52</f>
        <v>1.5</v>
      </c>
      <c r="F48" s="562">
        <v>2</v>
      </c>
      <c r="G48" s="607">
        <f t="shared" si="0"/>
        <v>0.75</v>
      </c>
      <c r="H48" s="590" t="str">
        <f t="shared" ref="H48:H63" si="5">IF(G48&gt;=80%,"Excellent",IF(G48&gt;=70%,"Good",IF(G48&gt;=60%,"Marginal",IF(G48&lt;60%,"Unacceptable",0))))</f>
        <v>Good</v>
      </c>
      <c r="K48" s="627"/>
    </row>
    <row r="49" spans="2:13" ht="14.5" thickBot="1" x14ac:dyDescent="0.35">
      <c r="B49" s="628" t="s">
        <v>356</v>
      </c>
      <c r="C49" s="629" t="s">
        <v>296</v>
      </c>
      <c r="D49" s="630"/>
      <c r="E49" s="631">
        <f>SUM(E50:E53)</f>
        <v>5</v>
      </c>
      <c r="F49" s="631">
        <f>SUM(F50:F53)</f>
        <v>7</v>
      </c>
      <c r="G49" s="610">
        <f t="shared" si="0"/>
        <v>0.7142857142857143</v>
      </c>
      <c r="H49" s="590" t="str">
        <f t="shared" si="5"/>
        <v>Good</v>
      </c>
    </row>
    <row r="50" spans="2:13" ht="37.5" customHeight="1" thickBot="1" x14ac:dyDescent="0.35">
      <c r="B50" s="603" t="s">
        <v>357</v>
      </c>
      <c r="C50" s="618" t="s">
        <v>298</v>
      </c>
      <c r="D50" s="635" t="str">
        <f>'10. Qualitative Analysis'!F58</f>
        <v>More than 10 years in the related line of business</v>
      </c>
      <c r="E50" s="625">
        <f>'10. Qualitative Analysis'!G58</f>
        <v>2</v>
      </c>
      <c r="F50" s="562">
        <v>2</v>
      </c>
      <c r="G50" s="607">
        <f t="shared" si="0"/>
        <v>1</v>
      </c>
      <c r="H50" s="590" t="str">
        <f t="shared" si="5"/>
        <v>Excellent</v>
      </c>
      <c r="J50" s="636"/>
      <c r="K50" s="637"/>
      <c r="L50" s="637"/>
      <c r="M50" s="638"/>
    </row>
    <row r="51" spans="2:13" ht="33.75" customHeight="1" thickBot="1" x14ac:dyDescent="0.35">
      <c r="B51" s="613" t="s">
        <v>358</v>
      </c>
      <c r="C51" s="604" t="s">
        <v>302</v>
      </c>
      <c r="D51" s="639" t="str">
        <f>'10. Qualitative Analysis'!F63</f>
        <v>Yes, with good capability of successor</v>
      </c>
      <c r="E51" s="640">
        <f>'10. Qualitative Analysis'!G63</f>
        <v>2</v>
      </c>
      <c r="F51" s="615">
        <v>2</v>
      </c>
      <c r="G51" s="607">
        <f t="shared" si="0"/>
        <v>1</v>
      </c>
      <c r="H51" s="590" t="str">
        <f t="shared" si="5"/>
        <v>Excellent</v>
      </c>
      <c r="J51" s="641"/>
      <c r="K51" s="641"/>
      <c r="L51" s="641"/>
      <c r="M51" s="642"/>
    </row>
    <row r="52" spans="2:13" ht="14.5" thickBot="1" x14ac:dyDescent="0.35">
      <c r="B52" s="613" t="s">
        <v>359</v>
      </c>
      <c r="C52" s="604" t="s">
        <v>307</v>
      </c>
      <c r="D52" s="639" t="str">
        <f>'10. Qualitative Analysis'!F68</f>
        <v>Other Auditors</v>
      </c>
      <c r="E52" s="640">
        <f>'10. Qualitative Analysis'!G68</f>
        <v>1</v>
      </c>
      <c r="F52" s="615">
        <v>2</v>
      </c>
      <c r="G52" s="607">
        <f t="shared" si="0"/>
        <v>0.5</v>
      </c>
      <c r="H52" s="590" t="str">
        <f t="shared" si="5"/>
        <v>Unacceptable</v>
      </c>
      <c r="J52" s="641"/>
      <c r="K52" s="641"/>
      <c r="L52" s="641"/>
      <c r="M52" s="642"/>
    </row>
    <row r="53" spans="2:13" ht="34.5" customHeight="1" thickBot="1" x14ac:dyDescent="0.35">
      <c r="B53" s="613" t="s">
        <v>403</v>
      </c>
      <c r="C53" s="643" t="s">
        <v>404</v>
      </c>
      <c r="D53" s="639" t="str">
        <f>'10. Qualitative Analysis'!F72</f>
        <v>No</v>
      </c>
      <c r="E53" s="640">
        <f>'10. Qualitative Analysis'!G72</f>
        <v>0</v>
      </c>
      <c r="F53" s="615">
        <v>1</v>
      </c>
      <c r="G53" s="607">
        <f t="shared" si="0"/>
        <v>0</v>
      </c>
      <c r="H53" s="590" t="str">
        <f t="shared" si="5"/>
        <v>Unacceptable</v>
      </c>
      <c r="J53" s="641"/>
      <c r="K53" s="641"/>
      <c r="L53" s="641"/>
      <c r="M53" s="642"/>
    </row>
    <row r="54" spans="2:13" ht="14.5" thickBot="1" x14ac:dyDescent="0.35">
      <c r="B54" s="628" t="s">
        <v>360</v>
      </c>
      <c r="C54" s="629" t="s">
        <v>312</v>
      </c>
      <c r="D54" s="630"/>
      <c r="E54" s="631">
        <f>SUM(E55:E58)</f>
        <v>2.5</v>
      </c>
      <c r="F54" s="631">
        <f>SUM(F55:F58)</f>
        <v>11</v>
      </c>
      <c r="G54" s="610">
        <f t="shared" si="0"/>
        <v>0.22727272727272727</v>
      </c>
      <c r="H54" s="590" t="str">
        <f t="shared" si="5"/>
        <v>Unacceptable</v>
      </c>
      <c r="J54" s="641"/>
      <c r="K54" s="641"/>
      <c r="L54" s="641"/>
      <c r="M54" s="642"/>
    </row>
    <row r="55" spans="2:13" ht="38" thickBot="1" x14ac:dyDescent="0.35">
      <c r="B55" s="603" t="s">
        <v>361</v>
      </c>
      <c r="C55" s="618" t="s">
        <v>314</v>
      </c>
      <c r="D55" s="635" t="str">
        <f>'10. Qualitative Analysis'!F76</f>
        <v>Registered Hypothecation (1st Charge/1st Pari Passu Charge)</v>
      </c>
      <c r="E55" s="625">
        <f>'10. Qualitative Analysis'!G76</f>
        <v>1.5</v>
      </c>
      <c r="F55" s="562">
        <v>2</v>
      </c>
      <c r="G55" s="607">
        <f t="shared" si="0"/>
        <v>0.75</v>
      </c>
      <c r="H55" s="590" t="str">
        <f t="shared" si="5"/>
        <v>Good</v>
      </c>
      <c r="J55" s="641"/>
      <c r="K55" s="641"/>
      <c r="L55" s="641"/>
      <c r="M55" s="642"/>
    </row>
    <row r="56" spans="2:13" ht="67.5" customHeight="1" thickBot="1" x14ac:dyDescent="0.35">
      <c r="B56" s="603" t="s">
        <v>362</v>
      </c>
      <c r="C56" s="618" t="s">
        <v>316</v>
      </c>
      <c r="D56" s="635" t="str">
        <f>'10. Qualitative Analysis'!F81</f>
        <v>No Collateral</v>
      </c>
      <c r="E56" s="625">
        <f>'10. Qualitative Analysis'!G81</f>
        <v>0</v>
      </c>
      <c r="F56" s="562">
        <v>2</v>
      </c>
      <c r="G56" s="607">
        <f t="shared" si="0"/>
        <v>0</v>
      </c>
      <c r="H56" s="590" t="str">
        <f t="shared" si="5"/>
        <v>Unacceptable</v>
      </c>
      <c r="J56" s="641"/>
      <c r="K56" s="641"/>
      <c r="L56" s="641"/>
      <c r="M56" s="642"/>
    </row>
    <row r="57" spans="2:13" ht="14.5" thickBot="1" x14ac:dyDescent="0.35">
      <c r="B57" s="603" t="s">
        <v>363</v>
      </c>
      <c r="C57" s="618" t="s">
        <v>995</v>
      </c>
      <c r="D57" s="625" t="str">
        <f>'10. Qualitative Analysis'!F86</f>
        <v>&lt;50%</v>
      </c>
      <c r="E57" s="625">
        <f>'10. Qualitative Analysis'!G86</f>
        <v>0</v>
      </c>
      <c r="F57" s="562">
        <v>5</v>
      </c>
      <c r="G57" s="607">
        <f t="shared" si="0"/>
        <v>0</v>
      </c>
      <c r="H57" s="590" t="str">
        <f t="shared" si="5"/>
        <v>Unacceptable</v>
      </c>
      <c r="J57" s="641"/>
      <c r="K57" s="641"/>
      <c r="L57" s="641"/>
      <c r="M57" s="642"/>
    </row>
    <row r="58" spans="2:13" ht="48" customHeight="1" thickBot="1" x14ac:dyDescent="0.35">
      <c r="B58" s="603" t="s">
        <v>364</v>
      </c>
      <c r="C58" s="618" t="s">
        <v>323</v>
      </c>
      <c r="D58" s="635" t="str">
        <f>'10. Qualitative Analysis'!F92</f>
        <v>Personal Guarantees or Corporate Guarantee without Strong Financial Strength</v>
      </c>
      <c r="E58" s="625">
        <f>'10. Qualitative Analysis'!G92</f>
        <v>1</v>
      </c>
      <c r="F58" s="562">
        <v>2</v>
      </c>
      <c r="G58" s="607">
        <f t="shared" si="0"/>
        <v>0.5</v>
      </c>
      <c r="H58" s="590" t="str">
        <f t="shared" si="5"/>
        <v>Unacceptable</v>
      </c>
      <c r="J58" s="641"/>
      <c r="K58" s="641"/>
      <c r="L58" s="641"/>
      <c r="M58" s="642"/>
    </row>
    <row r="59" spans="2:13" ht="16.5" customHeight="1" thickBot="1" x14ac:dyDescent="0.35">
      <c r="B59" s="628" t="s">
        <v>365</v>
      </c>
      <c r="C59" s="767" t="s">
        <v>323</v>
      </c>
      <c r="D59" s="630"/>
      <c r="E59" s="644">
        <f>E60</f>
        <v>3</v>
      </c>
      <c r="F59" s="631">
        <f>F60</f>
        <v>3</v>
      </c>
      <c r="G59" s="610">
        <f t="shared" si="0"/>
        <v>1</v>
      </c>
      <c r="H59" s="590" t="str">
        <f t="shared" si="5"/>
        <v>Excellent</v>
      </c>
      <c r="J59" s="641"/>
      <c r="K59" s="641"/>
      <c r="L59" s="641"/>
      <c r="M59" s="642"/>
    </row>
    <row r="60" spans="2:13" ht="56.25" customHeight="1" thickBot="1" x14ac:dyDescent="0.35">
      <c r="B60" s="645" t="s">
        <v>397</v>
      </c>
      <c r="C60" s="618" t="s">
        <v>327</v>
      </c>
      <c r="D60" s="635" t="str">
        <f>'10. Qualitative Analysis'!F99</f>
        <v>More than 3 years Accounts with Faultless Record</v>
      </c>
      <c r="E60" s="625">
        <f>'10. Qualitative Analysis'!G99</f>
        <v>3</v>
      </c>
      <c r="F60" s="646">
        <v>3</v>
      </c>
      <c r="G60" s="607">
        <f t="shared" si="0"/>
        <v>1</v>
      </c>
      <c r="H60" s="590" t="str">
        <f t="shared" si="5"/>
        <v>Excellent</v>
      </c>
      <c r="J60" s="641"/>
      <c r="K60" s="641"/>
      <c r="L60" s="641"/>
      <c r="M60" s="642"/>
    </row>
    <row r="61" spans="2:13" ht="14.5" thickBot="1" x14ac:dyDescent="0.35">
      <c r="B61" s="628" t="s">
        <v>366</v>
      </c>
      <c r="C61" s="629" t="s">
        <v>332</v>
      </c>
      <c r="D61" s="630"/>
      <c r="E61" s="644">
        <f>SUM(E62:E63)</f>
        <v>2</v>
      </c>
      <c r="F61" s="631">
        <f>SUM(F62:F63)</f>
        <v>2</v>
      </c>
      <c r="G61" s="610">
        <f t="shared" si="0"/>
        <v>1</v>
      </c>
      <c r="H61" s="590" t="str">
        <f t="shared" si="5"/>
        <v>Excellent</v>
      </c>
      <c r="J61" s="641"/>
      <c r="K61" s="641"/>
      <c r="L61" s="641"/>
      <c r="M61" s="642"/>
    </row>
    <row r="62" spans="2:13" ht="42.5" thickBot="1" x14ac:dyDescent="0.35">
      <c r="B62" s="603" t="s">
        <v>367</v>
      </c>
      <c r="C62" s="618" t="s">
        <v>334</v>
      </c>
      <c r="D62" s="625" t="str">
        <f>'10. Qualitative Analysis'!F105</f>
        <v>Yes</v>
      </c>
      <c r="E62" s="625">
        <f>'10. Qualitative Analysis'!G105</f>
        <v>1</v>
      </c>
      <c r="F62" s="562">
        <v>1</v>
      </c>
      <c r="G62" s="607">
        <f t="shared" si="0"/>
        <v>1</v>
      </c>
      <c r="H62" s="590" t="str">
        <f t="shared" si="5"/>
        <v>Excellent</v>
      </c>
    </row>
    <row r="63" spans="2:13" ht="28" x14ac:dyDescent="0.3">
      <c r="B63" s="603" t="s">
        <v>368</v>
      </c>
      <c r="C63" s="618" t="s">
        <v>336</v>
      </c>
      <c r="D63" s="635" t="str">
        <f>'10. Qualitative Analysis'!F108</f>
        <v xml:space="preserve">Good Corporate Governance </v>
      </c>
      <c r="E63" s="625">
        <f>'10. Qualitative Analysis'!G108</f>
        <v>1</v>
      </c>
      <c r="F63" s="562">
        <v>1</v>
      </c>
      <c r="G63" s="607">
        <f t="shared" si="0"/>
        <v>1</v>
      </c>
      <c r="H63" s="590" t="str">
        <f t="shared" si="5"/>
        <v>Excellent</v>
      </c>
    </row>
    <row r="64" spans="2:13" hidden="1" x14ac:dyDescent="0.3">
      <c r="B64" s="1066" t="s">
        <v>596</v>
      </c>
      <c r="C64" s="1066"/>
      <c r="D64" s="1066"/>
      <c r="E64" s="1066"/>
      <c r="F64" s="1066"/>
      <c r="G64" s="1066"/>
      <c r="H64" s="1066"/>
    </row>
    <row r="65" spans="1:8" ht="42" hidden="1" customHeight="1" x14ac:dyDescent="0.3">
      <c r="B65" s="1067" t="s">
        <v>599</v>
      </c>
      <c r="C65" s="1067"/>
      <c r="D65" s="1067"/>
      <c r="E65" s="1067"/>
      <c r="F65" s="1067"/>
      <c r="G65" s="1067"/>
      <c r="H65" s="1067"/>
    </row>
    <row r="66" spans="1:8" ht="14.25" hidden="1" customHeight="1" x14ac:dyDescent="0.3">
      <c r="B66" s="1067" t="s">
        <v>421</v>
      </c>
      <c r="C66" s="1067"/>
      <c r="D66" s="1067"/>
      <c r="E66" s="1067"/>
      <c r="F66" s="1067"/>
      <c r="G66" s="1067"/>
      <c r="H66" s="1067"/>
    </row>
    <row r="67" spans="1:8" ht="28.5" hidden="1" customHeight="1" x14ac:dyDescent="0.3">
      <c r="B67" s="1067"/>
      <c r="C67" s="1067"/>
      <c r="D67" s="1067"/>
      <c r="E67" s="1067"/>
      <c r="F67" s="1067"/>
      <c r="G67" s="1067"/>
      <c r="H67" s="1067"/>
    </row>
    <row r="68" spans="1:8" ht="26.25" hidden="1" customHeight="1" x14ac:dyDescent="0.3">
      <c r="B68" s="1067" t="s">
        <v>600</v>
      </c>
      <c r="C68" s="1067"/>
      <c r="D68" s="1067"/>
      <c r="E68" s="1067"/>
      <c r="F68" s="1067"/>
      <c r="G68" s="1067"/>
      <c r="H68" s="1067"/>
    </row>
    <row r="69" spans="1:8" ht="28.5" hidden="1" customHeight="1" x14ac:dyDescent="0.3">
      <c r="B69" s="1053" t="s">
        <v>430</v>
      </c>
      <c r="C69" s="1053"/>
      <c r="D69" s="1053"/>
      <c r="E69" s="1053"/>
      <c r="F69" s="1053"/>
      <c r="G69" s="1053"/>
      <c r="H69" s="1053"/>
    </row>
    <row r="70" spans="1:8" hidden="1" x14ac:dyDescent="0.3">
      <c r="B70" s="544"/>
      <c r="D70" s="544"/>
      <c r="E70" s="544"/>
      <c r="F70" s="544"/>
      <c r="G70" s="544"/>
      <c r="H70" s="544"/>
    </row>
    <row r="71" spans="1:8" hidden="1" x14ac:dyDescent="0.3">
      <c r="B71" s="544"/>
      <c r="D71" s="544"/>
      <c r="E71" s="544"/>
      <c r="F71" s="544"/>
      <c r="G71" s="544"/>
      <c r="H71" s="544"/>
    </row>
    <row r="72" spans="1:8" s="557" customFormat="1" x14ac:dyDescent="0.3">
      <c r="A72" s="554"/>
      <c r="B72" s="647"/>
      <c r="C72" s="648"/>
      <c r="D72" s="649"/>
      <c r="E72" s="647"/>
      <c r="F72" s="647"/>
      <c r="G72" s="647"/>
      <c r="H72" s="647"/>
    </row>
    <row r="73" spans="1:8" s="557" customFormat="1" x14ac:dyDescent="0.3">
      <c r="A73" s="554"/>
      <c r="B73" s="647"/>
      <c r="C73" s="648"/>
      <c r="D73" s="649"/>
      <c r="E73" s="647"/>
      <c r="F73" s="647"/>
      <c r="G73" s="647"/>
      <c r="H73" s="647"/>
    </row>
    <row r="74" spans="1:8" s="557" customFormat="1" x14ac:dyDescent="0.3">
      <c r="A74" s="554"/>
      <c r="B74" s="647"/>
      <c r="C74" s="648"/>
      <c r="D74" s="649"/>
      <c r="E74" s="647"/>
      <c r="F74" s="647"/>
      <c r="G74" s="647"/>
      <c r="H74" s="647"/>
    </row>
    <row r="75" spans="1:8" s="557" customFormat="1" x14ac:dyDescent="0.3">
      <c r="A75" s="554"/>
      <c r="B75" s="647"/>
      <c r="C75" s="648"/>
      <c r="D75" s="649"/>
      <c r="E75" s="647"/>
      <c r="F75" s="647"/>
      <c r="G75" s="647"/>
      <c r="H75" s="647"/>
    </row>
    <row r="76" spans="1:8" s="557" customFormat="1" x14ac:dyDescent="0.3">
      <c r="A76" s="554"/>
      <c r="B76" s="647"/>
      <c r="C76" s="648"/>
      <c r="D76" s="649"/>
      <c r="E76" s="647"/>
      <c r="F76" s="647"/>
      <c r="G76" s="647"/>
      <c r="H76" s="647"/>
    </row>
    <row r="77" spans="1:8" s="557" customFormat="1" x14ac:dyDescent="0.3">
      <c r="A77" s="554"/>
      <c r="B77" s="647"/>
      <c r="C77" s="648"/>
      <c r="D77" s="649"/>
      <c r="E77" s="647"/>
      <c r="F77" s="647"/>
      <c r="G77" s="647"/>
      <c r="H77" s="647"/>
    </row>
    <row r="78" spans="1:8" s="557" customFormat="1" x14ac:dyDescent="0.3">
      <c r="A78" s="554"/>
      <c r="B78" s="647"/>
      <c r="C78" s="648"/>
      <c r="D78" s="649"/>
      <c r="E78" s="647"/>
      <c r="F78" s="647"/>
      <c r="G78" s="647"/>
      <c r="H78" s="647"/>
    </row>
    <row r="79" spans="1:8" s="557" customFormat="1" x14ac:dyDescent="0.3">
      <c r="A79" s="554"/>
      <c r="B79" s="647"/>
      <c r="C79" s="648"/>
      <c r="D79" s="649"/>
      <c r="E79" s="647"/>
      <c r="F79" s="647"/>
      <c r="G79" s="647"/>
      <c r="H79" s="647"/>
    </row>
    <row r="80" spans="1:8" s="557" customFormat="1" x14ac:dyDescent="0.3">
      <c r="A80" s="554"/>
      <c r="B80" s="647"/>
      <c r="C80" s="648"/>
      <c r="D80" s="649"/>
      <c r="E80" s="647"/>
      <c r="F80" s="647"/>
      <c r="G80" s="647"/>
      <c r="H80" s="647"/>
    </row>
    <row r="81" spans="1:8" s="557" customFormat="1" x14ac:dyDescent="0.3">
      <c r="A81" s="554"/>
      <c r="B81" s="647"/>
      <c r="C81" s="648"/>
      <c r="D81" s="649"/>
      <c r="E81" s="647"/>
      <c r="F81" s="647"/>
      <c r="G81" s="647"/>
      <c r="H81" s="647"/>
    </row>
    <row r="82" spans="1:8" s="557" customFormat="1" x14ac:dyDescent="0.3">
      <c r="A82" s="554"/>
      <c r="B82" s="647"/>
      <c r="C82" s="648"/>
      <c r="D82" s="649"/>
      <c r="E82" s="647"/>
      <c r="F82" s="647"/>
      <c r="G82" s="647"/>
      <c r="H82" s="647"/>
    </row>
    <row r="83" spans="1:8" s="557" customFormat="1" x14ac:dyDescent="0.3">
      <c r="A83" s="554"/>
      <c r="B83" s="647"/>
      <c r="C83" s="648"/>
      <c r="D83" s="649"/>
      <c r="E83" s="647"/>
      <c r="F83" s="647"/>
      <c r="G83" s="647"/>
      <c r="H83" s="647"/>
    </row>
    <row r="84" spans="1:8" s="557" customFormat="1" x14ac:dyDescent="0.3">
      <c r="A84" s="554"/>
      <c r="B84" s="647"/>
      <c r="C84" s="648"/>
      <c r="D84" s="649"/>
      <c r="E84" s="647"/>
      <c r="F84" s="647"/>
      <c r="G84" s="647"/>
      <c r="H84" s="647"/>
    </row>
    <row r="85" spans="1:8" s="557" customFormat="1" x14ac:dyDescent="0.3">
      <c r="A85" s="554"/>
      <c r="B85" s="647"/>
      <c r="C85" s="648"/>
      <c r="D85" s="649"/>
      <c r="E85" s="647"/>
      <c r="F85" s="647"/>
      <c r="G85" s="647"/>
      <c r="H85" s="647"/>
    </row>
    <row r="86" spans="1:8" s="557" customFormat="1" x14ac:dyDescent="0.3">
      <c r="A86" s="554"/>
      <c r="B86" s="647"/>
      <c r="C86" s="648"/>
      <c r="D86" s="649"/>
      <c r="E86" s="647"/>
      <c r="F86" s="647"/>
      <c r="G86" s="647"/>
      <c r="H86" s="647"/>
    </row>
    <row r="87" spans="1:8" s="557" customFormat="1" x14ac:dyDescent="0.3">
      <c r="A87" s="554"/>
      <c r="B87" s="647"/>
      <c r="C87" s="648"/>
      <c r="D87" s="649"/>
      <c r="E87" s="647"/>
      <c r="F87" s="647"/>
      <c r="G87" s="647"/>
      <c r="H87" s="647"/>
    </row>
    <row r="88" spans="1:8" s="557" customFormat="1" x14ac:dyDescent="0.3">
      <c r="A88" s="554"/>
      <c r="B88" s="647"/>
      <c r="C88" s="648"/>
      <c r="D88" s="649"/>
      <c r="E88" s="647"/>
      <c r="F88" s="647"/>
      <c r="G88" s="647"/>
      <c r="H88" s="647"/>
    </row>
    <row r="89" spans="1:8" s="557" customFormat="1" x14ac:dyDescent="0.3">
      <c r="A89" s="554"/>
      <c r="B89" s="647"/>
      <c r="C89" s="648"/>
      <c r="D89" s="649"/>
      <c r="E89" s="647"/>
      <c r="F89" s="647"/>
      <c r="G89" s="647"/>
      <c r="H89" s="647"/>
    </row>
    <row r="90" spans="1:8" s="557" customFormat="1" x14ac:dyDescent="0.3">
      <c r="A90" s="554"/>
      <c r="B90" s="647"/>
      <c r="C90" s="648"/>
      <c r="D90" s="649"/>
      <c r="E90" s="647"/>
      <c r="F90" s="647"/>
      <c r="G90" s="647"/>
      <c r="H90" s="647"/>
    </row>
    <row r="91" spans="1:8" s="557" customFormat="1" x14ac:dyDescent="0.3">
      <c r="A91" s="554"/>
      <c r="B91" s="647"/>
      <c r="C91" s="648"/>
      <c r="D91" s="649"/>
      <c r="E91" s="647"/>
      <c r="F91" s="647"/>
      <c r="G91" s="647"/>
      <c r="H91" s="647"/>
    </row>
    <row r="92" spans="1:8" s="557" customFormat="1" x14ac:dyDescent="0.3">
      <c r="A92" s="554"/>
      <c r="B92" s="647"/>
      <c r="C92" s="648"/>
      <c r="D92" s="649"/>
      <c r="E92" s="647"/>
      <c r="F92" s="647"/>
      <c r="G92" s="647"/>
      <c r="H92" s="647"/>
    </row>
    <row r="93" spans="1:8" s="557" customFormat="1" x14ac:dyDescent="0.3">
      <c r="A93" s="554"/>
      <c r="B93" s="647"/>
      <c r="C93" s="648"/>
      <c r="D93" s="649"/>
      <c r="E93" s="647"/>
      <c r="F93" s="647"/>
      <c r="G93" s="647"/>
      <c r="H93" s="647"/>
    </row>
    <row r="94" spans="1:8" s="557" customFormat="1" x14ac:dyDescent="0.3">
      <c r="A94" s="554"/>
      <c r="B94" s="647"/>
      <c r="C94" s="648"/>
      <c r="D94" s="649"/>
      <c r="E94" s="647"/>
      <c r="F94" s="647"/>
      <c r="G94" s="647"/>
      <c r="H94" s="647"/>
    </row>
    <row r="95" spans="1:8" s="557" customFormat="1" x14ac:dyDescent="0.3">
      <c r="A95" s="554"/>
      <c r="B95" s="647"/>
      <c r="C95" s="648"/>
      <c r="D95" s="649"/>
      <c r="E95" s="647"/>
      <c r="F95" s="647"/>
      <c r="G95" s="647"/>
      <c r="H95" s="647"/>
    </row>
    <row r="96" spans="1:8" s="557" customFormat="1" x14ac:dyDescent="0.3">
      <c r="A96" s="554"/>
      <c r="B96" s="647"/>
      <c r="C96" s="648"/>
      <c r="D96" s="649"/>
      <c r="E96" s="647"/>
      <c r="F96" s="647"/>
      <c r="G96" s="647"/>
      <c r="H96" s="647"/>
    </row>
  </sheetData>
  <sheetProtection password="F93C" sheet="1" objects="1" scenarios="1" selectLockedCells="1" selectUnlockedCells="1"/>
  <mergeCells count="29">
    <mergeCell ref="B64:H64"/>
    <mergeCell ref="B65:H65"/>
    <mergeCell ref="B66:H67"/>
    <mergeCell ref="B68:H68"/>
    <mergeCell ref="B69:H69"/>
    <mergeCell ref="B39:D39"/>
    <mergeCell ref="H7:H8"/>
    <mergeCell ref="H9:H10"/>
    <mergeCell ref="H11:H12"/>
    <mergeCell ref="B13:C13"/>
    <mergeCell ref="B12:C12"/>
    <mergeCell ref="D10:D11"/>
    <mergeCell ref="B7:C7"/>
    <mergeCell ref="B8:C8"/>
    <mergeCell ref="B9:C9"/>
    <mergeCell ref="B10:C11"/>
    <mergeCell ref="E7:F8"/>
    <mergeCell ref="E9:F10"/>
    <mergeCell ref="E11:F12"/>
    <mergeCell ref="B1:H1"/>
    <mergeCell ref="J18:L26"/>
    <mergeCell ref="E6:F6"/>
    <mergeCell ref="B2:C2"/>
    <mergeCell ref="B4:C4"/>
    <mergeCell ref="B3:C3"/>
    <mergeCell ref="B5:C5"/>
    <mergeCell ref="B6:C6"/>
    <mergeCell ref="E2:H5"/>
    <mergeCell ref="B16:D16"/>
  </mergeCells>
  <conditionalFormatting sqref="H6:H63">
    <cfRule type="containsText" dxfId="48" priority="12" operator="containsText" text="Unacceptable">
      <formula>NOT(ISERROR(SEARCH("Unacceptable",H6)))</formula>
    </cfRule>
    <cfRule type="containsText" dxfId="47" priority="13" operator="containsText" text="Fair">
      <formula>NOT(ISERROR(SEARCH("Fair",H6)))</formula>
    </cfRule>
    <cfRule type="containsText" dxfId="46" priority="14" operator="containsText" text="Good">
      <formula>NOT(ISERROR(SEARCH("Good",H6)))</formula>
    </cfRule>
    <cfRule type="containsText" dxfId="45" priority="15" operator="containsText" text="Excellent">
      <formula>NOT(ISERROR(SEARCH("Excellent",H6)))</formula>
    </cfRule>
  </conditionalFormatting>
  <conditionalFormatting sqref="H7:H12">
    <cfRule type="containsText" dxfId="44" priority="4" operator="containsText" text="Marginal">
      <formula>NOT(ISERROR(SEARCH("Marginal",H7)))</formula>
    </cfRule>
    <cfRule type="iconSet" priority="16">
      <iconSet iconSet="3Arrows">
        <cfvo type="percent" val="0"/>
        <cfvo type="percent" val="33"/>
        <cfvo type="percent" val="67"/>
      </iconSet>
    </cfRule>
    <cfRule type="colorScale" priority="18">
      <colorScale>
        <cfvo type="min"/>
        <cfvo type="percentile" val="50"/>
        <cfvo type="max"/>
        <color rgb="FF63BE7B"/>
        <color rgb="FFFFEB84"/>
        <color rgb="FFF8696B"/>
      </colorScale>
    </cfRule>
    <cfRule type="cellIs" dxfId="42" priority="19" operator="lessThan">
      <formula>0.8</formula>
    </cfRule>
    <cfRule type="cellIs" dxfId="41" priority="20" operator="greaterThan">
      <formula>0.85</formula>
    </cfRule>
    <cfRule type="cellIs" dxfId="40" priority="21" operator="greaterThan">
      <formula>$G$8</formula>
    </cfRule>
  </conditionalFormatting>
  <conditionalFormatting sqref="H16:H63">
    <cfRule type="containsText" dxfId="35" priority="2" operator="containsText" text="Marginal">
      <formula>NOT(ISERROR(SEARCH("Marginal",H16)))</formula>
    </cfRule>
    <cfRule type="containsText" dxfId="34" priority="3" operator="containsText" text="Marginal">
      <formula>NOT(ISERROR(SEARCH("Marginal",H16)))</formula>
    </cfRule>
  </conditionalFormatting>
  <conditionalFormatting sqref="H33">
    <cfRule type="containsText" dxfId="33" priority="1" operator="containsText" text="#DIV/0!">
      <formula>NOT(ISERROR(SEARCH("#DIV/0!",H33)))</formula>
    </cfRule>
  </conditionalFormatting>
  <pageMargins left="0.25" right="0.25" top="0.75" bottom="0.75" header="0.3" footer="0.3"/>
  <pageSetup paperSize="9" scale="90" orientation="portrait" r:id="rId1"/>
  <headerFooter>
    <oddHeader>&amp;C&amp;"+,Bold"&amp;14Internal Credit Risk Rating System 
&amp;"+,Regular"(Detail Report)</oddHeader>
  </headerFooter>
  <ignoredErrors>
    <ignoredError sqref="E54" formulaRange="1"/>
  </ignoredErrors>
  <extLst>
    <ext xmlns:x14="http://schemas.microsoft.com/office/spreadsheetml/2009/9/main" uri="{78C0D931-6437-407d-A8EE-F0AAD7539E65}">
      <x14:conditionalFormattings>
        <x14:conditionalFormatting xmlns:xm="http://schemas.microsoft.com/office/excel/2006/main">
          <x14:cfRule type="containsText" priority="6" operator="containsText" id="{4E81998B-D58D-410B-8548-6C907DC90FCA}">
            <xm:f>NOT(ISERROR(SEARCH('3. Top Page'!#REF!,D5)))</xm:f>
            <xm:f>'3. Top Page'!#REF!</xm:f>
            <x14:dxf>
              <font>
                <color rgb="FF9C0006"/>
              </font>
              <fill>
                <patternFill>
                  <bgColor rgb="FFFFC7CE"/>
                </patternFill>
              </fill>
            </x14:dxf>
          </x14:cfRule>
          <xm:sqref>D5</xm:sqref>
        </x14:conditionalFormatting>
        <x14:conditionalFormatting xmlns:xm="http://schemas.microsoft.com/office/excel/2006/main">
          <x14:cfRule type="containsText" priority="5" operator="containsText" id="{45DC3D7A-A089-43CF-83B4-3367E27F7FA4}">
            <xm:f>NOT(ISERROR(SEARCH($K$7,H7)))</xm:f>
            <xm:f>$K$7</xm:f>
            <x14:dxf>
              <font>
                <color theme="0"/>
              </font>
              <fill>
                <patternFill>
                  <bgColor rgb="FF00B050"/>
                </patternFill>
              </fill>
            </x14:dxf>
          </x14:cfRule>
          <xm:sqref>H7:H12</xm:sqref>
        </x14:conditionalFormatting>
        <x14:conditionalFormatting xmlns:xm="http://schemas.microsoft.com/office/excel/2006/main">
          <x14:cfRule type="containsText" priority="22" operator="containsText" id="{A3A2AECA-A27F-4EA1-BFC3-DB16DF9874EA}">
            <xm:f>NOT(ISERROR(SEARCH($K$7,H7)))</xm:f>
            <xm:f>$K$7</xm:f>
            <x14:dxf>
              <font>
                <color theme="0"/>
              </font>
              <fill>
                <patternFill>
                  <bgColor rgb="FF00B050"/>
                </patternFill>
              </fill>
            </x14:dxf>
          </x14:cfRule>
          <x14:cfRule type="containsText" priority="22" operator="containsText" id="{6FF0EC97-63BC-4659-9235-1441D29F5C81}">
            <xm:f>NOT(ISERROR(SEARCH($K$10,H7)))</xm:f>
            <xm:f>$K$10</xm:f>
            <x14:dxf>
              <font>
                <color theme="0"/>
              </font>
              <fill>
                <patternFill>
                  <bgColor rgb="FFFF0000"/>
                </patternFill>
              </fill>
            </x14:dxf>
          </x14:cfRule>
          <x14:cfRule type="containsText" priority="22" operator="containsText" id="{6677904C-D576-4D4F-A559-EC268BC62FB7}">
            <xm:f>NOT(ISERROR(SEARCH($K$8,H7)))</xm:f>
            <xm:f>$K$8</xm:f>
            <x14:dxf>
              <font>
                <color theme="0"/>
              </font>
              <fill>
                <patternFill>
                  <bgColor theme="3" tint="0.39994506668294322"/>
                </patternFill>
              </fill>
            </x14:dxf>
          </x14:cfRule>
          <x14:cfRule type="containsText" priority="22" operator="containsText" id="{871FDD24-DB37-4EA3-BE70-8134F43BC7BC}">
            <xm:f>NOT(ISERROR(SEARCH($K$9,H7)))</xm:f>
            <xm:f>$K$9</xm:f>
            <x14:dxf>
              <font>
                <color auto="1"/>
              </font>
              <fill>
                <patternFill>
                  <bgColor rgb="FFFFFF00"/>
                </patternFill>
              </fill>
            </x14:dxf>
          </x14:cfRule>
          <xm:sqref>H7:H63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4"/>
  <dimension ref="A1:O92"/>
  <sheetViews>
    <sheetView zoomScaleSheetLayoutView="100" zoomScalePageLayoutView="71" workbookViewId="0">
      <selection activeCell="I12" sqref="I12"/>
    </sheetView>
  </sheetViews>
  <sheetFormatPr defaultColWidth="9.1796875" defaultRowHeight="15" x14ac:dyDescent="0.35"/>
  <cols>
    <col min="1" max="1" width="18.81640625" style="653" customWidth="1"/>
    <col min="2" max="2" width="4.54296875" style="698" customWidth="1"/>
    <col min="3" max="3" width="24.26953125" style="699" customWidth="1"/>
    <col min="4" max="4" width="19.7265625" style="700" customWidth="1"/>
    <col min="5" max="6" width="14" style="701" customWidth="1"/>
    <col min="7" max="7" width="21.7265625" style="700" customWidth="1"/>
    <col min="8" max="8" width="17.7265625" style="658" customWidth="1"/>
    <col min="9" max="9" width="15.7265625" style="658" customWidth="1"/>
    <col min="10" max="10" width="16.1796875" style="658" customWidth="1"/>
    <col min="11" max="15" width="9.1796875" style="658" customWidth="1"/>
    <col min="16" max="17" width="9.1796875" style="659" customWidth="1"/>
    <col min="18" max="16384" width="9.1796875" style="659"/>
  </cols>
  <sheetData>
    <row r="1" spans="1:15" ht="15.5" x14ac:dyDescent="0.35">
      <c r="B1" s="654"/>
      <c r="C1" s="655"/>
      <c r="D1" s="656"/>
      <c r="E1" s="657"/>
      <c r="F1" s="657"/>
      <c r="G1" s="656"/>
    </row>
    <row r="2" spans="1:15" thickBot="1" x14ac:dyDescent="0.4">
      <c r="B2" s="660" t="str">
        <f>'11. Detail Managment Report'!B2:C2</f>
        <v>File / Reference No:</v>
      </c>
      <c r="C2" s="660"/>
      <c r="D2" s="661" t="str">
        <f>'11. Detail Managment Report'!D2</f>
        <v>Outpace Spinning Mills Ltd</v>
      </c>
      <c r="E2" s="657"/>
      <c r="F2" s="657"/>
      <c r="G2" s="591"/>
    </row>
    <row r="3" spans="1:15" ht="47.25" customHeight="1" thickBot="1" x14ac:dyDescent="0.4">
      <c r="B3" s="662" t="str">
        <f>'11. Detail Managment Report'!B3:C3</f>
        <v>Borrower Name</v>
      </c>
      <c r="C3" s="662"/>
      <c r="D3" s="663" t="s">
        <v>82</v>
      </c>
      <c r="E3" s="1080" t="s">
        <v>535</v>
      </c>
      <c r="F3" s="1080"/>
      <c r="G3" s="591"/>
    </row>
    <row r="4" spans="1:15" ht="43.5" customHeight="1" x14ac:dyDescent="0.35">
      <c r="B4" s="664" t="str">
        <f>'11. Detail Managment Report'!B4:C4</f>
        <v>Group Name (if any)</v>
      </c>
      <c r="C4" s="664"/>
      <c r="D4" s="665" t="str">
        <f>'11. Detail Managment Report'!D4</f>
        <v>Outright Group</v>
      </c>
      <c r="E4" s="657"/>
      <c r="F4" s="657"/>
      <c r="G4" s="591"/>
      <c r="H4" s="778"/>
      <c r="I4" s="779" t="s">
        <v>543</v>
      </c>
      <c r="J4" s="779" t="s">
        <v>544</v>
      </c>
    </row>
    <row r="5" spans="1:15" ht="18.75" customHeight="1" thickBot="1" x14ac:dyDescent="0.4">
      <c r="B5" s="662" t="str">
        <f>'11. Detail Managment Report'!B5:C5</f>
        <v>Industry Name</v>
      </c>
      <c r="C5" s="662"/>
      <c r="D5" s="667" t="str">
        <f>'11. Detail Managment Report'!D5</f>
        <v xml:space="preserve">2.  Textile </v>
      </c>
      <c r="E5" s="668"/>
      <c r="F5" s="668"/>
      <c r="G5" s="668"/>
      <c r="H5" s="778" t="s">
        <v>281</v>
      </c>
      <c r="I5" s="780">
        <f>F31</f>
        <v>0.505</v>
      </c>
      <c r="J5" s="780">
        <f>1-I5</f>
        <v>0.495</v>
      </c>
    </row>
    <row r="6" spans="1:15" ht="22.5" customHeight="1" x14ac:dyDescent="0.35">
      <c r="B6" s="664" t="str">
        <f>'11. Detail Managment Report'!B6:C6</f>
        <v>Latest CIB Status</v>
      </c>
      <c r="C6" s="664"/>
      <c r="D6" s="665" t="str">
        <f>'11. Detail Managment Report'!D6</f>
        <v>Standard</v>
      </c>
      <c r="E6" s="1081" t="s">
        <v>536</v>
      </c>
      <c r="F6" s="1081"/>
      <c r="G6" s="669"/>
      <c r="H6" s="778" t="s">
        <v>406</v>
      </c>
      <c r="I6" s="780">
        <f>F17</f>
        <v>0.36666666666666664</v>
      </c>
      <c r="J6" s="780">
        <f t="shared" ref="J6:J7" si="0">1-I6</f>
        <v>0.6333333333333333</v>
      </c>
    </row>
    <row r="7" spans="1:15" ht="18.75" customHeight="1" thickBot="1" x14ac:dyDescent="0.4">
      <c r="B7" s="662" t="str">
        <f>'11. Detail Managment Report'!B7:C7</f>
        <v>Audit Status</v>
      </c>
      <c r="C7" s="662"/>
      <c r="D7" s="663" t="str">
        <f>'11. Detail Managment Report'!D7</f>
        <v>Unaudited</v>
      </c>
      <c r="E7" s="1082"/>
      <c r="F7" s="1082"/>
      <c r="G7" s="669"/>
      <c r="H7" s="778" t="s">
        <v>405</v>
      </c>
      <c r="I7" s="780">
        <f>F24</f>
        <v>0.71250000000000002</v>
      </c>
      <c r="J7" s="780">
        <f t="shared" si="0"/>
        <v>0.28749999999999998</v>
      </c>
    </row>
    <row r="8" spans="1:15" ht="22.5" customHeight="1" x14ac:dyDescent="0.35">
      <c r="B8" s="664" t="str">
        <f>'11. Detail Managment Report'!B8:C8</f>
        <v>Auditor Name</v>
      </c>
      <c r="C8" s="664"/>
      <c r="D8" s="665" t="str">
        <f>'11. Detail Managment Report'!D8</f>
        <v>Dewan Nazrul Islam &amp; Co.</v>
      </c>
      <c r="E8" s="670"/>
      <c r="F8" s="670"/>
      <c r="G8" s="669"/>
      <c r="H8" s="778"/>
      <c r="I8" s="778"/>
      <c r="J8" s="778"/>
    </row>
    <row r="9" spans="1:15" ht="20.25" customHeight="1" x14ac:dyDescent="0.35">
      <c r="B9" s="662" t="str">
        <f>'11. Detail Managment Report'!B9:C9</f>
        <v>Analyst Name, Designations</v>
      </c>
      <c r="C9" s="662"/>
      <c r="D9" s="663" t="str">
        <f>'11. Detail Managment Report'!D9</f>
        <v>Md. Matiur Rahman, SRM</v>
      </c>
      <c r="E9" s="670"/>
      <c r="F9" s="670"/>
      <c r="G9" s="669"/>
    </row>
    <row r="10" spans="1:15" ht="22.5" customHeight="1" thickBot="1" x14ac:dyDescent="0.4">
      <c r="B10" s="664" t="str">
        <f>'11. Detail Managment Report'!B10:C10</f>
        <v>Verifier Name, Designation</v>
      </c>
      <c r="C10" s="664"/>
      <c r="D10" s="665" t="str">
        <f>'11. Detail Managment Report'!D10</f>
        <v>Farhana Afrin, SM</v>
      </c>
      <c r="E10" s="670"/>
      <c r="F10" s="670"/>
      <c r="G10" s="669"/>
    </row>
    <row r="11" spans="1:15" ht="18" customHeight="1" x14ac:dyDescent="0.35">
      <c r="B11" s="662" t="str">
        <f>'11. Detail Managment Report'!B12:C12</f>
        <v>Date of Analysis</v>
      </c>
      <c r="C11" s="662"/>
      <c r="D11" s="671">
        <f>'11. Detail Managment Report'!D12</f>
        <v>45652</v>
      </c>
      <c r="E11" s="1083" t="s">
        <v>547</v>
      </c>
      <c r="F11" s="1083"/>
      <c r="G11" s="591"/>
      <c r="H11" s="672"/>
      <c r="I11" s="673"/>
      <c r="J11" s="672"/>
    </row>
    <row r="12" spans="1:15" ht="19.5" customHeight="1" thickBot="1" x14ac:dyDescent="0.4">
      <c r="B12" s="664" t="str">
        <f>'11. Detail Managment Report'!B13:C13</f>
        <v>Date of Financials</v>
      </c>
      <c r="C12" s="664"/>
      <c r="D12" s="674">
        <f>'11. Detail Managment Report'!D13</f>
        <v>45473</v>
      </c>
      <c r="E12" s="1084"/>
      <c r="F12" s="1084"/>
      <c r="G12" s="591"/>
      <c r="H12" s="672"/>
      <c r="I12" s="673"/>
      <c r="J12" s="672"/>
    </row>
    <row r="13" spans="1:15" ht="16.5" customHeight="1" x14ac:dyDescent="0.35">
      <c r="B13" s="1085" t="s">
        <v>1006</v>
      </c>
      <c r="C13" s="1085"/>
      <c r="D13" s="1085"/>
      <c r="E13" s="1085"/>
      <c r="F13" s="1085"/>
      <c r="G13" s="670"/>
      <c r="H13" s="672"/>
      <c r="I13" s="673"/>
      <c r="J13" s="672"/>
    </row>
    <row r="14" spans="1:15" ht="18.75" customHeight="1" x14ac:dyDescent="0.35">
      <c r="B14" s="1086"/>
      <c r="C14" s="1086"/>
      <c r="D14" s="1086"/>
      <c r="E14" s="1086"/>
      <c r="F14" s="1086"/>
      <c r="G14" s="675"/>
      <c r="H14" s="672"/>
      <c r="I14" s="673"/>
      <c r="J14" s="672"/>
    </row>
    <row r="15" spans="1:15" ht="174" customHeight="1" x14ac:dyDescent="0.35">
      <c r="B15" s="650"/>
      <c r="C15" s="544"/>
      <c r="D15" s="652"/>
      <c r="E15" s="650"/>
      <c r="F15" s="650"/>
      <c r="G15" s="676"/>
      <c r="H15" s="672"/>
      <c r="I15" s="673"/>
      <c r="J15" s="672"/>
    </row>
    <row r="16" spans="1:15" ht="15.5" x14ac:dyDescent="0.35">
      <c r="A16" s="677"/>
      <c r="B16" s="1079"/>
      <c r="C16" s="1079"/>
      <c r="D16" s="678" t="s">
        <v>227</v>
      </c>
      <c r="E16" s="678" t="s">
        <v>267</v>
      </c>
      <c r="F16" s="678" t="s">
        <v>409</v>
      </c>
      <c r="G16" s="679" t="s">
        <v>987</v>
      </c>
      <c r="H16" s="672"/>
      <c r="I16" s="673"/>
      <c r="J16" s="672"/>
      <c r="O16" s="658" t="s">
        <v>537</v>
      </c>
    </row>
    <row r="17" spans="2:15" ht="14.5" x14ac:dyDescent="0.35">
      <c r="B17" s="1073" t="s">
        <v>338</v>
      </c>
      <c r="C17" s="1074"/>
      <c r="D17" s="680">
        <f>SUM(D18:D23)</f>
        <v>22</v>
      </c>
      <c r="E17" s="680">
        <f>SUM(E18:E23)</f>
        <v>60</v>
      </c>
      <c r="F17" s="681">
        <f>D17/E17</f>
        <v>0.36666666666666664</v>
      </c>
      <c r="G17" s="682" t="str">
        <f>IF(F17&gt;=80%,"Excellent",IF(F17&gt;=70%,"Good",IF(F17&gt;=50%,"Marginal",IF(F17&lt;50%,"Unacceptable",0))))</f>
        <v>Unacceptable</v>
      </c>
    </row>
    <row r="18" spans="2:15" ht="14.5" x14ac:dyDescent="0.35">
      <c r="B18" s="683" t="s">
        <v>339</v>
      </c>
      <c r="C18" s="684" t="s">
        <v>340</v>
      </c>
      <c r="D18" s="685">
        <f>'11. Detail Managment Report'!E17</f>
        <v>1</v>
      </c>
      <c r="E18" s="685">
        <f>'11. Detail Managment Report'!F17</f>
        <v>10</v>
      </c>
      <c r="F18" s="686">
        <f t="shared" ref="F18:F31" si="1">D18/E18</f>
        <v>0.1</v>
      </c>
      <c r="G18" s="682" t="str">
        <f t="shared" ref="G18:G30" si="2">IF(F18&gt;=80%,"Excellent",IF(F18&gt;=70%,"Good",IF(F18&gt;=60%,"Marginal",IF(F18&lt;60%,"Unacceptable",0))))</f>
        <v>Unacceptable</v>
      </c>
      <c r="I18" s="687"/>
    </row>
    <row r="19" spans="2:15" ht="14.5" x14ac:dyDescent="0.35">
      <c r="B19" s="683" t="s">
        <v>271</v>
      </c>
      <c r="C19" s="684" t="s">
        <v>341</v>
      </c>
      <c r="D19" s="685">
        <f>'11. Detail Managment Report'!E20</f>
        <v>5</v>
      </c>
      <c r="E19" s="685">
        <f>'11. Detail Managment Report'!F20</f>
        <v>10</v>
      </c>
      <c r="F19" s="686">
        <f t="shared" si="1"/>
        <v>0.5</v>
      </c>
      <c r="G19" s="682" t="str">
        <f t="shared" si="2"/>
        <v>Unacceptable</v>
      </c>
      <c r="I19" s="687"/>
    </row>
    <row r="20" spans="2:15" ht="14.5" x14ac:dyDescent="0.35">
      <c r="B20" s="683" t="s">
        <v>282</v>
      </c>
      <c r="C20" s="684" t="s">
        <v>343</v>
      </c>
      <c r="D20" s="685">
        <f>'11. Detail Managment Report'!E23</f>
        <v>5</v>
      </c>
      <c r="E20" s="685">
        <f>'11. Detail Managment Report'!F23</f>
        <v>10</v>
      </c>
      <c r="F20" s="686">
        <f t="shared" si="1"/>
        <v>0.5</v>
      </c>
      <c r="G20" s="682" t="str">
        <f t="shared" si="2"/>
        <v>Unacceptable</v>
      </c>
    </row>
    <row r="21" spans="2:15" ht="14.5" x14ac:dyDescent="0.35">
      <c r="B21" s="683" t="s">
        <v>295</v>
      </c>
      <c r="C21" s="684" t="s">
        <v>344</v>
      </c>
      <c r="D21" s="685">
        <f>'11. Detail Managment Report'!E27</f>
        <v>6</v>
      </c>
      <c r="E21" s="685">
        <f>'11. Detail Managment Report'!F27</f>
        <v>15</v>
      </c>
      <c r="F21" s="686">
        <f t="shared" si="1"/>
        <v>0.4</v>
      </c>
      <c r="G21" s="682" t="str">
        <f t="shared" si="2"/>
        <v>Unacceptable</v>
      </c>
    </row>
    <row r="22" spans="2:15" ht="14.5" x14ac:dyDescent="0.35">
      <c r="B22" s="683" t="s">
        <v>311</v>
      </c>
      <c r="C22" s="684" t="s">
        <v>345</v>
      </c>
      <c r="D22" s="685">
        <f>'11. Detail Managment Report'!E32</f>
        <v>3</v>
      </c>
      <c r="E22" s="685">
        <f>'11. Detail Managment Report'!F32</f>
        <v>10</v>
      </c>
      <c r="F22" s="686">
        <f t="shared" si="1"/>
        <v>0.3</v>
      </c>
      <c r="G22" s="682" t="str">
        <f t="shared" si="2"/>
        <v>Unacceptable</v>
      </c>
    </row>
    <row r="23" spans="2:15" ht="14.5" x14ac:dyDescent="0.35">
      <c r="B23" s="683" t="s">
        <v>177</v>
      </c>
      <c r="C23" s="684" t="s">
        <v>348</v>
      </c>
      <c r="D23" s="685">
        <f>'11. Detail Managment Report'!E36</f>
        <v>2</v>
      </c>
      <c r="E23" s="685">
        <f>'11. Detail Managment Report'!F36</f>
        <v>5</v>
      </c>
      <c r="F23" s="686">
        <f t="shared" si="1"/>
        <v>0.4</v>
      </c>
      <c r="G23" s="682" t="str">
        <f t="shared" si="2"/>
        <v>Unacceptable</v>
      </c>
    </row>
    <row r="24" spans="2:15" ht="14.5" x14ac:dyDescent="0.35">
      <c r="B24" s="1075" t="s">
        <v>337</v>
      </c>
      <c r="C24" s="1076"/>
      <c r="D24" s="688">
        <f>SUM(D25:D30)</f>
        <v>28.5</v>
      </c>
      <c r="E24" s="688">
        <f>SUM(E25:E30)</f>
        <v>40</v>
      </c>
      <c r="F24" s="681">
        <f t="shared" si="1"/>
        <v>0.71250000000000002</v>
      </c>
      <c r="G24" s="682" t="str">
        <f t="shared" si="2"/>
        <v>Good</v>
      </c>
    </row>
    <row r="25" spans="2:15" ht="14.5" x14ac:dyDescent="0.35">
      <c r="B25" s="683" t="s">
        <v>331</v>
      </c>
      <c r="C25" s="684" t="s">
        <v>387</v>
      </c>
      <c r="D25" s="685">
        <f>'11. Detail Managment Report'!E40</f>
        <v>10</v>
      </c>
      <c r="E25" s="685">
        <f>'11. Detail Managment Report'!F40</f>
        <v>10</v>
      </c>
      <c r="F25" s="686">
        <f t="shared" si="1"/>
        <v>1</v>
      </c>
      <c r="G25" s="682" t="str">
        <f t="shared" si="2"/>
        <v>Excellent</v>
      </c>
      <c r="I25" s="687"/>
    </row>
    <row r="26" spans="2:15" ht="21" customHeight="1" x14ac:dyDescent="0.35">
      <c r="B26" s="683" t="s">
        <v>351</v>
      </c>
      <c r="C26" s="689" t="s">
        <v>283</v>
      </c>
      <c r="D26" s="685">
        <f>'11. Detail Managment Report'!E44</f>
        <v>6</v>
      </c>
      <c r="E26" s="685">
        <f>'11. Detail Managment Report'!F44</f>
        <v>7</v>
      </c>
      <c r="F26" s="686">
        <f t="shared" si="1"/>
        <v>0.8571428571428571</v>
      </c>
      <c r="G26" s="682" t="str">
        <f t="shared" si="2"/>
        <v>Excellent</v>
      </c>
      <c r="I26" s="690"/>
      <c r="J26" s="690"/>
    </row>
    <row r="27" spans="2:15" ht="14.5" x14ac:dyDescent="0.35">
      <c r="B27" s="683" t="s">
        <v>356</v>
      </c>
      <c r="C27" s="684" t="s">
        <v>296</v>
      </c>
      <c r="D27" s="685">
        <f>'11. Detail Managment Report'!E49</f>
        <v>5</v>
      </c>
      <c r="E27" s="685">
        <f>'11. Detail Managment Report'!F49</f>
        <v>7</v>
      </c>
      <c r="F27" s="686">
        <f t="shared" si="1"/>
        <v>0.7142857142857143</v>
      </c>
      <c r="G27" s="682" t="str">
        <f t="shared" si="2"/>
        <v>Good</v>
      </c>
    </row>
    <row r="28" spans="2:15" ht="14.5" x14ac:dyDescent="0.35">
      <c r="B28" s="683" t="s">
        <v>360</v>
      </c>
      <c r="C28" s="684" t="s">
        <v>312</v>
      </c>
      <c r="D28" s="685">
        <f>'11. Detail Managment Report'!E54</f>
        <v>2.5</v>
      </c>
      <c r="E28" s="685">
        <f>'11. Detail Managment Report'!F54</f>
        <v>11</v>
      </c>
      <c r="F28" s="686">
        <f t="shared" si="1"/>
        <v>0.22727272727272727</v>
      </c>
      <c r="G28" s="682" t="str">
        <f t="shared" si="2"/>
        <v>Unacceptable</v>
      </c>
      <c r="I28" s="666"/>
      <c r="J28" s="666"/>
      <c r="K28" s="666"/>
      <c r="L28" s="666"/>
    </row>
    <row r="29" spans="2:15" ht="14.5" x14ac:dyDescent="0.35">
      <c r="B29" s="683" t="s">
        <v>365</v>
      </c>
      <c r="C29" s="684" t="s">
        <v>325</v>
      </c>
      <c r="D29" s="685">
        <f>'11. Detail Managment Report'!E59</f>
        <v>3</v>
      </c>
      <c r="E29" s="685">
        <f>'11. Detail Managment Report'!F59</f>
        <v>3</v>
      </c>
      <c r="F29" s="686">
        <f t="shared" si="1"/>
        <v>1</v>
      </c>
      <c r="G29" s="682" t="str">
        <f t="shared" si="2"/>
        <v>Excellent</v>
      </c>
      <c r="I29" s="666"/>
      <c r="J29" s="666"/>
      <c r="K29" s="666"/>
      <c r="L29" s="666"/>
    </row>
    <row r="30" spans="2:15" ht="14.5" x14ac:dyDescent="0.35">
      <c r="B30" s="691" t="s">
        <v>366</v>
      </c>
      <c r="C30" s="692" t="s">
        <v>332</v>
      </c>
      <c r="D30" s="693">
        <f>'11. Detail Managment Report'!E61</f>
        <v>2</v>
      </c>
      <c r="E30" s="693">
        <f>'11. Detail Managment Report'!F61</f>
        <v>2</v>
      </c>
      <c r="F30" s="686">
        <f t="shared" si="1"/>
        <v>1</v>
      </c>
      <c r="G30" s="682" t="str">
        <f t="shared" si="2"/>
        <v>Excellent</v>
      </c>
      <c r="I30" s="666"/>
      <c r="J30" s="666"/>
      <c r="K30" s="666"/>
      <c r="L30" s="666"/>
    </row>
    <row r="31" spans="2:15" x14ac:dyDescent="0.35">
      <c r="B31" s="1077" t="s">
        <v>408</v>
      </c>
      <c r="C31" s="1078"/>
      <c r="D31" s="694">
        <f>D17+D24</f>
        <v>50.5</v>
      </c>
      <c r="E31" s="694">
        <f>E17+E24</f>
        <v>100</v>
      </c>
      <c r="F31" s="681">
        <f t="shared" si="1"/>
        <v>0.505</v>
      </c>
      <c r="G31" s="682" t="str">
        <f>IF(F17&lt;50%,"Unacceptable",IF(F31&gt;=80%,"Excellent",IF(F31&gt;=70%,"Good",IF(F31&gt;=60%,"Marginal",IF(F31&lt;60%,"Unacceptable",0)))))</f>
        <v>Unacceptable</v>
      </c>
    </row>
    <row r="32" spans="2:15" s="653" customFormat="1" ht="41.25" hidden="1" customHeight="1" x14ac:dyDescent="0.35">
      <c r="B32" s="695"/>
      <c r="C32" s="696"/>
      <c r="D32" s="697"/>
      <c r="E32" s="695"/>
      <c r="F32" s="695"/>
      <c r="G32" s="697"/>
      <c r="H32" s="658"/>
      <c r="I32" s="658"/>
      <c r="J32" s="658"/>
      <c r="K32" s="658"/>
      <c r="L32" s="658"/>
      <c r="M32" s="658"/>
      <c r="N32" s="658"/>
      <c r="O32" s="658"/>
    </row>
    <row r="33" spans="2:15" s="653" customFormat="1" ht="48.75" hidden="1" customHeight="1" x14ac:dyDescent="0.35">
      <c r="B33" s="695"/>
      <c r="C33" s="696"/>
      <c r="D33" s="697"/>
      <c r="E33" s="695"/>
      <c r="F33" s="695"/>
      <c r="G33" s="697"/>
      <c r="H33" s="658"/>
      <c r="I33" s="658"/>
      <c r="J33" s="658"/>
      <c r="K33" s="658"/>
      <c r="L33" s="658"/>
      <c r="M33" s="658"/>
      <c r="N33" s="658"/>
      <c r="O33" s="658"/>
    </row>
    <row r="34" spans="2:15" s="653" customFormat="1" hidden="1" x14ac:dyDescent="0.35">
      <c r="B34" s="695"/>
      <c r="C34" s="696"/>
      <c r="D34" s="697"/>
      <c r="E34" s="695"/>
      <c r="F34" s="695"/>
      <c r="G34" s="697"/>
      <c r="H34" s="658"/>
      <c r="I34" s="658"/>
      <c r="J34" s="658"/>
      <c r="K34" s="658"/>
      <c r="L34" s="658"/>
      <c r="M34" s="658"/>
      <c r="N34" s="658"/>
      <c r="O34" s="658"/>
    </row>
    <row r="35" spans="2:15" s="653" customFormat="1" hidden="1" x14ac:dyDescent="0.35">
      <c r="B35" s="695"/>
      <c r="C35" s="696"/>
      <c r="D35" s="697"/>
      <c r="E35" s="695"/>
      <c r="F35" s="695"/>
      <c r="G35" s="697"/>
      <c r="H35" s="658"/>
      <c r="I35" s="658"/>
      <c r="J35" s="658"/>
      <c r="K35" s="658"/>
      <c r="L35" s="658"/>
      <c r="M35" s="658"/>
      <c r="N35" s="658"/>
      <c r="O35" s="658"/>
    </row>
    <row r="36" spans="2:15" s="653" customFormat="1" ht="74.25" hidden="1" customHeight="1" x14ac:dyDescent="0.35">
      <c r="B36" s="695"/>
      <c r="C36" s="1070" t="s">
        <v>420</v>
      </c>
      <c r="D36" s="1070"/>
      <c r="E36" s="1070"/>
      <c r="F36" s="1070"/>
      <c r="G36" s="1070"/>
      <c r="H36" s="1070"/>
      <c r="I36" s="1070"/>
      <c r="J36" s="1070"/>
      <c r="K36" s="1070"/>
      <c r="L36" s="1070"/>
      <c r="M36" s="658"/>
      <c r="N36" s="658"/>
      <c r="O36" s="658"/>
    </row>
    <row r="37" spans="2:15" s="653" customFormat="1" ht="42.75" hidden="1" customHeight="1" x14ac:dyDescent="0.35">
      <c r="B37" s="695"/>
      <c r="C37" s="1070" t="s">
        <v>421</v>
      </c>
      <c r="D37" s="1070"/>
      <c r="E37" s="1070"/>
      <c r="F37" s="1070"/>
      <c r="G37" s="1070"/>
      <c r="H37" s="1070"/>
      <c r="I37" s="1070"/>
      <c r="J37" s="1070"/>
      <c r="K37" s="1070"/>
      <c r="L37" s="658"/>
      <c r="M37" s="658"/>
      <c r="N37" s="658"/>
      <c r="O37" s="658"/>
    </row>
    <row r="38" spans="2:15" s="653" customFormat="1" ht="15" hidden="1" customHeight="1" x14ac:dyDescent="0.35">
      <c r="B38" s="695"/>
      <c r="C38" s="1070"/>
      <c r="D38" s="1070"/>
      <c r="E38" s="1070"/>
      <c r="F38" s="1070"/>
      <c r="G38" s="1070"/>
      <c r="H38" s="1070"/>
      <c r="I38" s="1070"/>
      <c r="J38" s="1070"/>
      <c r="K38" s="1070"/>
      <c r="L38" s="658"/>
      <c r="M38" s="658"/>
      <c r="N38" s="658"/>
      <c r="O38" s="658"/>
    </row>
    <row r="39" spans="2:15" s="653" customFormat="1" ht="39.75" hidden="1" customHeight="1" x14ac:dyDescent="0.35">
      <c r="B39" s="695"/>
      <c r="C39" s="1070" t="s">
        <v>422</v>
      </c>
      <c r="D39" s="1070"/>
      <c r="E39" s="1070"/>
      <c r="F39" s="1070"/>
      <c r="G39" s="1070"/>
      <c r="H39" s="1070"/>
      <c r="I39" s="1070"/>
      <c r="J39" s="1070"/>
      <c r="K39" s="1070"/>
      <c r="L39" s="658"/>
      <c r="M39" s="658"/>
      <c r="N39" s="658"/>
      <c r="O39" s="658"/>
    </row>
    <row r="40" spans="2:15" s="653" customFormat="1" ht="33" hidden="1" customHeight="1" x14ac:dyDescent="0.35">
      <c r="B40" s="695"/>
      <c r="C40" s="1071" t="s">
        <v>598</v>
      </c>
      <c r="D40" s="1071"/>
      <c r="E40" s="1071"/>
      <c r="F40" s="1071"/>
      <c r="G40" s="1071"/>
      <c r="H40" s="1071"/>
      <c r="I40" s="1071"/>
      <c r="J40" s="1071"/>
      <c r="K40" s="1071"/>
      <c r="L40" s="1071"/>
      <c r="M40" s="1071"/>
      <c r="N40" s="658"/>
      <c r="O40" s="658"/>
    </row>
    <row r="41" spans="2:15" s="653" customFormat="1" ht="39" hidden="1" customHeight="1" x14ac:dyDescent="0.35">
      <c r="B41" s="695"/>
      <c r="C41" s="1072" t="s">
        <v>589</v>
      </c>
      <c r="D41" s="1072"/>
      <c r="E41" s="1072"/>
      <c r="F41" s="1072"/>
      <c r="G41" s="1072"/>
      <c r="H41" s="1072"/>
      <c r="I41" s="1072"/>
      <c r="J41" s="1072"/>
      <c r="K41" s="1072"/>
      <c r="L41" s="1072"/>
      <c r="M41" s="1072"/>
      <c r="N41" s="658"/>
      <c r="O41" s="658"/>
    </row>
    <row r="42" spans="2:15" s="653" customFormat="1" hidden="1" x14ac:dyDescent="0.35">
      <c r="B42" s="695"/>
      <c r="C42" s="696"/>
      <c r="D42" s="697"/>
      <c r="E42" s="695"/>
      <c r="F42" s="695"/>
      <c r="G42" s="697"/>
      <c r="H42" s="658"/>
      <c r="I42" s="658"/>
      <c r="J42" s="658"/>
      <c r="K42" s="658"/>
      <c r="L42" s="658"/>
      <c r="M42" s="658"/>
      <c r="N42" s="658"/>
      <c r="O42" s="658"/>
    </row>
    <row r="43" spans="2:15" s="653" customFormat="1" hidden="1" x14ac:dyDescent="0.35">
      <c r="B43" s="695"/>
      <c r="C43" s="696"/>
      <c r="D43" s="697"/>
      <c r="E43" s="695"/>
      <c r="F43" s="695"/>
      <c r="G43" s="697"/>
      <c r="H43" s="658"/>
      <c r="I43" s="658"/>
      <c r="J43" s="658"/>
      <c r="K43" s="658"/>
      <c r="L43" s="658"/>
      <c r="M43" s="658"/>
      <c r="N43" s="658"/>
      <c r="O43" s="658"/>
    </row>
    <row r="44" spans="2:15" s="653" customFormat="1" hidden="1" x14ac:dyDescent="0.35">
      <c r="B44" s="695"/>
      <c r="C44" s="696"/>
      <c r="D44" s="697"/>
      <c r="E44" s="695"/>
      <c r="F44" s="695"/>
      <c r="G44" s="697"/>
      <c r="H44" s="658"/>
      <c r="I44" s="658"/>
      <c r="J44" s="658"/>
      <c r="K44" s="658"/>
      <c r="L44" s="658"/>
      <c r="M44" s="658"/>
      <c r="N44" s="658"/>
      <c r="O44" s="658"/>
    </row>
    <row r="45" spans="2:15" s="653" customFormat="1" ht="15.75" customHeight="1" x14ac:dyDescent="0.35">
      <c r="B45" s="1068" t="s">
        <v>1048</v>
      </c>
      <c r="C45" s="1068"/>
      <c r="D45" s="1068"/>
      <c r="E45" s="1068"/>
      <c r="F45" s="1068"/>
      <c r="G45" s="1068"/>
      <c r="H45" s="658"/>
      <c r="I45" s="658"/>
      <c r="J45" s="658"/>
      <c r="K45" s="658"/>
      <c r="L45" s="658"/>
      <c r="M45" s="658"/>
      <c r="N45" s="658"/>
      <c r="O45" s="658"/>
    </row>
    <row r="46" spans="2:15" s="653" customFormat="1" ht="15.75" customHeight="1" x14ac:dyDescent="0.35">
      <c r="B46" s="1069"/>
      <c r="C46" s="1069"/>
      <c r="D46" s="1069"/>
      <c r="E46" s="1069"/>
      <c r="F46" s="1069"/>
      <c r="G46" s="1069"/>
      <c r="H46" s="658"/>
      <c r="I46" s="658"/>
      <c r="J46" s="658"/>
      <c r="K46" s="658"/>
      <c r="L46" s="658"/>
      <c r="M46" s="658"/>
      <c r="N46" s="658"/>
      <c r="O46" s="658"/>
    </row>
    <row r="47" spans="2:15" s="653" customFormat="1" x14ac:dyDescent="0.35">
      <c r="B47" s="695"/>
      <c r="C47" s="696"/>
      <c r="D47" s="697"/>
      <c r="E47" s="695"/>
      <c r="F47" s="695"/>
      <c r="G47" s="697"/>
      <c r="H47" s="658"/>
      <c r="I47" s="658"/>
      <c r="J47" s="658"/>
      <c r="K47" s="658"/>
      <c r="L47" s="658"/>
      <c r="M47" s="658"/>
      <c r="N47" s="658"/>
      <c r="O47" s="658"/>
    </row>
    <row r="48" spans="2:15" s="653" customFormat="1" x14ac:dyDescent="0.35">
      <c r="B48" s="695"/>
      <c r="C48" s="696"/>
      <c r="D48" s="697"/>
      <c r="E48" s="695"/>
      <c r="F48" s="695"/>
      <c r="G48" s="697"/>
      <c r="H48" s="658"/>
      <c r="I48" s="658"/>
      <c r="J48" s="658"/>
      <c r="K48" s="658"/>
      <c r="L48" s="658"/>
      <c r="M48" s="658"/>
      <c r="N48" s="658"/>
      <c r="O48" s="658"/>
    </row>
    <row r="49" spans="2:15" s="653" customFormat="1" x14ac:dyDescent="0.35">
      <c r="B49" s="695"/>
      <c r="C49" s="696"/>
      <c r="D49" s="697"/>
      <c r="E49" s="695"/>
      <c r="F49" s="695"/>
      <c r="G49" s="697"/>
      <c r="H49" s="658"/>
      <c r="I49" s="658"/>
      <c r="J49" s="658"/>
      <c r="K49" s="658"/>
      <c r="L49" s="658"/>
      <c r="M49" s="658"/>
      <c r="N49" s="658"/>
      <c r="O49" s="658"/>
    </row>
    <row r="50" spans="2:15" s="653" customFormat="1" x14ac:dyDescent="0.35">
      <c r="B50" s="695"/>
      <c r="C50" s="696"/>
      <c r="D50" s="697"/>
      <c r="E50" s="695"/>
      <c r="F50" s="695"/>
      <c r="G50" s="697"/>
      <c r="H50" s="658"/>
      <c r="I50" s="658"/>
      <c r="J50" s="658"/>
      <c r="K50" s="658"/>
      <c r="L50" s="658"/>
      <c r="M50" s="658"/>
      <c r="N50" s="658"/>
      <c r="O50" s="658"/>
    </row>
    <row r="51" spans="2:15" s="653" customFormat="1" x14ac:dyDescent="0.35">
      <c r="B51" s="695"/>
      <c r="C51" s="696"/>
      <c r="D51" s="697"/>
      <c r="E51" s="695"/>
      <c r="F51" s="695"/>
      <c r="G51" s="697"/>
      <c r="H51" s="658"/>
      <c r="I51" s="658"/>
      <c r="J51" s="658"/>
      <c r="K51" s="658"/>
      <c r="L51" s="658"/>
      <c r="M51" s="658"/>
      <c r="N51" s="658"/>
      <c r="O51" s="658"/>
    </row>
    <row r="52" spans="2:15" s="653" customFormat="1" x14ac:dyDescent="0.35">
      <c r="B52" s="695"/>
      <c r="C52" s="696"/>
      <c r="D52" s="697"/>
      <c r="E52" s="695"/>
      <c r="F52" s="695"/>
      <c r="G52" s="697"/>
      <c r="H52" s="658"/>
      <c r="I52" s="658"/>
      <c r="J52" s="658"/>
      <c r="K52" s="658"/>
      <c r="L52" s="658"/>
      <c r="M52" s="658"/>
      <c r="N52" s="658"/>
      <c r="O52" s="658"/>
    </row>
    <row r="53" spans="2:15" s="653" customFormat="1" x14ac:dyDescent="0.35">
      <c r="B53" s="695"/>
      <c r="C53" s="696"/>
      <c r="D53" s="697"/>
      <c r="E53" s="695"/>
      <c r="F53" s="695"/>
      <c r="G53" s="697"/>
      <c r="H53" s="658"/>
      <c r="I53" s="658"/>
      <c r="J53" s="658"/>
      <c r="K53" s="658"/>
      <c r="L53" s="658"/>
      <c r="M53" s="658"/>
      <c r="N53" s="658"/>
      <c r="O53" s="658"/>
    </row>
    <row r="54" spans="2:15" s="653" customFormat="1" x14ac:dyDescent="0.35">
      <c r="B54" s="695"/>
      <c r="C54" s="696"/>
      <c r="D54" s="697"/>
      <c r="E54" s="695"/>
      <c r="F54" s="695"/>
      <c r="G54" s="697"/>
      <c r="H54" s="658"/>
      <c r="I54" s="658"/>
      <c r="J54" s="658"/>
      <c r="K54" s="658"/>
      <c r="L54" s="658"/>
      <c r="M54" s="658"/>
      <c r="N54" s="658"/>
      <c r="O54" s="658"/>
    </row>
    <row r="55" spans="2:15" s="653" customFormat="1" x14ac:dyDescent="0.35">
      <c r="B55" s="695"/>
      <c r="C55" s="696"/>
      <c r="D55" s="697"/>
      <c r="E55" s="695"/>
      <c r="F55" s="695"/>
      <c r="G55" s="697"/>
      <c r="H55" s="658"/>
      <c r="I55" s="658"/>
      <c r="J55" s="658"/>
      <c r="K55" s="658"/>
      <c r="L55" s="658"/>
      <c r="M55" s="658"/>
      <c r="N55" s="658"/>
      <c r="O55" s="658"/>
    </row>
    <row r="56" spans="2:15" s="653" customFormat="1" x14ac:dyDescent="0.35">
      <c r="B56" s="695"/>
      <c r="C56" s="696"/>
      <c r="D56" s="697"/>
      <c r="E56" s="695"/>
      <c r="F56" s="695"/>
      <c r="G56" s="697"/>
      <c r="H56" s="658"/>
      <c r="I56" s="658"/>
      <c r="J56" s="658"/>
      <c r="K56" s="658"/>
      <c r="L56" s="658"/>
      <c r="M56" s="658"/>
      <c r="N56" s="658"/>
      <c r="O56" s="658"/>
    </row>
    <row r="57" spans="2:15" s="653" customFormat="1" x14ac:dyDescent="0.35">
      <c r="B57" s="695"/>
      <c r="C57" s="696"/>
      <c r="D57" s="697"/>
      <c r="E57" s="695"/>
      <c r="F57" s="695"/>
      <c r="G57" s="697"/>
      <c r="H57" s="658"/>
      <c r="I57" s="658"/>
      <c r="J57" s="658"/>
      <c r="K57" s="658"/>
      <c r="L57" s="658"/>
      <c r="M57" s="658"/>
      <c r="N57" s="658"/>
      <c r="O57" s="658"/>
    </row>
    <row r="58" spans="2:15" s="653" customFormat="1" x14ac:dyDescent="0.35">
      <c r="B58" s="695"/>
      <c r="C58" s="696"/>
      <c r="D58" s="697"/>
      <c r="E58" s="695"/>
      <c r="F58" s="695"/>
      <c r="G58" s="697"/>
      <c r="H58" s="658"/>
      <c r="I58" s="658"/>
      <c r="J58" s="658"/>
      <c r="K58" s="658"/>
      <c r="L58" s="658"/>
      <c r="M58" s="658"/>
      <c r="N58" s="658"/>
      <c r="O58" s="658"/>
    </row>
    <row r="59" spans="2:15" s="653" customFormat="1" x14ac:dyDescent="0.35">
      <c r="B59" s="695"/>
      <c r="C59" s="696"/>
      <c r="D59" s="697"/>
      <c r="E59" s="695"/>
      <c r="F59" s="695"/>
      <c r="G59" s="697"/>
      <c r="H59" s="658"/>
      <c r="I59" s="658"/>
      <c r="J59" s="658"/>
      <c r="K59" s="658"/>
      <c r="L59" s="658"/>
      <c r="M59" s="658"/>
      <c r="N59" s="658"/>
      <c r="O59" s="658"/>
    </row>
    <row r="60" spans="2:15" s="653" customFormat="1" x14ac:dyDescent="0.35">
      <c r="B60" s="695"/>
      <c r="C60" s="696"/>
      <c r="D60" s="697"/>
      <c r="E60" s="695"/>
      <c r="F60" s="695"/>
      <c r="G60" s="697"/>
      <c r="H60" s="658"/>
      <c r="I60" s="658"/>
      <c r="J60" s="658"/>
      <c r="K60" s="658"/>
      <c r="L60" s="658"/>
      <c r="M60" s="658"/>
      <c r="N60" s="658"/>
      <c r="O60" s="658"/>
    </row>
    <row r="61" spans="2:15" s="653" customFormat="1" x14ac:dyDescent="0.35">
      <c r="B61" s="695"/>
      <c r="C61" s="696"/>
      <c r="D61" s="697"/>
      <c r="E61" s="695"/>
      <c r="F61" s="695"/>
      <c r="G61" s="697"/>
      <c r="H61" s="658"/>
      <c r="I61" s="658"/>
      <c r="J61" s="658"/>
      <c r="K61" s="658"/>
      <c r="L61" s="658"/>
      <c r="M61" s="658"/>
      <c r="N61" s="658"/>
      <c r="O61" s="658"/>
    </row>
    <row r="62" spans="2:15" s="653" customFormat="1" x14ac:dyDescent="0.35">
      <c r="B62" s="695"/>
      <c r="C62" s="696"/>
      <c r="D62" s="697"/>
      <c r="E62" s="695"/>
      <c r="F62" s="695"/>
      <c r="G62" s="697"/>
      <c r="H62" s="658"/>
      <c r="I62" s="658"/>
      <c r="J62" s="658"/>
      <c r="K62" s="658"/>
      <c r="L62" s="658"/>
      <c r="M62" s="658"/>
      <c r="N62" s="658"/>
      <c r="O62" s="658"/>
    </row>
    <row r="63" spans="2:15" s="653" customFormat="1" x14ac:dyDescent="0.35">
      <c r="B63" s="695"/>
      <c r="C63" s="696"/>
      <c r="D63" s="697"/>
      <c r="E63" s="695"/>
      <c r="F63" s="695"/>
      <c r="G63" s="697"/>
      <c r="H63" s="658"/>
      <c r="I63" s="658"/>
      <c r="J63" s="658"/>
      <c r="K63" s="658"/>
      <c r="L63" s="658"/>
      <c r="M63" s="658"/>
      <c r="N63" s="658"/>
      <c r="O63" s="658"/>
    </row>
    <row r="64" spans="2:15" s="653" customFormat="1" x14ac:dyDescent="0.35">
      <c r="B64" s="695"/>
      <c r="C64" s="696"/>
      <c r="D64" s="697"/>
      <c r="E64" s="695"/>
      <c r="F64" s="695"/>
      <c r="G64" s="697"/>
      <c r="H64" s="658"/>
      <c r="I64" s="658"/>
      <c r="J64" s="658"/>
      <c r="K64" s="658"/>
      <c r="L64" s="658"/>
      <c r="M64" s="658"/>
      <c r="N64" s="658"/>
      <c r="O64" s="658"/>
    </row>
    <row r="65" spans="2:15" s="653" customFormat="1" x14ac:dyDescent="0.35">
      <c r="B65" s="695"/>
      <c r="C65" s="696"/>
      <c r="D65" s="697"/>
      <c r="E65" s="695"/>
      <c r="F65" s="695"/>
      <c r="G65" s="697"/>
      <c r="H65" s="658"/>
      <c r="I65" s="658"/>
      <c r="J65" s="658"/>
      <c r="K65" s="658"/>
      <c r="L65" s="658"/>
      <c r="M65" s="658"/>
      <c r="N65" s="658"/>
      <c r="O65" s="658"/>
    </row>
    <row r="66" spans="2:15" s="653" customFormat="1" x14ac:dyDescent="0.35">
      <c r="B66" s="695"/>
      <c r="C66" s="696"/>
      <c r="D66" s="697"/>
      <c r="E66" s="695"/>
      <c r="F66" s="695"/>
      <c r="G66" s="697"/>
      <c r="H66" s="658"/>
      <c r="I66" s="658"/>
      <c r="J66" s="658"/>
      <c r="K66" s="658"/>
      <c r="L66" s="658"/>
      <c r="M66" s="658"/>
      <c r="N66" s="658"/>
      <c r="O66" s="658"/>
    </row>
    <row r="67" spans="2:15" s="653" customFormat="1" x14ac:dyDescent="0.35">
      <c r="B67" s="695"/>
      <c r="C67" s="696"/>
      <c r="D67" s="697"/>
      <c r="E67" s="695"/>
      <c r="F67" s="695"/>
      <c r="G67" s="697"/>
      <c r="H67" s="658"/>
      <c r="I67" s="658"/>
      <c r="J67" s="658"/>
      <c r="K67" s="658"/>
      <c r="L67" s="658"/>
      <c r="M67" s="658"/>
      <c r="N67" s="658"/>
      <c r="O67" s="658"/>
    </row>
    <row r="68" spans="2:15" s="653" customFormat="1" x14ac:dyDescent="0.35">
      <c r="B68" s="695"/>
      <c r="C68" s="696"/>
      <c r="D68" s="697"/>
      <c r="E68" s="695"/>
      <c r="F68" s="695"/>
      <c r="G68" s="697"/>
      <c r="H68" s="658"/>
      <c r="I68" s="658"/>
      <c r="J68" s="658"/>
      <c r="K68" s="658"/>
      <c r="L68" s="658"/>
      <c r="M68" s="658"/>
      <c r="N68" s="658"/>
      <c r="O68" s="658"/>
    </row>
    <row r="69" spans="2:15" s="653" customFormat="1" x14ac:dyDescent="0.35">
      <c r="B69" s="695"/>
      <c r="C69" s="696"/>
      <c r="D69" s="697"/>
      <c r="E69" s="695"/>
      <c r="F69" s="695"/>
      <c r="G69" s="697"/>
      <c r="H69" s="658"/>
      <c r="I69" s="658"/>
      <c r="J69" s="658"/>
      <c r="K69" s="658"/>
      <c r="L69" s="658"/>
      <c r="M69" s="658"/>
      <c r="N69" s="658"/>
      <c r="O69" s="658"/>
    </row>
    <row r="70" spans="2:15" s="653" customFormat="1" x14ac:dyDescent="0.35">
      <c r="B70" s="695"/>
      <c r="C70" s="696"/>
      <c r="D70" s="697"/>
      <c r="E70" s="695"/>
      <c r="F70" s="695"/>
      <c r="G70" s="697"/>
      <c r="H70" s="658"/>
      <c r="I70" s="658"/>
      <c r="J70" s="658"/>
      <c r="K70" s="658"/>
      <c r="L70" s="658"/>
      <c r="M70" s="658"/>
      <c r="N70" s="658"/>
      <c r="O70" s="658"/>
    </row>
    <row r="71" spans="2:15" s="653" customFormat="1" x14ac:dyDescent="0.35">
      <c r="B71" s="695"/>
      <c r="C71" s="696"/>
      <c r="D71" s="697"/>
      <c r="E71" s="695"/>
      <c r="F71" s="695"/>
      <c r="G71" s="697"/>
      <c r="H71" s="658"/>
      <c r="I71" s="658"/>
      <c r="J71" s="658"/>
      <c r="K71" s="658"/>
      <c r="L71" s="658"/>
      <c r="M71" s="658"/>
      <c r="N71" s="658"/>
      <c r="O71" s="658"/>
    </row>
    <row r="72" spans="2:15" s="653" customFormat="1" x14ac:dyDescent="0.35">
      <c r="B72" s="695"/>
      <c r="C72" s="696"/>
      <c r="D72" s="697"/>
      <c r="E72" s="695"/>
      <c r="F72" s="695"/>
      <c r="G72" s="697"/>
      <c r="H72" s="658"/>
      <c r="I72" s="658"/>
      <c r="J72" s="658"/>
      <c r="K72" s="658"/>
      <c r="L72" s="658"/>
      <c r="M72" s="658"/>
      <c r="N72" s="658"/>
      <c r="O72" s="658"/>
    </row>
    <row r="73" spans="2:15" s="653" customFormat="1" x14ac:dyDescent="0.35">
      <c r="B73" s="695"/>
      <c r="C73" s="696"/>
      <c r="D73" s="697"/>
      <c r="E73" s="695"/>
      <c r="F73" s="695"/>
      <c r="G73" s="697"/>
      <c r="H73" s="658"/>
      <c r="I73" s="658"/>
      <c r="J73" s="658"/>
      <c r="K73" s="658"/>
      <c r="L73" s="658"/>
      <c r="M73" s="658"/>
      <c r="N73" s="658"/>
      <c r="O73" s="658"/>
    </row>
    <row r="74" spans="2:15" s="653" customFormat="1" x14ac:dyDescent="0.35">
      <c r="B74" s="695"/>
      <c r="C74" s="696"/>
      <c r="D74" s="697"/>
      <c r="E74" s="695"/>
      <c r="F74" s="695"/>
      <c r="G74" s="697"/>
      <c r="H74" s="658"/>
      <c r="I74" s="658"/>
      <c r="J74" s="658"/>
      <c r="K74" s="658"/>
      <c r="L74" s="658"/>
      <c r="M74" s="658"/>
      <c r="N74" s="658"/>
      <c r="O74" s="658"/>
    </row>
    <row r="75" spans="2:15" s="653" customFormat="1" x14ac:dyDescent="0.35">
      <c r="B75" s="695"/>
      <c r="C75" s="696"/>
      <c r="D75" s="697"/>
      <c r="E75" s="695"/>
      <c r="F75" s="695"/>
      <c r="G75" s="697"/>
      <c r="H75" s="658"/>
      <c r="I75" s="658"/>
      <c r="J75" s="658"/>
      <c r="K75" s="658"/>
      <c r="L75" s="658"/>
      <c r="M75" s="658"/>
      <c r="N75" s="658"/>
      <c r="O75" s="658"/>
    </row>
    <row r="76" spans="2:15" s="653" customFormat="1" x14ac:dyDescent="0.35">
      <c r="B76" s="695"/>
      <c r="C76" s="696"/>
      <c r="D76" s="697"/>
      <c r="E76" s="695"/>
      <c r="F76" s="695"/>
      <c r="G76" s="697"/>
      <c r="H76" s="658"/>
      <c r="I76" s="658"/>
      <c r="J76" s="658"/>
      <c r="K76" s="658"/>
      <c r="L76" s="658"/>
      <c r="M76" s="658"/>
      <c r="N76" s="658"/>
      <c r="O76" s="658"/>
    </row>
    <row r="77" spans="2:15" s="653" customFormat="1" x14ac:dyDescent="0.35">
      <c r="B77" s="695"/>
      <c r="C77" s="696"/>
      <c r="D77" s="697"/>
      <c r="E77" s="695"/>
      <c r="F77" s="695"/>
      <c r="G77" s="697"/>
      <c r="H77" s="658"/>
      <c r="I77" s="658"/>
      <c r="J77" s="658"/>
      <c r="K77" s="658"/>
      <c r="L77" s="658"/>
      <c r="M77" s="658"/>
      <c r="N77" s="658"/>
      <c r="O77" s="658"/>
    </row>
    <row r="78" spans="2:15" s="653" customFormat="1" x14ac:dyDescent="0.35">
      <c r="B78" s="695"/>
      <c r="C78" s="696"/>
      <c r="D78" s="697"/>
      <c r="E78" s="695"/>
      <c r="F78" s="695"/>
      <c r="G78" s="697"/>
      <c r="H78" s="658"/>
      <c r="I78" s="658"/>
      <c r="J78" s="658"/>
      <c r="K78" s="658"/>
      <c r="L78" s="658"/>
      <c r="M78" s="658"/>
      <c r="N78" s="658"/>
      <c r="O78" s="658"/>
    </row>
    <row r="79" spans="2:15" s="653" customFormat="1" x14ac:dyDescent="0.35">
      <c r="B79" s="695"/>
      <c r="C79" s="696"/>
      <c r="D79" s="697"/>
      <c r="E79" s="695"/>
      <c r="F79" s="695"/>
      <c r="G79" s="697"/>
      <c r="H79" s="658"/>
      <c r="I79" s="658"/>
      <c r="J79" s="658"/>
      <c r="K79" s="658"/>
      <c r="L79" s="658"/>
      <c r="M79" s="658"/>
      <c r="N79" s="658"/>
      <c r="O79" s="658"/>
    </row>
    <row r="80" spans="2:15" s="653" customFormat="1" x14ac:dyDescent="0.35">
      <c r="B80" s="695"/>
      <c r="C80" s="696"/>
      <c r="D80" s="697"/>
      <c r="E80" s="695"/>
      <c r="F80" s="695"/>
      <c r="G80" s="697"/>
      <c r="H80" s="658"/>
      <c r="I80" s="658"/>
      <c r="J80" s="658"/>
      <c r="K80" s="658"/>
      <c r="L80" s="658"/>
      <c r="M80" s="658"/>
      <c r="N80" s="658"/>
      <c r="O80" s="658"/>
    </row>
    <row r="81" spans="2:15" s="653" customFormat="1" x14ac:dyDescent="0.35">
      <c r="B81" s="695"/>
      <c r="C81" s="696"/>
      <c r="D81" s="697"/>
      <c r="E81" s="695"/>
      <c r="F81" s="695"/>
      <c r="G81" s="697"/>
      <c r="H81" s="658"/>
      <c r="I81" s="658"/>
      <c r="J81" s="658"/>
      <c r="K81" s="658"/>
      <c r="L81" s="658"/>
      <c r="M81" s="658"/>
      <c r="N81" s="658"/>
      <c r="O81" s="658"/>
    </row>
    <row r="82" spans="2:15" s="653" customFormat="1" x14ac:dyDescent="0.35">
      <c r="B82" s="695"/>
      <c r="C82" s="696"/>
      <c r="D82" s="697"/>
      <c r="E82" s="695"/>
      <c r="F82" s="695"/>
      <c r="G82" s="697"/>
      <c r="H82" s="658"/>
      <c r="I82" s="658"/>
      <c r="J82" s="658"/>
      <c r="K82" s="658"/>
      <c r="L82" s="658"/>
      <c r="M82" s="658"/>
      <c r="N82" s="658"/>
      <c r="O82" s="658"/>
    </row>
    <row r="83" spans="2:15" s="653" customFormat="1" x14ac:dyDescent="0.35">
      <c r="B83" s="695"/>
      <c r="C83" s="696"/>
      <c r="D83" s="697"/>
      <c r="E83" s="695"/>
      <c r="F83" s="695"/>
      <c r="G83" s="697"/>
      <c r="H83" s="658"/>
      <c r="I83" s="658"/>
      <c r="J83" s="658"/>
      <c r="K83" s="658"/>
      <c r="L83" s="658"/>
      <c r="M83" s="658"/>
      <c r="N83" s="658"/>
      <c r="O83" s="658"/>
    </row>
    <row r="84" spans="2:15" s="653" customFormat="1" x14ac:dyDescent="0.35">
      <c r="B84" s="695"/>
      <c r="C84" s="696"/>
      <c r="D84" s="697"/>
      <c r="E84" s="695"/>
      <c r="F84" s="695"/>
      <c r="G84" s="697"/>
      <c r="H84" s="658"/>
      <c r="I84" s="658"/>
      <c r="J84" s="658"/>
      <c r="K84" s="658"/>
      <c r="L84" s="658"/>
      <c r="M84" s="658"/>
      <c r="N84" s="658"/>
      <c r="O84" s="658"/>
    </row>
    <row r="85" spans="2:15" s="653" customFormat="1" x14ac:dyDescent="0.35">
      <c r="B85" s="695"/>
      <c r="C85" s="696"/>
      <c r="D85" s="697"/>
      <c r="E85" s="695"/>
      <c r="F85" s="695"/>
      <c r="G85" s="697"/>
      <c r="H85" s="658"/>
      <c r="I85" s="658"/>
      <c r="J85" s="658"/>
      <c r="K85" s="658"/>
      <c r="L85" s="658"/>
      <c r="M85" s="658"/>
      <c r="N85" s="658"/>
      <c r="O85" s="658"/>
    </row>
    <row r="86" spans="2:15" s="653" customFormat="1" x14ac:dyDescent="0.35">
      <c r="B86" s="695"/>
      <c r="C86" s="696"/>
      <c r="D86" s="697"/>
      <c r="E86" s="695"/>
      <c r="F86" s="695"/>
      <c r="G86" s="697"/>
      <c r="H86" s="658"/>
      <c r="I86" s="658"/>
      <c r="J86" s="658"/>
      <c r="K86" s="658"/>
      <c r="L86" s="658"/>
      <c r="M86" s="658"/>
      <c r="N86" s="658"/>
      <c r="O86" s="658"/>
    </row>
    <row r="87" spans="2:15" s="653" customFormat="1" x14ac:dyDescent="0.35">
      <c r="B87" s="695"/>
      <c r="C87" s="696"/>
      <c r="D87" s="697"/>
      <c r="E87" s="695"/>
      <c r="F87" s="695"/>
      <c r="G87" s="697"/>
      <c r="H87" s="658"/>
      <c r="I87" s="658"/>
      <c r="J87" s="658"/>
      <c r="K87" s="658"/>
      <c r="L87" s="658"/>
      <c r="M87" s="658"/>
      <c r="N87" s="658"/>
      <c r="O87" s="658"/>
    </row>
    <row r="88" spans="2:15" s="653" customFormat="1" x14ac:dyDescent="0.35">
      <c r="B88" s="695"/>
      <c r="C88" s="696"/>
      <c r="D88" s="697"/>
      <c r="E88" s="695"/>
      <c r="F88" s="695"/>
      <c r="G88" s="697"/>
      <c r="H88" s="658"/>
      <c r="I88" s="658"/>
      <c r="J88" s="658"/>
      <c r="K88" s="658"/>
      <c r="L88" s="658"/>
      <c r="M88" s="658"/>
      <c r="N88" s="658"/>
      <c r="O88" s="658"/>
    </row>
    <row r="89" spans="2:15" s="653" customFormat="1" x14ac:dyDescent="0.35">
      <c r="B89" s="695"/>
      <c r="C89" s="696"/>
      <c r="D89" s="697"/>
      <c r="E89" s="695"/>
      <c r="F89" s="695"/>
      <c r="G89" s="697"/>
      <c r="H89" s="658"/>
      <c r="I89" s="658"/>
      <c r="J89" s="658"/>
      <c r="K89" s="658"/>
      <c r="L89" s="658"/>
      <c r="M89" s="658"/>
      <c r="N89" s="658"/>
      <c r="O89" s="658"/>
    </row>
    <row r="90" spans="2:15" s="653" customFormat="1" x14ac:dyDescent="0.35">
      <c r="B90" s="695"/>
      <c r="C90" s="696"/>
      <c r="D90" s="697"/>
      <c r="E90" s="695"/>
      <c r="F90" s="695"/>
      <c r="G90" s="697"/>
      <c r="H90" s="658"/>
      <c r="I90" s="658"/>
      <c r="J90" s="658"/>
      <c r="K90" s="658"/>
      <c r="L90" s="658"/>
      <c r="M90" s="658"/>
      <c r="N90" s="658"/>
      <c r="O90" s="658"/>
    </row>
    <row r="91" spans="2:15" s="653" customFormat="1" x14ac:dyDescent="0.35">
      <c r="B91" s="695"/>
      <c r="C91" s="696"/>
      <c r="D91" s="697"/>
      <c r="E91" s="695"/>
      <c r="F91" s="695"/>
      <c r="G91" s="697"/>
      <c r="H91" s="658"/>
      <c r="I91" s="658"/>
      <c r="J91" s="658"/>
      <c r="K91" s="658"/>
      <c r="L91" s="658"/>
      <c r="M91" s="658"/>
      <c r="N91" s="658"/>
      <c r="O91" s="658"/>
    </row>
    <row r="92" spans="2:15" s="653" customFormat="1" x14ac:dyDescent="0.35">
      <c r="B92" s="695"/>
      <c r="C92" s="696"/>
      <c r="D92" s="697"/>
      <c r="E92" s="695"/>
      <c r="F92" s="695"/>
      <c r="G92" s="697"/>
      <c r="H92" s="658"/>
      <c r="I92" s="658"/>
      <c r="J92" s="658"/>
      <c r="K92" s="658"/>
      <c r="L92" s="658"/>
      <c r="M92" s="658"/>
      <c r="N92" s="658"/>
      <c r="O92" s="658"/>
    </row>
  </sheetData>
  <sheetProtection password="F93C" sheet="1" objects="1" scenarios="1" selectLockedCells="1" selectUnlockedCells="1"/>
  <mergeCells count="14">
    <mergeCell ref="B17:C17"/>
    <mergeCell ref="B24:C24"/>
    <mergeCell ref="B31:C31"/>
    <mergeCell ref="B16:C16"/>
    <mergeCell ref="E3:F3"/>
    <mergeCell ref="E6:F7"/>
    <mergeCell ref="E11:F12"/>
    <mergeCell ref="B13:F14"/>
    <mergeCell ref="B45:G46"/>
    <mergeCell ref="C36:L36"/>
    <mergeCell ref="C37:K38"/>
    <mergeCell ref="C39:K39"/>
    <mergeCell ref="C40:M40"/>
    <mergeCell ref="C41:M41"/>
  </mergeCells>
  <conditionalFormatting sqref="G17:G30">
    <cfRule type="containsText" dxfId="32" priority="2" operator="containsText" text="Marginal">
      <formula>NOT(ISERROR(SEARCH("Marginal",G17)))</formula>
    </cfRule>
  </conditionalFormatting>
  <conditionalFormatting sqref="G17:G31">
    <cfRule type="containsText" dxfId="31" priority="1" operator="containsText" text="Marginal">
      <formula>NOT(ISERROR(SEARCH("Marginal",G17)))</formula>
    </cfRule>
    <cfRule type="containsText" dxfId="30" priority="3" operator="containsText" text="Marginal">
      <formula>NOT(ISERROR(SEARCH("Marginal",G17)))</formula>
    </cfRule>
    <cfRule type="containsText" dxfId="29" priority="4" operator="containsText" text="Excellent">
      <formula>NOT(ISERROR(SEARCH("Excellent",G17)))</formula>
    </cfRule>
    <cfRule type="containsText" dxfId="28" priority="5" operator="containsText" text="Fair">
      <formula>NOT(ISERROR(SEARCH("Fair",G17)))</formula>
    </cfRule>
    <cfRule type="containsText" dxfId="27" priority="6" operator="containsText" text="Fair">
      <formula>NOT(ISERROR(SEARCH("Fair",G17)))</formula>
    </cfRule>
    <cfRule type="containsText" dxfId="26" priority="7" operator="containsText" text="Fair">
      <formula>NOT(ISERROR(SEARCH("Fair",G17)))</formula>
    </cfRule>
    <cfRule type="containsText" dxfId="25" priority="8" operator="containsText" text="Good">
      <formula>NOT(ISERROR(SEARCH("Good",G17)))</formula>
    </cfRule>
    <cfRule type="containsText" dxfId="24" priority="9" operator="containsText" text="Excellent">
      <formula>NOT(ISERROR(SEARCH("Excellent",G17)))</formula>
    </cfRule>
    <cfRule type="containsText" dxfId="23" priority="10" operator="containsText" text="Unacceptable">
      <formula>NOT(ISERROR(SEARCH("Unacceptable",G17)))</formula>
    </cfRule>
  </conditionalFormatting>
  <pageMargins left="0.25" right="0.25" top="0.88141025641025639" bottom="0.33744131455399062" header="0.3" footer="4.401408450704225E-2"/>
  <pageSetup paperSize="9" orientation="portrait" r:id="rId1"/>
  <headerFooter>
    <oddHeader>&amp;C&amp;"+,Bold"&amp;14Internal Credit Risk Rating System                                                                                                    &amp;"+,Regular"&amp;12(Executive Summary)</oddHeader>
    <oddFooter>&amp;LSignature (Analyst)&amp;C   Signature (Verifier)&amp;RSignature (Approver)</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G3:P15"/>
  <sheetViews>
    <sheetView topLeftCell="F1" workbookViewId="0">
      <selection activeCell="Q10" sqref="Q10"/>
    </sheetView>
  </sheetViews>
  <sheetFormatPr defaultColWidth="9.1796875" defaultRowHeight="14.5" x14ac:dyDescent="0.35"/>
  <cols>
    <col min="1" max="5" width="0" style="800" hidden="1" customWidth="1"/>
    <col min="6" max="16384" width="9.1796875" style="800"/>
  </cols>
  <sheetData>
    <row r="3" spans="7:16" x14ac:dyDescent="0.35">
      <c r="G3" s="46"/>
      <c r="H3" s="46"/>
      <c r="I3" s="46"/>
      <c r="J3" s="46"/>
      <c r="K3" s="46"/>
      <c r="L3" s="46"/>
      <c r="M3" s="46"/>
      <c r="N3" s="46"/>
      <c r="O3" s="46"/>
      <c r="P3" s="46"/>
    </row>
    <row r="4" spans="7:16" ht="15.5" x14ac:dyDescent="0.35">
      <c r="G4" s="1087" t="s">
        <v>1127</v>
      </c>
      <c r="H4" s="1087"/>
      <c r="I4" s="1087"/>
      <c r="J4" s="1087"/>
      <c r="K4" s="1087"/>
      <c r="L4" s="1087"/>
      <c r="M4" s="1087"/>
      <c r="N4" s="1087"/>
      <c r="O4" s="1087"/>
      <c r="P4" s="46"/>
    </row>
    <row r="5" spans="7:16" ht="15.5" x14ac:dyDescent="0.35">
      <c r="G5" s="801"/>
      <c r="H5" s="801"/>
      <c r="I5" s="801"/>
      <c r="J5" s="801"/>
      <c r="K5" s="801"/>
      <c r="L5" s="801"/>
      <c r="M5" s="801"/>
      <c r="N5" s="801"/>
      <c r="O5" s="46"/>
      <c r="P5" s="46"/>
    </row>
    <row r="6" spans="7:16" ht="16.5" customHeight="1" x14ac:dyDescent="0.35">
      <c r="G6" s="801" t="s">
        <v>1032</v>
      </c>
      <c r="H6" s="801"/>
      <c r="I6" s="801"/>
      <c r="J6" s="801"/>
      <c r="K6" s="801"/>
      <c r="L6" s="801"/>
      <c r="M6" s="801"/>
      <c r="N6" s="801"/>
      <c r="O6" s="46"/>
      <c r="P6" s="46"/>
    </row>
    <row r="7" spans="7:16" ht="15.5" x14ac:dyDescent="0.35">
      <c r="G7" s="801" t="s">
        <v>1033</v>
      </c>
      <c r="H7" s="801"/>
      <c r="I7" s="801"/>
      <c r="J7" s="801"/>
      <c r="K7" s="801"/>
      <c r="L7" s="801"/>
      <c r="M7" s="801"/>
      <c r="N7" s="801"/>
      <c r="O7" s="46"/>
      <c r="P7" s="46"/>
    </row>
    <row r="8" spans="7:16" ht="15.5" x14ac:dyDescent="0.35">
      <c r="G8" s="801" t="s">
        <v>1034</v>
      </c>
      <c r="H8" s="801"/>
      <c r="I8" s="801"/>
      <c r="J8" s="801"/>
      <c r="K8" s="801"/>
      <c r="L8" s="801"/>
      <c r="M8" s="801"/>
      <c r="N8" s="801"/>
      <c r="O8" s="46"/>
      <c r="P8" s="46"/>
    </row>
    <row r="9" spans="7:16" ht="15.5" x14ac:dyDescent="0.35">
      <c r="G9" s="801" t="s">
        <v>1035</v>
      </c>
      <c r="H9" s="801"/>
      <c r="I9" s="801"/>
      <c r="J9" s="801"/>
      <c r="K9" s="801"/>
      <c r="L9" s="801"/>
      <c r="M9" s="801"/>
      <c r="N9" s="801"/>
      <c r="O9" s="46"/>
      <c r="P9" s="46"/>
    </row>
    <row r="10" spans="7:16" ht="15.5" x14ac:dyDescent="0.35">
      <c r="G10" s="801" t="s">
        <v>1036</v>
      </c>
      <c r="H10" s="801"/>
      <c r="I10" s="801"/>
      <c r="J10" s="801"/>
      <c r="K10" s="801"/>
      <c r="L10" s="801"/>
      <c r="M10" s="801"/>
      <c r="N10" s="801"/>
      <c r="O10" s="46"/>
      <c r="P10" s="46"/>
    </row>
    <row r="11" spans="7:16" ht="15.5" x14ac:dyDescent="0.35">
      <c r="G11" s="801" t="s">
        <v>1037</v>
      </c>
      <c r="H11" s="801"/>
      <c r="I11" s="801"/>
      <c r="J11" s="801"/>
      <c r="K11" s="801"/>
      <c r="L11" s="801"/>
      <c r="M11" s="801"/>
      <c r="N11" s="801"/>
      <c r="O11" s="46"/>
      <c r="P11" s="46"/>
    </row>
    <row r="12" spans="7:16" ht="15.5" x14ac:dyDescent="0.35">
      <c r="G12" s="801" t="s">
        <v>1038</v>
      </c>
      <c r="H12" s="801"/>
      <c r="I12" s="801"/>
      <c r="J12" s="801"/>
      <c r="K12" s="801"/>
      <c r="L12" s="801"/>
      <c r="M12" s="801"/>
      <c r="N12" s="801"/>
      <c r="O12" s="46"/>
      <c r="P12" s="46"/>
    </row>
    <row r="13" spans="7:16" ht="15.5" x14ac:dyDescent="0.35">
      <c r="G13" s="801" t="s">
        <v>1039</v>
      </c>
      <c r="H13" s="801"/>
      <c r="I13" s="801"/>
      <c r="J13" s="801"/>
      <c r="K13" s="801"/>
      <c r="L13" s="801"/>
      <c r="M13" s="801"/>
      <c r="N13" s="801"/>
      <c r="O13" s="46"/>
      <c r="P13" s="46"/>
    </row>
    <row r="14" spans="7:16" x14ac:dyDescent="0.35">
      <c r="G14" s="46"/>
      <c r="H14" s="46"/>
      <c r="I14" s="46"/>
      <c r="J14" s="46"/>
      <c r="K14" s="46"/>
      <c r="L14" s="46"/>
      <c r="M14" s="46"/>
      <c r="N14" s="46"/>
      <c r="O14" s="46"/>
      <c r="P14" s="46"/>
    </row>
    <row r="15" spans="7:16" x14ac:dyDescent="0.35">
      <c r="G15" s="46"/>
      <c r="H15" s="46"/>
      <c r="I15" s="46"/>
      <c r="J15" s="46"/>
      <c r="K15" s="46"/>
      <c r="L15" s="46"/>
      <c r="M15" s="46"/>
      <c r="N15" s="46"/>
      <c r="O15" s="46"/>
      <c r="P15" s="46"/>
    </row>
  </sheetData>
  <sheetProtection password="F93C" sheet="1" objects="1" scenarios="1"/>
  <mergeCells count="1">
    <mergeCell ref="G4:O4"/>
  </mergeCells>
  <pageMargins left="0.7" right="0.7" top="0.75" bottom="0.75" header="0.3" footer="0.3"/>
  <pageSetup scale="98"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E7:N25"/>
  <sheetViews>
    <sheetView topLeftCell="A18" workbookViewId="0">
      <selection activeCell="H12" sqref="H12"/>
    </sheetView>
  </sheetViews>
  <sheetFormatPr defaultColWidth="9.1796875" defaultRowHeight="14.5" x14ac:dyDescent="0.35"/>
  <cols>
    <col min="1" max="4" width="9.1796875" style="802"/>
    <col min="5" max="5" width="18.26953125" style="802" customWidth="1"/>
    <col min="6" max="6" width="14.7265625" style="802" customWidth="1"/>
    <col min="7" max="7" width="15.26953125" style="802" customWidth="1"/>
    <col min="8" max="8" width="15.453125" style="802" customWidth="1"/>
    <col min="9" max="9" width="15.54296875" style="802" customWidth="1"/>
    <col min="10" max="10" width="15" style="802" customWidth="1"/>
    <col min="11" max="11" width="12.54296875" style="802" customWidth="1"/>
    <col min="12" max="12" width="12.81640625" style="802" customWidth="1"/>
    <col min="13" max="13" width="17.453125" style="802" customWidth="1"/>
    <col min="14" max="16384" width="9.1796875" style="802"/>
  </cols>
  <sheetData>
    <row r="7" spans="5:14" ht="21" x14ac:dyDescent="0.5">
      <c r="E7" s="1101" t="s">
        <v>1126</v>
      </c>
      <c r="F7" s="1101"/>
      <c r="G7" s="1101"/>
      <c r="H7" s="1101"/>
      <c r="I7" s="1101"/>
      <c r="J7" s="1101"/>
      <c r="K7" s="1101"/>
      <c r="L7" s="1101"/>
      <c r="M7" s="1101"/>
      <c r="N7" s="1101"/>
    </row>
    <row r="8" spans="5:14" ht="15" thickBot="1" x14ac:dyDescent="0.4"/>
    <row r="9" spans="5:14" ht="40" thickBot="1" x14ac:dyDescent="0.4">
      <c r="E9" s="803" t="s">
        <v>1050</v>
      </c>
      <c r="F9" s="804" t="s">
        <v>1051</v>
      </c>
      <c r="G9" s="805" t="s">
        <v>1052</v>
      </c>
      <c r="H9" s="806" t="s">
        <v>1017</v>
      </c>
      <c r="I9" s="806" t="s">
        <v>1018</v>
      </c>
      <c r="J9" s="806" t="s">
        <v>1020</v>
      </c>
      <c r="K9" s="806" t="s">
        <v>1019</v>
      </c>
      <c r="L9" s="806" t="s">
        <v>1053</v>
      </c>
      <c r="M9" s="806" t="s">
        <v>1124</v>
      </c>
      <c r="N9" s="806" t="s">
        <v>1125</v>
      </c>
    </row>
    <row r="10" spans="5:14" x14ac:dyDescent="0.35">
      <c r="E10" s="1094">
        <v>1</v>
      </c>
      <c r="F10" s="1096" t="s">
        <v>1054</v>
      </c>
      <c r="G10" s="1088" t="s">
        <v>1055</v>
      </c>
      <c r="H10" s="807" t="s">
        <v>1056</v>
      </c>
      <c r="I10" s="807" t="s">
        <v>1056</v>
      </c>
      <c r="J10" s="807" t="s">
        <v>1056</v>
      </c>
      <c r="K10" s="807" t="s">
        <v>1056</v>
      </c>
      <c r="L10" s="810" t="s">
        <v>1056</v>
      </c>
      <c r="M10" s="810" t="s">
        <v>1056</v>
      </c>
      <c r="N10" s="810" t="s">
        <v>1059</v>
      </c>
    </row>
    <row r="11" spans="5:14" ht="27" thickBot="1" x14ac:dyDescent="0.4">
      <c r="E11" s="1095"/>
      <c r="F11" s="1097"/>
      <c r="G11" s="1090"/>
      <c r="H11" s="808" t="s">
        <v>1057</v>
      </c>
      <c r="I11" s="808" t="s">
        <v>1058</v>
      </c>
      <c r="J11" s="809" t="s">
        <v>1057</v>
      </c>
      <c r="K11" s="808" t="s">
        <v>1057</v>
      </c>
      <c r="L11" s="809" t="s">
        <v>1057</v>
      </c>
      <c r="M11" s="809" t="s">
        <v>1057</v>
      </c>
      <c r="N11" s="809" t="s">
        <v>1058</v>
      </c>
    </row>
    <row r="12" spans="5:14" ht="15" thickBot="1" x14ac:dyDescent="0.4">
      <c r="E12" s="811">
        <v>2</v>
      </c>
      <c r="F12" s="812" t="s">
        <v>339</v>
      </c>
      <c r="G12" s="813" t="s">
        <v>339</v>
      </c>
      <c r="H12" s="808" t="s">
        <v>1060</v>
      </c>
      <c r="I12" s="808" t="s">
        <v>1061</v>
      </c>
      <c r="J12" s="808" t="s">
        <v>1060</v>
      </c>
      <c r="K12" s="808" t="s">
        <v>1060</v>
      </c>
      <c r="L12" s="809" t="s">
        <v>1060</v>
      </c>
      <c r="M12" s="809" t="s">
        <v>1060</v>
      </c>
      <c r="N12" s="809" t="s">
        <v>1061</v>
      </c>
    </row>
    <row r="13" spans="5:14" ht="40" thickBot="1" x14ac:dyDescent="0.4">
      <c r="E13" s="811">
        <v>3</v>
      </c>
      <c r="F13" s="812" t="s">
        <v>1062</v>
      </c>
      <c r="G13" s="813" t="s">
        <v>1063</v>
      </c>
      <c r="H13" s="809" t="s">
        <v>1064</v>
      </c>
      <c r="I13" s="809" t="s">
        <v>1065</v>
      </c>
      <c r="J13" s="809" t="s">
        <v>1064</v>
      </c>
      <c r="K13" s="809" t="s">
        <v>1064</v>
      </c>
      <c r="L13" s="809" t="s">
        <v>1064</v>
      </c>
      <c r="M13" s="809" t="s">
        <v>1064</v>
      </c>
      <c r="N13" s="809" t="s">
        <v>1065</v>
      </c>
    </row>
    <row r="14" spans="5:14" ht="27" thickBot="1" x14ac:dyDescent="0.4">
      <c r="E14" s="811">
        <v>4</v>
      </c>
      <c r="F14" s="812" t="s">
        <v>1066</v>
      </c>
      <c r="G14" s="813" t="s">
        <v>1067</v>
      </c>
      <c r="H14" s="809" t="s">
        <v>1068</v>
      </c>
      <c r="I14" s="809" t="s">
        <v>1069</v>
      </c>
      <c r="J14" s="808" t="s">
        <v>1068</v>
      </c>
      <c r="K14" s="808" t="s">
        <v>1068</v>
      </c>
      <c r="L14" s="809" t="s">
        <v>1068</v>
      </c>
      <c r="M14" s="809" t="s">
        <v>1068</v>
      </c>
      <c r="N14" s="809" t="s">
        <v>1069</v>
      </c>
    </row>
    <row r="15" spans="5:14" x14ac:dyDescent="0.35">
      <c r="E15" s="1094">
        <v>5</v>
      </c>
      <c r="F15" s="1096" t="s">
        <v>1070</v>
      </c>
      <c r="G15" s="1088" t="s">
        <v>1070</v>
      </c>
      <c r="H15" s="810" t="s">
        <v>1071</v>
      </c>
      <c r="I15" s="810" t="s">
        <v>1074</v>
      </c>
      <c r="J15" s="1091" t="s">
        <v>1077</v>
      </c>
      <c r="K15" s="1102" t="s">
        <v>1077</v>
      </c>
      <c r="L15" s="810" t="s">
        <v>1071</v>
      </c>
      <c r="M15" s="810" t="s">
        <v>1071</v>
      </c>
      <c r="N15" s="1102" t="s">
        <v>1080</v>
      </c>
    </row>
    <row r="16" spans="5:14" ht="26.5" x14ac:dyDescent="0.35">
      <c r="E16" s="1105"/>
      <c r="F16" s="1106"/>
      <c r="G16" s="1089"/>
      <c r="H16" s="810" t="s">
        <v>1072</v>
      </c>
      <c r="I16" s="810" t="s">
        <v>1075</v>
      </c>
      <c r="J16" s="1092"/>
      <c r="K16" s="1103"/>
      <c r="L16" s="810" t="s">
        <v>1078</v>
      </c>
      <c r="M16" s="810" t="s">
        <v>1079</v>
      </c>
      <c r="N16" s="1103"/>
    </row>
    <row r="17" spans="5:14" ht="15" thickBot="1" x14ac:dyDescent="0.4">
      <c r="E17" s="1095"/>
      <c r="F17" s="1106"/>
      <c r="G17" s="1089"/>
      <c r="H17" s="809" t="s">
        <v>1073</v>
      </c>
      <c r="I17" s="809" t="s">
        <v>1076</v>
      </c>
      <c r="J17" s="1093"/>
      <c r="K17" s="1104"/>
      <c r="L17" s="814"/>
      <c r="M17" s="814"/>
      <c r="N17" s="1104"/>
    </row>
    <row r="18" spans="5:14" ht="22.5" customHeight="1" x14ac:dyDescent="0.35">
      <c r="E18" s="1094">
        <v>6</v>
      </c>
      <c r="F18" s="1106"/>
      <c r="G18" s="1089"/>
      <c r="H18" s="1102" t="s">
        <v>1081</v>
      </c>
      <c r="I18" s="1091" t="s">
        <v>1082</v>
      </c>
      <c r="J18" s="1091" t="s">
        <v>1081</v>
      </c>
      <c r="K18" s="1102" t="s">
        <v>295</v>
      </c>
      <c r="L18" s="1102" t="s">
        <v>1081</v>
      </c>
      <c r="M18" s="810" t="s">
        <v>1083</v>
      </c>
      <c r="N18" s="1102" t="s">
        <v>1084</v>
      </c>
    </row>
    <row r="19" spans="5:14" ht="15" thickBot="1" x14ac:dyDescent="0.4">
      <c r="E19" s="1095"/>
      <c r="F19" s="1097"/>
      <c r="G19" s="1090"/>
      <c r="H19" s="1104"/>
      <c r="I19" s="1093"/>
      <c r="J19" s="1093"/>
      <c r="K19" s="1104"/>
      <c r="L19" s="1104"/>
      <c r="M19" s="809" t="s">
        <v>1081</v>
      </c>
      <c r="N19" s="1104"/>
    </row>
    <row r="20" spans="5:14" ht="15" thickBot="1" x14ac:dyDescent="0.4">
      <c r="E20" s="1098" t="s">
        <v>1085</v>
      </c>
      <c r="F20" s="1099"/>
      <c r="G20" s="1099"/>
      <c r="H20" s="1099"/>
      <c r="I20" s="1099"/>
      <c r="J20" s="1099"/>
      <c r="K20" s="1100"/>
      <c r="L20" s="812"/>
      <c r="M20" s="812"/>
      <c r="N20" s="812"/>
    </row>
    <row r="21" spans="5:14" ht="15" thickBot="1" x14ac:dyDescent="0.4">
      <c r="E21" s="811" t="s">
        <v>1086</v>
      </c>
      <c r="F21" s="812" t="s">
        <v>1087</v>
      </c>
      <c r="G21" s="815" t="s">
        <v>1088</v>
      </c>
      <c r="H21" s="815" t="s">
        <v>1089</v>
      </c>
      <c r="I21" s="815" t="s">
        <v>1089</v>
      </c>
      <c r="J21" s="815" t="s">
        <v>1090</v>
      </c>
      <c r="K21" s="815" t="s">
        <v>1091</v>
      </c>
      <c r="L21" s="812" t="s">
        <v>1089</v>
      </c>
      <c r="M21" s="812" t="s">
        <v>1092</v>
      </c>
      <c r="N21" s="812" t="s">
        <v>1093</v>
      </c>
    </row>
    <row r="22" spans="5:14" ht="15" thickBot="1" x14ac:dyDescent="0.4">
      <c r="E22" s="811" t="s">
        <v>1094</v>
      </c>
      <c r="F22" s="812" t="s">
        <v>1095</v>
      </c>
      <c r="G22" s="815" t="s">
        <v>1096</v>
      </c>
      <c r="H22" s="815" t="s">
        <v>1097</v>
      </c>
      <c r="I22" s="815" t="s">
        <v>1097</v>
      </c>
      <c r="J22" s="815" t="s">
        <v>1098</v>
      </c>
      <c r="K22" s="815" t="s">
        <v>1099</v>
      </c>
      <c r="L22" s="812" t="s">
        <v>1097</v>
      </c>
      <c r="M22" s="812" t="s">
        <v>1100</v>
      </c>
      <c r="N22" s="812" t="s">
        <v>1101</v>
      </c>
    </row>
    <row r="23" spans="5:14" ht="15" thickBot="1" x14ac:dyDescent="0.4">
      <c r="E23" s="811" t="s">
        <v>1102</v>
      </c>
      <c r="F23" s="812" t="s">
        <v>1103</v>
      </c>
      <c r="G23" s="815" t="s">
        <v>1104</v>
      </c>
      <c r="H23" s="815" t="s">
        <v>1105</v>
      </c>
      <c r="I23" s="815" t="s">
        <v>1105</v>
      </c>
      <c r="J23" s="815" t="s">
        <v>1106</v>
      </c>
      <c r="K23" s="815" t="s">
        <v>1107</v>
      </c>
      <c r="L23" s="812" t="s">
        <v>1105</v>
      </c>
      <c r="M23" s="812" t="s">
        <v>1108</v>
      </c>
      <c r="N23" s="812" t="s">
        <v>1109</v>
      </c>
    </row>
    <row r="24" spans="5:14" ht="15" thickBot="1" x14ac:dyDescent="0.4">
      <c r="E24" s="811" t="s">
        <v>1110</v>
      </c>
      <c r="F24" s="812" t="s">
        <v>1111</v>
      </c>
      <c r="G24" s="816"/>
      <c r="H24" s="815" t="s">
        <v>1113</v>
      </c>
      <c r="I24" s="815" t="s">
        <v>1113</v>
      </c>
      <c r="J24" s="815" t="s">
        <v>1114</v>
      </c>
      <c r="K24" s="815" t="s">
        <v>1115</v>
      </c>
      <c r="L24" s="812" t="s">
        <v>1113</v>
      </c>
      <c r="M24" s="812" t="s">
        <v>1116</v>
      </c>
      <c r="N24" s="812" t="s">
        <v>1117</v>
      </c>
    </row>
    <row r="25" spans="5:14" ht="15" thickBot="1" x14ac:dyDescent="0.4">
      <c r="E25" s="818" t="s">
        <v>1118</v>
      </c>
      <c r="F25" s="819" t="s">
        <v>1119</v>
      </c>
      <c r="G25" s="817" t="s">
        <v>1112</v>
      </c>
      <c r="H25" s="817" t="s">
        <v>1120</v>
      </c>
      <c r="I25" s="817" t="s">
        <v>1120</v>
      </c>
      <c r="J25" s="817" t="s">
        <v>1121</v>
      </c>
      <c r="K25" s="817" t="s">
        <v>295</v>
      </c>
      <c r="L25" s="819" t="s">
        <v>1120</v>
      </c>
      <c r="M25" s="819" t="s">
        <v>1122</v>
      </c>
      <c r="N25" s="819" t="s">
        <v>1123</v>
      </c>
    </row>
  </sheetData>
  <sheetProtection password="F93C" sheet="1" objects="1" scenarios="1"/>
  <mergeCells count="18">
    <mergeCell ref="E20:K20"/>
    <mergeCell ref="E7:N7"/>
    <mergeCell ref="N15:N17"/>
    <mergeCell ref="E18:E19"/>
    <mergeCell ref="H18:H19"/>
    <mergeCell ref="I18:I19"/>
    <mergeCell ref="J18:J19"/>
    <mergeCell ref="K18:K19"/>
    <mergeCell ref="L18:L19"/>
    <mergeCell ref="N18:N19"/>
    <mergeCell ref="K15:K17"/>
    <mergeCell ref="E15:E17"/>
    <mergeCell ref="F15:F19"/>
    <mergeCell ref="G15:G19"/>
    <mergeCell ref="J15:J17"/>
    <mergeCell ref="E10:E11"/>
    <mergeCell ref="F10:F11"/>
    <mergeCell ref="G10:G11"/>
  </mergeCells>
  <pageMargins left="0.7" right="0.7" top="0.75" bottom="0.75" header="0.3" footer="0.3"/>
  <pageSetup paperSize="9" scale="8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sheetPr>
  <dimension ref="A1:K23"/>
  <sheetViews>
    <sheetView showGridLines="0" topLeftCell="D1" zoomScaleSheetLayoutView="90" workbookViewId="0">
      <selection activeCell="E8" sqref="E8"/>
    </sheetView>
  </sheetViews>
  <sheetFormatPr defaultColWidth="9.1796875" defaultRowHeight="14.5" x14ac:dyDescent="0.35"/>
  <cols>
    <col min="1" max="1" width="3.54296875" hidden="1" customWidth="1"/>
    <col min="2" max="2" width="2.81640625" hidden="1" customWidth="1"/>
    <col min="3" max="3" width="4.81640625" hidden="1" customWidth="1"/>
    <col min="4" max="4" width="2.453125" customWidth="1"/>
    <col min="5" max="5" width="38.453125" bestFit="1" customWidth="1"/>
    <col min="6" max="6" width="40.81640625" style="1" bestFit="1" customWidth="1"/>
    <col min="7" max="7" width="2.26953125" customWidth="1"/>
    <col min="8" max="8" width="3.453125" hidden="1" customWidth="1"/>
    <col min="9" max="9" width="26.54296875" bestFit="1" customWidth="1"/>
    <col min="10" max="10" width="2.54296875" customWidth="1"/>
    <col min="11" max="11" width="15.1796875" bestFit="1" customWidth="1"/>
  </cols>
  <sheetData>
    <row r="1" spans="5:11" x14ac:dyDescent="0.35">
      <c r="E1" s="8" t="s">
        <v>144</v>
      </c>
      <c r="F1" s="8" t="s">
        <v>145</v>
      </c>
      <c r="I1" s="3" t="s">
        <v>146</v>
      </c>
      <c r="K1" s="2" t="s">
        <v>128</v>
      </c>
    </row>
    <row r="2" spans="5:11" x14ac:dyDescent="0.35">
      <c r="E2" s="6" t="s">
        <v>137</v>
      </c>
      <c r="F2" s="9" t="s">
        <v>152</v>
      </c>
      <c r="I2" s="7" t="s">
        <v>147</v>
      </c>
      <c r="K2" t="s">
        <v>153</v>
      </c>
    </row>
    <row r="3" spans="5:11" x14ac:dyDescent="0.35">
      <c r="E3" s="5" t="s">
        <v>142</v>
      </c>
      <c r="F3" s="4">
        <v>101</v>
      </c>
      <c r="I3" s="3" t="s">
        <v>148</v>
      </c>
      <c r="K3" t="s">
        <v>154</v>
      </c>
    </row>
    <row r="4" spans="5:11" x14ac:dyDescent="0.35">
      <c r="E4" s="5" t="s">
        <v>143</v>
      </c>
      <c r="F4" s="4">
        <v>102</v>
      </c>
      <c r="I4" s="3" t="s">
        <v>149</v>
      </c>
      <c r="K4" t="s">
        <v>155</v>
      </c>
    </row>
    <row r="5" spans="5:11" x14ac:dyDescent="0.35">
      <c r="E5" s="5" t="s">
        <v>530</v>
      </c>
      <c r="F5" s="4">
        <v>103</v>
      </c>
      <c r="I5" s="3" t="s">
        <v>150</v>
      </c>
      <c r="K5" t="s">
        <v>156</v>
      </c>
    </row>
    <row r="6" spans="5:11" x14ac:dyDescent="0.35">
      <c r="E6" s="5" t="s">
        <v>525</v>
      </c>
      <c r="F6" s="4">
        <v>104</v>
      </c>
      <c r="K6" t="s">
        <v>157</v>
      </c>
    </row>
    <row r="7" spans="5:11" x14ac:dyDescent="0.35">
      <c r="E7" s="5" t="s">
        <v>523</v>
      </c>
      <c r="F7" s="4">
        <v>105</v>
      </c>
    </row>
    <row r="8" spans="5:11" x14ac:dyDescent="0.35">
      <c r="E8" s="5" t="s">
        <v>524</v>
      </c>
      <c r="F8" s="4">
        <v>106</v>
      </c>
    </row>
    <row r="9" spans="5:11" x14ac:dyDescent="0.35">
      <c r="E9" s="5" t="s">
        <v>549</v>
      </c>
      <c r="F9" s="4">
        <v>107</v>
      </c>
    </row>
    <row r="10" spans="5:11" x14ac:dyDescent="0.35">
      <c r="E10" s="5" t="s">
        <v>527</v>
      </c>
      <c r="F10" s="4">
        <v>108</v>
      </c>
    </row>
    <row r="11" spans="5:11" x14ac:dyDescent="0.35">
      <c r="E11" s="5" t="s">
        <v>529</v>
      </c>
      <c r="F11" s="4">
        <v>109</v>
      </c>
    </row>
    <row r="12" spans="5:11" x14ac:dyDescent="0.35">
      <c r="E12" s="5" t="s">
        <v>528</v>
      </c>
      <c r="F12" s="4">
        <v>110</v>
      </c>
    </row>
    <row r="13" spans="5:11" x14ac:dyDescent="0.35">
      <c r="E13" s="5" t="s">
        <v>531</v>
      </c>
      <c r="F13" s="4">
        <v>111</v>
      </c>
      <c r="I13" s="3" t="s">
        <v>85</v>
      </c>
    </row>
    <row r="14" spans="5:11" x14ac:dyDescent="0.35">
      <c r="E14" s="5" t="s">
        <v>532</v>
      </c>
      <c r="F14" s="4">
        <v>112</v>
      </c>
      <c r="I14" s="3" t="s">
        <v>82</v>
      </c>
    </row>
    <row r="15" spans="5:11" x14ac:dyDescent="0.35">
      <c r="E15" s="5" t="s">
        <v>533</v>
      </c>
      <c r="F15" s="4">
        <v>113</v>
      </c>
      <c r="I15" s="3" t="s">
        <v>158</v>
      </c>
    </row>
    <row r="16" spans="5:11" x14ac:dyDescent="0.35">
      <c r="E16" s="5" t="s">
        <v>534</v>
      </c>
      <c r="F16" s="4">
        <v>114</v>
      </c>
    </row>
    <row r="17" spans="5:6" x14ac:dyDescent="0.35">
      <c r="E17" s="6" t="s">
        <v>138</v>
      </c>
      <c r="F17" s="4">
        <v>200</v>
      </c>
    </row>
    <row r="18" spans="5:6" x14ac:dyDescent="0.35">
      <c r="E18" s="6" t="s">
        <v>139</v>
      </c>
      <c r="F18" s="4">
        <v>300</v>
      </c>
    </row>
    <row r="19" spans="5:6" x14ac:dyDescent="0.35">
      <c r="E19" s="6" t="s">
        <v>140</v>
      </c>
      <c r="F19" s="9" t="s">
        <v>152</v>
      </c>
    </row>
    <row r="20" spans="5:6" x14ac:dyDescent="0.35">
      <c r="E20" s="5" t="s">
        <v>141</v>
      </c>
      <c r="F20" s="4">
        <v>401</v>
      </c>
    </row>
    <row r="21" spans="5:6" x14ac:dyDescent="0.35">
      <c r="E21" s="5" t="s">
        <v>526</v>
      </c>
      <c r="F21" s="4">
        <v>402</v>
      </c>
    </row>
    <row r="22" spans="5:6" x14ac:dyDescent="0.35">
      <c r="E22" s="5" t="s">
        <v>592</v>
      </c>
      <c r="F22" s="4">
        <v>403</v>
      </c>
    </row>
    <row r="23" spans="5:6" x14ac:dyDescent="0.35">
      <c r="E23" s="5" t="s">
        <v>593</v>
      </c>
      <c r="F23" s="4">
        <v>404</v>
      </c>
    </row>
  </sheetData>
  <sheetProtection selectLockedCells="1"/>
  <pageMargins left="0.7" right="0.7" top="0.75" bottom="0.75" header="0.3" footer="0.3"/>
  <pageSetup scale="70" orientation="portrait" horizontalDpi="4294967292"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B142"/>
  <sheetViews>
    <sheetView view="pageBreakPreview" topLeftCell="A122" zoomScaleNormal="90" zoomScaleSheetLayoutView="100" zoomScalePageLayoutView="90" workbookViewId="0">
      <selection activeCell="E107" sqref="E107"/>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1049</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v>
      </c>
      <c r="U6" s="402">
        <f>1-T6</f>
        <v>0.7</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368" t="s">
        <v>631</v>
      </c>
      <c r="C19" s="368">
        <v>7</v>
      </c>
      <c r="D19" s="369">
        <f>'9. Inputs-Analysis'!D4</f>
        <v>3.9252586061418495</v>
      </c>
      <c r="E19" s="370">
        <f>IF(D19&lt;=0,0,IF(D19&lt;0.75,7,IF(D19&lt;1,6,IF(D19&lt;1.25,5,IF(D19&lt;1.5,4,IF(D19&lt;2.5,3,IF(D19&lt;3.5,2,0)))))))</f>
        <v>0</v>
      </c>
    </row>
    <row r="20" spans="1:5" x14ac:dyDescent="0.3">
      <c r="A20" s="371"/>
      <c r="B20" s="368" t="s">
        <v>632</v>
      </c>
      <c r="C20" s="368">
        <v>6</v>
      </c>
      <c r="D20" s="372"/>
      <c r="E20" s="373"/>
    </row>
    <row r="21" spans="1:5" x14ac:dyDescent="0.3">
      <c r="A21" s="371"/>
      <c r="B21" s="368" t="s">
        <v>633</v>
      </c>
      <c r="C21" s="368">
        <v>5</v>
      </c>
      <c r="D21" s="372"/>
      <c r="E21" s="373"/>
    </row>
    <row r="22" spans="1:5" x14ac:dyDescent="0.3">
      <c r="A22" s="371"/>
      <c r="B22" s="368" t="s">
        <v>634</v>
      </c>
      <c r="C22" s="368">
        <v>4</v>
      </c>
      <c r="D22" s="372"/>
      <c r="E22" s="373"/>
    </row>
    <row r="23" spans="1:5" x14ac:dyDescent="0.3">
      <c r="A23" s="371"/>
      <c r="B23" s="368" t="s">
        <v>466</v>
      </c>
      <c r="C23" s="368">
        <v>3</v>
      </c>
      <c r="D23" s="372"/>
      <c r="E23" s="373"/>
    </row>
    <row r="24" spans="1:5" x14ac:dyDescent="0.3">
      <c r="A24" s="371"/>
      <c r="B24" s="368" t="s">
        <v>635</v>
      </c>
      <c r="C24" s="368">
        <v>2</v>
      </c>
      <c r="D24" s="372"/>
      <c r="E24" s="373"/>
    </row>
    <row r="25" spans="1:5" x14ac:dyDescent="0.3">
      <c r="A25" s="371"/>
      <c r="B25" s="368" t="s">
        <v>636</v>
      </c>
      <c r="C25" s="368">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368" t="s">
        <v>637</v>
      </c>
      <c r="C29" s="368">
        <v>3</v>
      </c>
      <c r="D29" s="369">
        <f>'9. Inputs-Analysis'!D7</f>
        <v>0.78528910732277912</v>
      </c>
      <c r="E29" s="374">
        <f>IF(D29&lt;0,0,IF(D29&lt;0.35,3,IF(D29&lt;0.74,2,IF(D29&lt;0.99,1,0))))</f>
        <v>1</v>
      </c>
    </row>
    <row r="30" spans="1:5" x14ac:dyDescent="0.3">
      <c r="A30" s="367"/>
      <c r="B30" s="368" t="s">
        <v>638</v>
      </c>
      <c r="C30" s="368">
        <v>2</v>
      </c>
      <c r="D30" s="372"/>
      <c r="E30" s="375"/>
    </row>
    <row r="31" spans="1:5" x14ac:dyDescent="0.3">
      <c r="A31" s="371"/>
      <c r="B31" s="368" t="s">
        <v>483</v>
      </c>
      <c r="C31" s="368">
        <v>1</v>
      </c>
      <c r="D31" s="372"/>
      <c r="E31" s="375"/>
    </row>
    <row r="32" spans="1:5" x14ac:dyDescent="0.3">
      <c r="A32" s="371"/>
      <c r="B32" s="368" t="s">
        <v>639</v>
      </c>
      <c r="C32" s="368">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368" t="s">
        <v>465</v>
      </c>
      <c r="C37" s="368">
        <v>7</v>
      </c>
      <c r="D37" s="369">
        <f>'9. Inputs-Analysis'!D11</f>
        <v>1.040552151554528</v>
      </c>
      <c r="E37" s="370">
        <f>IF(D37&gt;2,7,IF(D37&gt;=1.51,6,IF(D37&gt;=1.01,5,IF(D37&gt;=0.51,2,0))))</f>
        <v>5</v>
      </c>
    </row>
    <row r="38" spans="1:106" x14ac:dyDescent="0.3">
      <c r="A38" s="367"/>
      <c r="B38" s="368" t="s">
        <v>466</v>
      </c>
      <c r="C38" s="368">
        <v>6</v>
      </c>
      <c r="D38" s="379"/>
      <c r="E38" s="373"/>
    </row>
    <row r="39" spans="1:106" x14ac:dyDescent="0.3">
      <c r="A39" s="376"/>
      <c r="B39" s="368" t="s">
        <v>484</v>
      </c>
      <c r="C39" s="368">
        <v>5</v>
      </c>
      <c r="D39" s="372"/>
      <c r="E39" s="373"/>
    </row>
    <row r="40" spans="1:106" x14ac:dyDescent="0.3">
      <c r="A40" s="376"/>
      <c r="B40" s="368" t="s">
        <v>640</v>
      </c>
      <c r="C40" s="368">
        <v>2</v>
      </c>
      <c r="D40" s="372"/>
      <c r="E40" s="373"/>
    </row>
    <row r="41" spans="1:106" x14ac:dyDescent="0.3">
      <c r="A41" s="376"/>
      <c r="B41" s="368" t="s">
        <v>577</v>
      </c>
      <c r="C41" s="368">
        <v>0</v>
      </c>
      <c r="D41" s="372"/>
      <c r="E41" s="373"/>
    </row>
    <row r="42" spans="1:106" x14ac:dyDescent="0.3">
      <c r="A42" s="376"/>
      <c r="B42" s="368"/>
      <c r="C42" s="368"/>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368" t="s">
        <v>578</v>
      </c>
      <c r="C45" s="368">
        <v>3</v>
      </c>
      <c r="D45" s="369">
        <f>'9. Inputs-Analysis'!D10</f>
        <v>6.1472340974284764E-3</v>
      </c>
      <c r="E45" s="374">
        <f>IF(D45&gt;0.2,3,IF(D45&gt;=0.11,2,IF(D45&gt;=0.06,1,0)))</f>
        <v>0</v>
      </c>
    </row>
    <row r="46" spans="1:106" x14ac:dyDescent="0.3">
      <c r="A46" s="367"/>
      <c r="B46" s="368" t="s">
        <v>234</v>
      </c>
      <c r="C46" s="368">
        <v>2</v>
      </c>
      <c r="D46" s="372"/>
      <c r="E46" s="375"/>
    </row>
    <row r="47" spans="1:106" x14ac:dyDescent="0.3">
      <c r="A47" s="367"/>
      <c r="B47" s="368" t="s">
        <v>235</v>
      </c>
      <c r="C47" s="368">
        <v>1</v>
      </c>
      <c r="D47" s="372"/>
      <c r="E47" s="375"/>
    </row>
    <row r="48" spans="1:106" x14ac:dyDescent="0.3">
      <c r="A48" s="367"/>
      <c r="B48" s="368" t="s">
        <v>488</v>
      </c>
      <c r="C48" s="368">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368" t="s">
        <v>641</v>
      </c>
      <c r="C53" s="368">
        <v>5</v>
      </c>
      <c r="D53" s="384">
        <f>'9. Inputs-Analysis'!D15</f>
        <v>5.4896988386267581E-2</v>
      </c>
      <c r="E53" s="385">
        <f>IF(D53&gt;8%,5,IF(D53&gt;=7%,4,IF(D53&gt;=5%,3,IF(D53&gt;=3%,2,IF(D53&gt;=1%,1,0)))))</f>
        <v>3</v>
      </c>
    </row>
    <row r="54" spans="1:106" x14ac:dyDescent="0.3">
      <c r="A54" s="386"/>
      <c r="B54" s="368" t="s">
        <v>642</v>
      </c>
      <c r="C54" s="368">
        <v>4</v>
      </c>
      <c r="D54" s="387"/>
      <c r="E54" s="388"/>
    </row>
    <row r="55" spans="1:106" x14ac:dyDescent="0.3">
      <c r="A55" s="386"/>
      <c r="B55" s="368" t="s">
        <v>643</v>
      </c>
      <c r="C55" s="368">
        <v>3</v>
      </c>
      <c r="D55" s="372"/>
      <c r="E55" s="388"/>
    </row>
    <row r="56" spans="1:106" x14ac:dyDescent="0.3">
      <c r="A56" s="386"/>
      <c r="B56" s="368" t="s">
        <v>644</v>
      </c>
      <c r="C56" s="368">
        <v>2</v>
      </c>
      <c r="D56" s="372"/>
      <c r="E56" s="388"/>
    </row>
    <row r="57" spans="1:106" x14ac:dyDescent="0.3">
      <c r="A57" s="376"/>
      <c r="B57" s="368" t="s">
        <v>645</v>
      </c>
      <c r="C57" s="368">
        <v>1</v>
      </c>
      <c r="D57" s="372"/>
      <c r="E57" s="388"/>
    </row>
    <row r="58" spans="1:106" x14ac:dyDescent="0.3">
      <c r="A58" s="376"/>
      <c r="B58" s="368" t="s">
        <v>646</v>
      </c>
      <c r="C58" s="368">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368" t="s">
        <v>647</v>
      </c>
      <c r="C62" s="368">
        <v>3</v>
      </c>
      <c r="D62" s="384">
        <f>'9. Inputs-Analysis'!D18</f>
        <v>1.9426111026367571E-2</v>
      </c>
      <c r="E62" s="212">
        <f>IF(D62&gt;5%,3,IF(D62&gt;=3.01%,2,IF(D62&gt;=2.01%,1,0)))</f>
        <v>0</v>
      </c>
    </row>
    <row r="63" spans="1:106" x14ac:dyDescent="0.3">
      <c r="A63" s="386"/>
      <c r="B63" s="368" t="s">
        <v>648</v>
      </c>
      <c r="C63" s="368">
        <v>2</v>
      </c>
      <c r="D63" s="389"/>
      <c r="E63" s="390"/>
    </row>
    <row r="64" spans="1:106" x14ac:dyDescent="0.3">
      <c r="A64" s="386"/>
      <c r="B64" s="368" t="s">
        <v>494</v>
      </c>
      <c r="C64" s="368">
        <v>1</v>
      </c>
      <c r="D64" s="389"/>
      <c r="E64" s="390"/>
    </row>
    <row r="65" spans="1:106" x14ac:dyDescent="0.3">
      <c r="A65" s="386"/>
      <c r="B65" s="368" t="s">
        <v>495</v>
      </c>
      <c r="C65" s="368">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368" t="s">
        <v>649</v>
      </c>
      <c r="C69" s="368">
        <v>2</v>
      </c>
      <c r="D69" s="392">
        <f>'9. Inputs-Analysis'!D21</f>
        <v>4.652054000911502E-2</v>
      </c>
      <c r="E69" s="212">
        <f>IF(D69&gt;6%,2,IF(D69&gt;=4.01%,1,0))</f>
        <v>1</v>
      </c>
    </row>
    <row r="70" spans="1:106" x14ac:dyDescent="0.3">
      <c r="A70" s="391"/>
      <c r="B70" s="368" t="s">
        <v>491</v>
      </c>
      <c r="C70" s="368">
        <v>1</v>
      </c>
      <c r="D70" s="372"/>
      <c r="E70" s="390"/>
    </row>
    <row r="71" spans="1:106" x14ac:dyDescent="0.3">
      <c r="A71" s="376"/>
      <c r="B71" s="368" t="s">
        <v>650</v>
      </c>
      <c r="C71" s="368">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5</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368" t="s">
        <v>651</v>
      </c>
      <c r="C76" s="368">
        <v>3</v>
      </c>
      <c r="D76" s="369">
        <f>'9. Inputs-Analysis'!D24</f>
        <v>2.1640484041893577</v>
      </c>
      <c r="E76" s="370">
        <f>IF(D76&gt;5,3,IF(D76&gt;=3.01,2,IF(D76&gt;=1.01,1,0)))</f>
        <v>1</v>
      </c>
    </row>
    <row r="77" spans="1:106" x14ac:dyDescent="0.3">
      <c r="A77" s="376"/>
      <c r="B77" s="368" t="s">
        <v>652</v>
      </c>
      <c r="C77" s="368">
        <v>2</v>
      </c>
      <c r="D77" s="218"/>
      <c r="E77" s="373"/>
    </row>
    <row r="78" spans="1:106" x14ac:dyDescent="0.3">
      <c r="A78" s="376"/>
      <c r="B78" s="368" t="s">
        <v>653</v>
      </c>
      <c r="C78" s="368">
        <v>1</v>
      </c>
      <c r="D78" s="372"/>
      <c r="E78" s="373"/>
    </row>
    <row r="79" spans="1:106" x14ac:dyDescent="0.3">
      <c r="A79" s="376"/>
      <c r="B79" s="368" t="s">
        <v>629</v>
      </c>
      <c r="C79" s="368">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IF(D83&gt;4,5,IF(D83&gt;=3,4,IF(D83&gt;=2,3,IF(D83&gt;=1.51,2,IF(D83&gt;=1.01,1,0)))))</f>
        <v>1</v>
      </c>
    </row>
    <row r="84" spans="1:5" x14ac:dyDescent="0.3">
      <c r="A84" s="367"/>
      <c r="B84" s="368" t="s">
        <v>581</v>
      </c>
      <c r="C84" s="368">
        <v>5</v>
      </c>
      <c r="D84" s="372"/>
      <c r="E84" s="375"/>
    </row>
    <row r="85" spans="1:5" x14ac:dyDescent="0.3">
      <c r="A85" s="367"/>
      <c r="B85" s="368" t="s">
        <v>470</v>
      </c>
      <c r="C85" s="368">
        <v>4</v>
      </c>
      <c r="D85" s="372"/>
      <c r="E85" s="375"/>
    </row>
    <row r="86" spans="1:5" x14ac:dyDescent="0.3">
      <c r="A86" s="367"/>
      <c r="B86" s="368" t="s">
        <v>473</v>
      </c>
      <c r="C86" s="368">
        <v>3</v>
      </c>
      <c r="D86" s="372"/>
      <c r="E86" s="375"/>
    </row>
    <row r="87" spans="1:5" x14ac:dyDescent="0.3">
      <c r="A87" s="367"/>
      <c r="B87" s="368" t="s">
        <v>654</v>
      </c>
      <c r="C87" s="368">
        <v>2</v>
      </c>
      <c r="D87" s="372"/>
      <c r="E87" s="375"/>
    </row>
    <row r="88" spans="1:5" x14ac:dyDescent="0.3">
      <c r="A88" s="367"/>
      <c r="B88" s="368" t="s">
        <v>655</v>
      </c>
      <c r="C88" s="368">
        <v>1</v>
      </c>
      <c r="D88" s="372"/>
      <c r="E88" s="375"/>
    </row>
    <row r="89" spans="1:5" x14ac:dyDescent="0.3">
      <c r="A89" s="376"/>
      <c r="B89" s="368" t="s">
        <v>256</v>
      </c>
      <c r="C89" s="368">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368" t="s">
        <v>656</v>
      </c>
      <c r="C93" s="368">
        <v>4</v>
      </c>
      <c r="D93" s="369">
        <f>'9. Inputs-Analysis'!D30</f>
        <v>3.3545581292940753E-2</v>
      </c>
      <c r="E93" s="374">
        <f>IF(D93&gt;0.55,4,IF(D93&gt;=0.35,3,IF(D93&gt;=0.25,2,IF(D93&gt;=-0.1,1,0))))</f>
        <v>1</v>
      </c>
    </row>
    <row r="94" spans="1:5" x14ac:dyDescent="0.3">
      <c r="A94" s="376"/>
      <c r="B94" s="368" t="s">
        <v>657</v>
      </c>
      <c r="C94" s="368">
        <v>3</v>
      </c>
      <c r="D94" s="372"/>
      <c r="E94" s="375"/>
    </row>
    <row r="95" spans="1:5" x14ac:dyDescent="0.3">
      <c r="A95" s="376"/>
      <c r="B95" s="368" t="s">
        <v>658</v>
      </c>
      <c r="C95" s="368">
        <v>2</v>
      </c>
      <c r="D95" s="372"/>
      <c r="E95" s="375"/>
    </row>
    <row r="96" spans="1:5" x14ac:dyDescent="0.3">
      <c r="A96" s="376"/>
      <c r="B96" s="368" t="s">
        <v>659</v>
      </c>
      <c r="C96" s="368">
        <v>1</v>
      </c>
      <c r="D96" s="372"/>
      <c r="E96" s="375"/>
    </row>
    <row r="97" spans="1:106" x14ac:dyDescent="0.3">
      <c r="A97" s="376"/>
      <c r="B97" s="368" t="s">
        <v>660</v>
      </c>
      <c r="C97" s="368">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14" t="s">
        <v>661</v>
      </c>
      <c r="C100" s="368">
        <v>3</v>
      </c>
      <c r="D100" s="394">
        <f>'9. Inputs-Analysis'!D33</f>
        <v>0.76522361031669384</v>
      </c>
      <c r="E100" s="374">
        <f>IF(D100&gt;1,3,IF(D100&gt;=0.5,2,IF(D100&gt;=-0.1,1,0)))</f>
        <v>2</v>
      </c>
    </row>
    <row r="101" spans="1:106" x14ac:dyDescent="0.3">
      <c r="A101" s="367"/>
      <c r="B101" s="368" t="s">
        <v>662</v>
      </c>
      <c r="C101" s="368">
        <v>2</v>
      </c>
      <c r="D101" s="372"/>
      <c r="E101" s="375"/>
    </row>
    <row r="102" spans="1:106" x14ac:dyDescent="0.3">
      <c r="A102" s="367"/>
      <c r="B102" s="368" t="s">
        <v>663</v>
      </c>
      <c r="C102" s="368">
        <v>1</v>
      </c>
      <c r="D102" s="372"/>
      <c r="E102" s="375"/>
    </row>
    <row r="103" spans="1:106" x14ac:dyDescent="0.3">
      <c r="A103" s="367"/>
      <c r="B103" s="368" t="s">
        <v>664</v>
      </c>
      <c r="C103" s="368">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1</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368" t="s">
        <v>665</v>
      </c>
      <c r="C107" s="368">
        <v>4</v>
      </c>
      <c r="D107" s="395">
        <f>'9. Inputs-Analysis'!D36</f>
        <v>823.72780049574567</v>
      </c>
      <c r="E107" s="385">
        <f>IF(D107&lt;100,4,IF(D107&lt;120,3,IF(D107&lt;150,2,IF(D107&lt;180,1,0))))</f>
        <v>0</v>
      </c>
    </row>
    <row r="108" spans="1:106" x14ac:dyDescent="0.3">
      <c r="A108" s="376"/>
      <c r="B108" s="368" t="s">
        <v>666</v>
      </c>
      <c r="C108" s="368">
        <v>3</v>
      </c>
      <c r="D108" s="372"/>
      <c r="E108" s="388"/>
    </row>
    <row r="109" spans="1:106" x14ac:dyDescent="0.3">
      <c r="A109" s="376"/>
      <c r="B109" s="368" t="s">
        <v>667</v>
      </c>
      <c r="C109" s="368">
        <v>2</v>
      </c>
      <c r="D109" s="372"/>
      <c r="E109" s="388"/>
    </row>
    <row r="110" spans="1:106" x14ac:dyDescent="0.3">
      <c r="A110" s="376"/>
      <c r="B110" s="368" t="s">
        <v>668</v>
      </c>
      <c r="C110" s="368">
        <v>1</v>
      </c>
      <c r="D110" s="372"/>
      <c r="E110" s="388"/>
    </row>
    <row r="111" spans="1:106" x14ac:dyDescent="0.3">
      <c r="A111" s="376"/>
      <c r="B111" s="368" t="s">
        <v>669</v>
      </c>
      <c r="C111" s="368">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368" t="s">
        <v>670</v>
      </c>
      <c r="C115" s="368">
        <v>3</v>
      </c>
      <c r="D115" s="395">
        <f>'9. Inputs-Analysis'!D39</f>
        <v>89.219451744334833</v>
      </c>
      <c r="E115" s="212">
        <f>IF(D115&lt;45,3,IF(D115&lt;60,2,IF(D115&lt;90,1,0)))</f>
        <v>1</v>
      </c>
    </row>
    <row r="116" spans="1:5" x14ac:dyDescent="0.3">
      <c r="A116" s="376"/>
      <c r="B116" s="368" t="s">
        <v>249</v>
      </c>
      <c r="C116" s="368">
        <v>2</v>
      </c>
      <c r="D116" s="372"/>
      <c r="E116" s="390"/>
    </row>
    <row r="117" spans="1:5" x14ac:dyDescent="0.3">
      <c r="A117" s="376"/>
      <c r="B117" s="368" t="s">
        <v>671</v>
      </c>
      <c r="C117" s="368">
        <v>1</v>
      </c>
      <c r="D117" s="372"/>
      <c r="E117" s="390"/>
    </row>
    <row r="118" spans="1:5" x14ac:dyDescent="0.3">
      <c r="A118" s="376"/>
      <c r="B118" s="368" t="s">
        <v>502</v>
      </c>
      <c r="C118" s="368">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368" t="s">
        <v>672</v>
      </c>
      <c r="C122" s="368">
        <v>3</v>
      </c>
      <c r="D122" s="384">
        <f>'9. Inputs-Analysis'!D42</f>
        <v>0.35386478561776608</v>
      </c>
      <c r="E122" s="212">
        <f>IF(D122&gt;=125%,3,IF(D122&gt;=75%,2,IF(D122&gt;=50%,1,0)))</f>
        <v>0</v>
      </c>
    </row>
    <row r="123" spans="1:5" x14ac:dyDescent="0.3">
      <c r="A123" s="376"/>
      <c r="B123" s="368" t="s">
        <v>673</v>
      </c>
      <c r="C123" s="368">
        <v>2</v>
      </c>
      <c r="D123" s="372"/>
      <c r="E123" s="390"/>
    </row>
    <row r="124" spans="1:5" x14ac:dyDescent="0.3">
      <c r="A124" s="376"/>
      <c r="B124" s="368" t="s">
        <v>674</v>
      </c>
      <c r="C124" s="368">
        <v>1</v>
      </c>
      <c r="D124" s="372"/>
      <c r="E124" s="390"/>
    </row>
    <row r="125" spans="1:5" x14ac:dyDescent="0.3">
      <c r="A125" s="376"/>
      <c r="B125" s="368" t="s">
        <v>521</v>
      </c>
      <c r="C125" s="368">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368" t="s">
        <v>675</v>
      </c>
      <c r="C130" s="368">
        <v>3</v>
      </c>
      <c r="D130" s="384">
        <f>'9. Inputs-Analysis'!D45</f>
        <v>7.4443631180108563E-2</v>
      </c>
      <c r="E130" s="385">
        <f>IF(D130&gt;8%,3,IF(D130&gt;=4.01%,2,IF(D130&gt;=2.01%,1,0)))</f>
        <v>2</v>
      </c>
    </row>
    <row r="131" spans="1:106" x14ac:dyDescent="0.3">
      <c r="A131" s="376"/>
      <c r="B131" s="368" t="s">
        <v>676</v>
      </c>
      <c r="C131" s="368">
        <v>2</v>
      </c>
      <c r="D131" s="372"/>
      <c r="E131" s="388"/>
    </row>
    <row r="132" spans="1:106" x14ac:dyDescent="0.3">
      <c r="A132" s="376"/>
      <c r="B132" s="368" t="s">
        <v>677</v>
      </c>
      <c r="C132" s="368">
        <v>1</v>
      </c>
      <c r="D132" s="372"/>
      <c r="E132" s="388"/>
    </row>
    <row r="133" spans="1:106" x14ac:dyDescent="0.3">
      <c r="A133" s="376"/>
      <c r="B133" s="368" t="s">
        <v>678</v>
      </c>
      <c r="C133" s="368">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978</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18</v>
      </c>
    </row>
    <row r="142" spans="1:106" s="37" customFormat="1" ht="15.75" customHeight="1" thickBot="1" x14ac:dyDescent="0.35">
      <c r="A142" s="396" t="s">
        <v>409</v>
      </c>
      <c r="B142" s="397"/>
      <c r="C142" s="1013">
        <f>E141/C141</f>
        <v>0.3</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22"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B142"/>
  <sheetViews>
    <sheetView view="pageBreakPreview" topLeftCell="A86" zoomScaleNormal="90" zoomScaleSheetLayoutView="100" zoomScalePageLayoutView="90" workbookViewId="0">
      <selection activeCell="I98" sqref="I98"/>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0.36666666666666664</v>
      </c>
      <c r="U6" s="402">
        <f>1-T6</f>
        <v>0.6333333333333333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368" t="s">
        <v>869</v>
      </c>
      <c r="C19" s="368">
        <v>7</v>
      </c>
      <c r="D19" s="369">
        <f>'9. Inputs-Analysis'!D4</f>
        <v>3.9252586061418495</v>
      </c>
      <c r="E19" s="370">
        <f>IF(D19&lt;0,0,IF(D19&lt;0.7,7,IF(D19&lt;1,6,IF(D19&lt;1.5,5,IF(D19&lt;2,4,IF(D19&lt;3,3,IF(D19&lt;3.5,2,0)))))))</f>
        <v>0</v>
      </c>
    </row>
    <row r="20" spans="1:5" x14ac:dyDescent="0.3">
      <c r="A20" s="371"/>
      <c r="B20" s="368" t="s">
        <v>870</v>
      </c>
      <c r="C20" s="368">
        <v>6</v>
      </c>
      <c r="D20" s="372"/>
      <c r="E20" s="373"/>
    </row>
    <row r="21" spans="1:5" x14ac:dyDescent="0.3">
      <c r="A21" s="371"/>
      <c r="B21" s="368" t="s">
        <v>871</v>
      </c>
      <c r="C21" s="368">
        <v>5</v>
      </c>
      <c r="D21" s="372"/>
      <c r="E21" s="373"/>
    </row>
    <row r="22" spans="1:5" x14ac:dyDescent="0.3">
      <c r="A22" s="371"/>
      <c r="B22" s="368" t="s">
        <v>872</v>
      </c>
      <c r="C22" s="368">
        <v>4</v>
      </c>
      <c r="D22" s="372"/>
      <c r="E22" s="373"/>
    </row>
    <row r="23" spans="1:5" x14ac:dyDescent="0.3">
      <c r="A23" s="371"/>
      <c r="B23" s="368" t="s">
        <v>466</v>
      </c>
      <c r="C23" s="368">
        <v>3</v>
      </c>
      <c r="D23" s="372"/>
      <c r="E23" s="373"/>
    </row>
    <row r="24" spans="1:5" x14ac:dyDescent="0.3">
      <c r="A24" s="371"/>
      <c r="B24" s="368" t="s">
        <v>873</v>
      </c>
      <c r="C24" s="368">
        <v>2</v>
      </c>
      <c r="D24" s="372"/>
      <c r="E24" s="373"/>
    </row>
    <row r="25" spans="1:5" x14ac:dyDescent="0.3">
      <c r="A25" s="371"/>
      <c r="B25" s="368" t="s">
        <v>874</v>
      </c>
      <c r="C25" s="368">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368" t="s">
        <v>637</v>
      </c>
      <c r="C29" s="368">
        <v>3</v>
      </c>
      <c r="D29" s="369">
        <f>'9. Inputs-Analysis'!D7</f>
        <v>0.78528910732277912</v>
      </c>
      <c r="E29" s="374">
        <f>IF(D29&lt;0,0,IF(D29&lt;0.35,3,IF(D29&lt;0.74,2,IF(D29&lt;0.99,1,0))))</f>
        <v>1</v>
      </c>
    </row>
    <row r="30" spans="1:5" x14ac:dyDescent="0.3">
      <c r="A30" s="367"/>
      <c r="B30" s="368" t="s">
        <v>482</v>
      </c>
      <c r="C30" s="368">
        <v>2</v>
      </c>
      <c r="D30" s="372"/>
      <c r="E30" s="375"/>
    </row>
    <row r="31" spans="1:5" x14ac:dyDescent="0.3">
      <c r="A31" s="371"/>
      <c r="B31" s="368" t="s">
        <v>576</v>
      </c>
      <c r="C31" s="368">
        <v>1</v>
      </c>
      <c r="D31" s="372"/>
      <c r="E31" s="375"/>
    </row>
    <row r="32" spans="1:5" x14ac:dyDescent="0.3">
      <c r="A32" s="371"/>
      <c r="B32" s="368" t="s">
        <v>582</v>
      </c>
      <c r="C32" s="368">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368" t="s">
        <v>465</v>
      </c>
      <c r="C37" s="368">
        <v>7</v>
      </c>
      <c r="D37" s="369">
        <f>'9. Inputs-Analysis'!D11</f>
        <v>1.040552151554528</v>
      </c>
      <c r="E37" s="370">
        <f>IF(D37&gt;2,7,IF(D37&gt;=1.51,6,IF(D37&gt;=1.01,5,IF(D37&gt;=0.75,2,IF(D37&gt;=0.51,1,0)))))</f>
        <v>5</v>
      </c>
    </row>
    <row r="38" spans="1:106" x14ac:dyDescent="0.3">
      <c r="A38" s="367"/>
      <c r="B38" s="368" t="s">
        <v>466</v>
      </c>
      <c r="C38" s="368">
        <v>6</v>
      </c>
      <c r="D38" s="379"/>
      <c r="E38" s="373"/>
    </row>
    <row r="39" spans="1:106" x14ac:dyDescent="0.3">
      <c r="A39" s="376"/>
      <c r="B39" s="368" t="s">
        <v>484</v>
      </c>
      <c r="C39" s="368">
        <v>5</v>
      </c>
      <c r="D39" s="372"/>
      <c r="E39" s="373"/>
    </row>
    <row r="40" spans="1:106" x14ac:dyDescent="0.3">
      <c r="A40" s="376"/>
      <c r="B40" s="368" t="s">
        <v>875</v>
      </c>
      <c r="C40" s="368">
        <v>2</v>
      </c>
      <c r="D40" s="372"/>
      <c r="E40" s="373"/>
    </row>
    <row r="41" spans="1:106" x14ac:dyDescent="0.3">
      <c r="A41" s="376"/>
      <c r="B41" s="368" t="s">
        <v>876</v>
      </c>
      <c r="C41" s="368">
        <v>1</v>
      </c>
      <c r="D41" s="372"/>
      <c r="E41" s="373"/>
    </row>
    <row r="42" spans="1:106" x14ac:dyDescent="0.3">
      <c r="A42" s="376"/>
      <c r="B42" s="368" t="s">
        <v>577</v>
      </c>
      <c r="C42" s="368">
        <v>0</v>
      </c>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368" t="s">
        <v>812</v>
      </c>
      <c r="C45" s="368">
        <v>3</v>
      </c>
      <c r="D45" s="369">
        <f>'9. Inputs-Analysis'!D10</f>
        <v>6.1472340974284764E-3</v>
      </c>
      <c r="E45" s="374">
        <f>IF(D45&gt;0.1,3,IF(D45&gt;=0.05,2,IF(D45&gt;=0.03,1,0)))</f>
        <v>0</v>
      </c>
    </row>
    <row r="46" spans="1:106" x14ac:dyDescent="0.3">
      <c r="A46" s="367"/>
      <c r="B46" s="368" t="s">
        <v>813</v>
      </c>
      <c r="C46" s="368">
        <v>2</v>
      </c>
      <c r="D46" s="372"/>
      <c r="E46" s="375"/>
    </row>
    <row r="47" spans="1:106" x14ac:dyDescent="0.3">
      <c r="A47" s="367"/>
      <c r="B47" s="368" t="s">
        <v>814</v>
      </c>
      <c r="C47" s="368">
        <v>1</v>
      </c>
      <c r="D47" s="372"/>
      <c r="E47" s="375"/>
    </row>
    <row r="48" spans="1:106" x14ac:dyDescent="0.3">
      <c r="A48" s="367"/>
      <c r="B48" s="368" t="s">
        <v>815</v>
      </c>
      <c r="C48" s="368">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5</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368" t="s">
        <v>675</v>
      </c>
      <c r="C53" s="368">
        <v>5</v>
      </c>
      <c r="D53" s="384">
        <f>'9. Inputs-Analysis'!D15</f>
        <v>5.4896988386267581E-2</v>
      </c>
      <c r="E53" s="385">
        <f>IF(D53&gt;8%,5,IF(D53&gt;=7%,4,IF(D53&gt;=5%,3,IF(D53&gt;=3%,2,IF(D53&gt;=1%,1,0)))))</f>
        <v>3</v>
      </c>
    </row>
    <row r="54" spans="1:106" x14ac:dyDescent="0.3">
      <c r="A54" s="386"/>
      <c r="B54" s="368" t="s">
        <v>877</v>
      </c>
      <c r="C54" s="368">
        <v>4</v>
      </c>
      <c r="D54" s="387"/>
      <c r="E54" s="388"/>
    </row>
    <row r="55" spans="1:106" x14ac:dyDescent="0.3">
      <c r="A55" s="386"/>
      <c r="B55" s="368" t="s">
        <v>643</v>
      </c>
      <c r="C55" s="368">
        <v>3</v>
      </c>
      <c r="D55" s="372"/>
      <c r="E55" s="388"/>
    </row>
    <row r="56" spans="1:106" x14ac:dyDescent="0.3">
      <c r="A56" s="386"/>
      <c r="B56" s="368" t="s">
        <v>644</v>
      </c>
      <c r="C56" s="368">
        <v>2</v>
      </c>
      <c r="D56" s="372"/>
      <c r="E56" s="388"/>
    </row>
    <row r="57" spans="1:106" x14ac:dyDescent="0.3">
      <c r="A57" s="376"/>
      <c r="B57" s="368" t="s">
        <v>878</v>
      </c>
      <c r="C57" s="368">
        <v>1</v>
      </c>
      <c r="D57" s="372"/>
      <c r="E57" s="388"/>
    </row>
    <row r="58" spans="1:106" x14ac:dyDescent="0.3">
      <c r="A58" s="376"/>
      <c r="B58" s="368" t="s">
        <v>646</v>
      </c>
      <c r="C58" s="368">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368" t="s">
        <v>467</v>
      </c>
      <c r="C62" s="368">
        <v>3</v>
      </c>
      <c r="D62" s="384">
        <f>'9. Inputs-Analysis'!D18</f>
        <v>1.9426111026367571E-2</v>
      </c>
      <c r="E62" s="212">
        <f>IF(D62&gt;4.5%,3,IF(D62&gt;=2.5%,2,IF(D62&gt;=1.5%,1,0)))</f>
        <v>1</v>
      </c>
    </row>
    <row r="63" spans="1:106" x14ac:dyDescent="0.3">
      <c r="A63" s="386"/>
      <c r="B63" s="368" t="s">
        <v>879</v>
      </c>
      <c r="C63" s="368">
        <v>2</v>
      </c>
      <c r="D63" s="389"/>
      <c r="E63" s="390"/>
    </row>
    <row r="64" spans="1:106" x14ac:dyDescent="0.3">
      <c r="A64" s="386"/>
      <c r="B64" s="368" t="s">
        <v>880</v>
      </c>
      <c r="C64" s="368">
        <v>1</v>
      </c>
      <c r="D64" s="389"/>
      <c r="E64" s="390"/>
    </row>
    <row r="65" spans="1:106" x14ac:dyDescent="0.3">
      <c r="A65" s="386"/>
      <c r="B65" s="368" t="s">
        <v>881</v>
      </c>
      <c r="C65" s="368">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368" t="s">
        <v>722</v>
      </c>
      <c r="C69" s="368">
        <v>2</v>
      </c>
      <c r="D69" s="392">
        <f>'9. Inputs-Analysis'!D21</f>
        <v>4.652054000911502E-2</v>
      </c>
      <c r="E69" s="212">
        <f>IF(D69&gt;6%,2,IF(D69&gt;=2%,1,0))</f>
        <v>1</v>
      </c>
    </row>
    <row r="70" spans="1:106" x14ac:dyDescent="0.3">
      <c r="A70" s="391"/>
      <c r="B70" s="368" t="s">
        <v>882</v>
      </c>
      <c r="C70" s="368">
        <v>1</v>
      </c>
      <c r="D70" s="372"/>
      <c r="E70" s="390"/>
    </row>
    <row r="71" spans="1:106" x14ac:dyDescent="0.3">
      <c r="A71" s="376"/>
      <c r="B71" s="368" t="s">
        <v>883</v>
      </c>
      <c r="C71" s="368">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6</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368" t="s">
        <v>884</v>
      </c>
      <c r="C76" s="368">
        <v>3</v>
      </c>
      <c r="D76" s="369">
        <f>'9. Inputs-Analysis'!D24</f>
        <v>2.1640484041893577</v>
      </c>
      <c r="E76" s="370">
        <f>IF(D76&gt;3,3,IF(D76&gt;=2.5,2,IF(D76&gt;=1.01,1,0)))</f>
        <v>1</v>
      </c>
    </row>
    <row r="77" spans="1:106" x14ac:dyDescent="0.3">
      <c r="A77" s="376"/>
      <c r="B77" s="368" t="s">
        <v>885</v>
      </c>
      <c r="C77" s="368">
        <v>2</v>
      </c>
      <c r="D77" s="218"/>
      <c r="E77" s="373"/>
    </row>
    <row r="78" spans="1:106" x14ac:dyDescent="0.3">
      <c r="A78" s="376"/>
      <c r="B78" s="368" t="s">
        <v>886</v>
      </c>
      <c r="C78" s="368">
        <v>1</v>
      </c>
      <c r="D78" s="372"/>
      <c r="E78" s="373"/>
    </row>
    <row r="79" spans="1:106" x14ac:dyDescent="0.3">
      <c r="A79" s="376"/>
      <c r="B79" s="368" t="s">
        <v>629</v>
      </c>
      <c r="C79" s="368">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IF(D83&gt;2.5,5,IF(D83&gt;=2,4,IF(D83&gt;=1.5,3,IF(D83&gt;=1,2,IF(D83&gt;=0.5,1,0)))))</f>
        <v>2</v>
      </c>
    </row>
    <row r="84" spans="1:5" x14ac:dyDescent="0.3">
      <c r="A84" s="367"/>
      <c r="B84" s="368" t="s">
        <v>887</v>
      </c>
      <c r="C84" s="368">
        <v>5</v>
      </c>
      <c r="D84" s="372"/>
      <c r="E84" s="375"/>
    </row>
    <row r="85" spans="1:5" x14ac:dyDescent="0.3">
      <c r="A85" s="367"/>
      <c r="B85" s="368" t="s">
        <v>795</v>
      </c>
      <c r="C85" s="368">
        <v>4</v>
      </c>
      <c r="D85" s="372"/>
      <c r="E85" s="375"/>
    </row>
    <row r="86" spans="1:5" x14ac:dyDescent="0.3">
      <c r="A86" s="367"/>
      <c r="B86" s="368" t="s">
        <v>860</v>
      </c>
      <c r="C86" s="368">
        <v>3</v>
      </c>
      <c r="D86" s="372"/>
      <c r="E86" s="375"/>
    </row>
    <row r="87" spans="1:5" x14ac:dyDescent="0.3">
      <c r="A87" s="367"/>
      <c r="B87" s="368" t="s">
        <v>784</v>
      </c>
      <c r="C87" s="368">
        <v>2</v>
      </c>
      <c r="D87" s="372"/>
      <c r="E87" s="375"/>
    </row>
    <row r="88" spans="1:5" x14ac:dyDescent="0.3">
      <c r="A88" s="367"/>
      <c r="B88" s="368" t="s">
        <v>785</v>
      </c>
      <c r="C88" s="368">
        <v>1</v>
      </c>
      <c r="D88" s="372"/>
      <c r="E88" s="375"/>
    </row>
    <row r="89" spans="1:5" x14ac:dyDescent="0.3">
      <c r="A89" s="376"/>
      <c r="B89" s="368" t="s">
        <v>629</v>
      </c>
      <c r="C89" s="368">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368" t="s">
        <v>888</v>
      </c>
      <c r="C93" s="368">
        <v>4</v>
      </c>
      <c r="D93" s="393">
        <f>'9. Inputs-Analysis'!D30</f>
        <v>3.3545581292940753E-2</v>
      </c>
      <c r="E93" s="374">
        <f>IF(D93&gt;0.5,4,IF(D93&gt;=0.35,3,IF(D93&gt;=0.25,2,IF(D93&gt;=-0.1,1,0))))</f>
        <v>1</v>
      </c>
    </row>
    <row r="94" spans="1:5" x14ac:dyDescent="0.3">
      <c r="A94" s="376"/>
      <c r="B94" s="368" t="s">
        <v>752</v>
      </c>
      <c r="C94" s="368">
        <v>3</v>
      </c>
      <c r="D94" s="372"/>
      <c r="E94" s="375"/>
    </row>
    <row r="95" spans="1:5" x14ac:dyDescent="0.3">
      <c r="A95" s="376"/>
      <c r="B95" s="368" t="s">
        <v>658</v>
      </c>
      <c r="C95" s="368">
        <v>2</v>
      </c>
      <c r="D95" s="372"/>
      <c r="E95" s="375"/>
    </row>
    <row r="96" spans="1:5" x14ac:dyDescent="0.3">
      <c r="A96" s="376"/>
      <c r="B96" s="368" t="s">
        <v>889</v>
      </c>
      <c r="C96" s="368">
        <v>1</v>
      </c>
      <c r="D96" s="372"/>
      <c r="E96" s="375"/>
    </row>
    <row r="97" spans="1:106" x14ac:dyDescent="0.3">
      <c r="A97" s="376"/>
      <c r="B97" s="368" t="s">
        <v>890</v>
      </c>
      <c r="C97" s="368">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14" t="s">
        <v>891</v>
      </c>
      <c r="C100" s="368">
        <v>3</v>
      </c>
      <c r="D100" s="394">
        <f>'9. Inputs-Analysis'!D33</f>
        <v>0.76522361031669384</v>
      </c>
      <c r="E100" s="374">
        <f>IF(D100&gt;1,3,IF(D100&gt;=0.5,2,IF(D100&gt;=-0.1,1,0)))</f>
        <v>2</v>
      </c>
    </row>
    <row r="101" spans="1:106" x14ac:dyDescent="0.3">
      <c r="A101" s="367"/>
      <c r="B101" s="368" t="s">
        <v>892</v>
      </c>
      <c r="C101" s="368">
        <v>2</v>
      </c>
      <c r="D101" s="372"/>
      <c r="E101" s="375"/>
    </row>
    <row r="102" spans="1:106" x14ac:dyDescent="0.3">
      <c r="A102" s="367"/>
      <c r="B102" s="368" t="s">
        <v>893</v>
      </c>
      <c r="C102" s="368">
        <v>1</v>
      </c>
      <c r="D102" s="372"/>
      <c r="E102" s="375"/>
    </row>
    <row r="103" spans="1:106" x14ac:dyDescent="0.3">
      <c r="A103" s="367"/>
      <c r="B103" s="368" t="s">
        <v>580</v>
      </c>
      <c r="C103" s="368">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368" t="s">
        <v>894</v>
      </c>
      <c r="C107" s="368">
        <v>4</v>
      </c>
      <c r="D107" s="395">
        <f>'9. Inputs-Analysis'!D36</f>
        <v>823.72780049574567</v>
      </c>
      <c r="E107" s="385">
        <f>IF(D107&lt;120,4,IF(D107&lt;150,3,IF(D107&lt;180,2,IF(D107&lt;219,1,0))))</f>
        <v>0</v>
      </c>
    </row>
    <row r="108" spans="1:106" x14ac:dyDescent="0.3">
      <c r="A108" s="376"/>
      <c r="B108" s="368" t="s">
        <v>895</v>
      </c>
      <c r="C108" s="368">
        <v>3</v>
      </c>
      <c r="D108" s="372"/>
      <c r="E108" s="388"/>
    </row>
    <row r="109" spans="1:106" x14ac:dyDescent="0.3">
      <c r="A109" s="376"/>
      <c r="B109" s="368" t="s">
        <v>668</v>
      </c>
      <c r="C109" s="368">
        <v>2</v>
      </c>
      <c r="D109" s="372"/>
      <c r="E109" s="388"/>
    </row>
    <row r="110" spans="1:106" x14ac:dyDescent="0.3">
      <c r="A110" s="376"/>
      <c r="B110" s="368" t="s">
        <v>896</v>
      </c>
      <c r="C110" s="368">
        <v>1</v>
      </c>
      <c r="D110" s="372"/>
      <c r="E110" s="388"/>
    </row>
    <row r="111" spans="1:106" x14ac:dyDescent="0.3">
      <c r="A111" s="376"/>
      <c r="B111" s="368" t="s">
        <v>897</v>
      </c>
      <c r="C111" s="368">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368" t="s">
        <v>714</v>
      </c>
      <c r="C115" s="368">
        <v>3</v>
      </c>
      <c r="D115" s="395">
        <f>'9. Inputs-Analysis'!D39</f>
        <v>89.219451744334833</v>
      </c>
      <c r="E115" s="212">
        <f>IF(D115&lt;80,3,IF(D115&lt;120,2,IF(D115&lt;150,1,0)))</f>
        <v>2</v>
      </c>
    </row>
    <row r="116" spans="1:5" x14ac:dyDescent="0.3">
      <c r="A116" s="376"/>
      <c r="B116" s="368" t="s">
        <v>715</v>
      </c>
      <c r="C116" s="368">
        <v>2</v>
      </c>
      <c r="D116" s="372"/>
      <c r="E116" s="390"/>
    </row>
    <row r="117" spans="1:5" x14ac:dyDescent="0.3">
      <c r="A117" s="376"/>
      <c r="B117" s="368" t="s">
        <v>895</v>
      </c>
      <c r="C117" s="368">
        <v>1</v>
      </c>
      <c r="D117" s="372"/>
      <c r="E117" s="390"/>
    </row>
    <row r="118" spans="1:5" x14ac:dyDescent="0.3">
      <c r="A118" s="376"/>
      <c r="B118" s="368" t="s">
        <v>898</v>
      </c>
      <c r="C118" s="368">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368" t="s">
        <v>899</v>
      </c>
      <c r="C122" s="368">
        <v>3</v>
      </c>
      <c r="D122" s="384">
        <f>'9. Inputs-Analysis'!D42</f>
        <v>0.35386478561776608</v>
      </c>
      <c r="E122" s="212">
        <f>IF(D122&gt;70%,3,IF(D122&gt;=51%,2,IF(D122&gt;=25%,1,0)))</f>
        <v>1</v>
      </c>
    </row>
    <row r="123" spans="1:5" x14ac:dyDescent="0.3">
      <c r="A123" s="376"/>
      <c r="B123" s="368" t="s">
        <v>900</v>
      </c>
      <c r="C123" s="368">
        <v>2</v>
      </c>
      <c r="D123" s="372"/>
      <c r="E123" s="390"/>
    </row>
    <row r="124" spans="1:5" x14ac:dyDescent="0.3">
      <c r="A124" s="376"/>
      <c r="B124" s="368" t="s">
        <v>901</v>
      </c>
      <c r="C124" s="368">
        <v>1</v>
      </c>
      <c r="D124" s="372"/>
      <c r="E124" s="390"/>
    </row>
    <row r="125" spans="1:5" x14ac:dyDescent="0.3">
      <c r="A125" s="376"/>
      <c r="B125" s="368" t="s">
        <v>902</v>
      </c>
      <c r="C125" s="368">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368" t="s">
        <v>675</v>
      </c>
      <c r="C130" s="368">
        <v>3</v>
      </c>
      <c r="D130" s="384">
        <f>'9. Inputs-Analysis'!D45</f>
        <v>7.4443631180108563E-2</v>
      </c>
      <c r="E130" s="385">
        <f>IF(D130&gt;8%,3,IF(D130&gt;=4.01%,2,IF(D130&gt;=2.01%,1,0)))</f>
        <v>2</v>
      </c>
    </row>
    <row r="131" spans="1:106" x14ac:dyDescent="0.3">
      <c r="A131" s="376"/>
      <c r="B131" s="368" t="s">
        <v>903</v>
      </c>
      <c r="C131" s="368">
        <v>2</v>
      </c>
      <c r="D131" s="372"/>
      <c r="E131" s="388"/>
    </row>
    <row r="132" spans="1:106" x14ac:dyDescent="0.3">
      <c r="A132" s="376"/>
      <c r="B132" s="368" t="s">
        <v>492</v>
      </c>
      <c r="C132" s="368">
        <v>1</v>
      </c>
      <c r="D132" s="372"/>
      <c r="E132" s="388"/>
    </row>
    <row r="133" spans="1:106" x14ac:dyDescent="0.3">
      <c r="A133" s="376"/>
      <c r="B133" s="368" t="s">
        <v>678</v>
      </c>
      <c r="C133" s="368">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452" t="s">
        <v>978</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22</v>
      </c>
    </row>
    <row r="142" spans="1:106" s="37" customFormat="1" ht="15.75" customHeight="1" thickBot="1" x14ac:dyDescent="0.35">
      <c r="A142" s="396" t="s">
        <v>409</v>
      </c>
      <c r="B142" s="397"/>
      <c r="C142" s="1013">
        <f>E141/C141</f>
        <v>0.36666666666666664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mergeCells count="6">
    <mergeCell ref="C142:E142"/>
    <mergeCell ref="A1:E1"/>
    <mergeCell ref="A2:E2"/>
    <mergeCell ref="D5:D6"/>
    <mergeCell ref="D7:D8"/>
    <mergeCell ref="A16:E16"/>
  </mergeCells>
  <conditionalFormatting sqref="D7:E7">
    <cfRule type="cellIs" dxfId="21"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B142"/>
  <sheetViews>
    <sheetView view="pageBreakPreview" topLeftCell="A101" zoomScaleNormal="90" zoomScaleSheetLayoutView="100" zoomScalePageLayoutView="90" workbookViewId="0">
      <selection activeCell="C126" sqref="C126"/>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0.36666666666666664</v>
      </c>
      <c r="U6" s="402">
        <f>1-T6</f>
        <v>0.6333333333333333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368" t="s">
        <v>869</v>
      </c>
      <c r="C19" s="368">
        <v>7</v>
      </c>
      <c r="D19" s="369">
        <f>'9. Inputs-Analysis'!D4</f>
        <v>3.9252586061418495</v>
      </c>
      <c r="E19" s="370">
        <f>IF(D19&lt;0,0,IF(D19&lt;0.7,7,IF(D19&lt;1,6,IF(D19&lt;1.5,5,IF(D19&lt;2,4,IF(D19&lt;3,3,IF(D19&lt;3.5,2,0)))))))</f>
        <v>0</v>
      </c>
    </row>
    <row r="20" spans="1:5" x14ac:dyDescent="0.3">
      <c r="A20" s="371"/>
      <c r="B20" s="368" t="s">
        <v>870</v>
      </c>
      <c r="C20" s="368">
        <v>6</v>
      </c>
      <c r="D20" s="372"/>
      <c r="E20" s="373"/>
    </row>
    <row r="21" spans="1:5" x14ac:dyDescent="0.3">
      <c r="A21" s="371"/>
      <c r="B21" s="368" t="s">
        <v>871</v>
      </c>
      <c r="C21" s="368">
        <v>5</v>
      </c>
      <c r="D21" s="372"/>
      <c r="E21" s="373"/>
    </row>
    <row r="22" spans="1:5" x14ac:dyDescent="0.3">
      <c r="A22" s="371"/>
      <c r="B22" s="368" t="s">
        <v>872</v>
      </c>
      <c r="C22" s="368">
        <v>4</v>
      </c>
      <c r="D22" s="372"/>
      <c r="E22" s="373"/>
    </row>
    <row r="23" spans="1:5" x14ac:dyDescent="0.3">
      <c r="A23" s="371"/>
      <c r="B23" s="368" t="s">
        <v>466</v>
      </c>
      <c r="C23" s="368">
        <v>3</v>
      </c>
      <c r="D23" s="372"/>
      <c r="E23" s="373"/>
    </row>
    <row r="24" spans="1:5" x14ac:dyDescent="0.3">
      <c r="A24" s="371"/>
      <c r="B24" s="368" t="s">
        <v>873</v>
      </c>
      <c r="C24" s="368">
        <v>2</v>
      </c>
      <c r="D24" s="372"/>
      <c r="E24" s="373"/>
    </row>
    <row r="25" spans="1:5" x14ac:dyDescent="0.3">
      <c r="A25" s="371"/>
      <c r="B25" s="368" t="s">
        <v>874</v>
      </c>
      <c r="C25" s="368">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368" t="s">
        <v>679</v>
      </c>
      <c r="C29" s="368">
        <v>3</v>
      </c>
      <c r="D29" s="369">
        <f>'9. Inputs-Analysis'!D7</f>
        <v>0.78528910732277912</v>
      </c>
      <c r="E29" s="374">
        <f>IF(D29&lt;0,0,IF(D29&lt;0.45,3,IF(D29&lt;0.74,2,IF(D29&lt;0.99,1,0))))</f>
        <v>1</v>
      </c>
    </row>
    <row r="30" spans="1:5" x14ac:dyDescent="0.3">
      <c r="A30" s="367"/>
      <c r="B30" s="368" t="s">
        <v>680</v>
      </c>
      <c r="C30" s="368">
        <v>2</v>
      </c>
      <c r="D30" s="372"/>
      <c r="E30" s="375"/>
    </row>
    <row r="31" spans="1:5" x14ac:dyDescent="0.3">
      <c r="A31" s="371"/>
      <c r="B31" s="368" t="s">
        <v>483</v>
      </c>
      <c r="C31" s="368">
        <v>1</v>
      </c>
      <c r="D31" s="372"/>
      <c r="E31" s="375"/>
    </row>
    <row r="32" spans="1:5" x14ac:dyDescent="0.3">
      <c r="A32" s="371"/>
      <c r="B32" s="368" t="s">
        <v>904</v>
      </c>
      <c r="C32" s="368">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368" t="s">
        <v>465</v>
      </c>
      <c r="C37" s="368">
        <v>7</v>
      </c>
      <c r="D37" s="369">
        <f>'9. Inputs-Analysis'!D11</f>
        <v>1.040552151554528</v>
      </c>
      <c r="E37" s="370">
        <f>IF(D37&gt;2,7,IF(D37&gt;1.51,6,IF(D37&gt;1.01,5,IF(D37&gt;0.51,2,IF(D37&gt;0.25,1,0)))))</f>
        <v>5</v>
      </c>
    </row>
    <row r="38" spans="1:106" x14ac:dyDescent="0.3">
      <c r="A38" s="367"/>
      <c r="B38" s="368" t="s">
        <v>466</v>
      </c>
      <c r="C38" s="368">
        <v>6</v>
      </c>
      <c r="D38" s="379"/>
      <c r="E38" s="373"/>
    </row>
    <row r="39" spans="1:106" x14ac:dyDescent="0.3">
      <c r="A39" s="376"/>
      <c r="B39" s="368" t="s">
        <v>484</v>
      </c>
      <c r="C39" s="368">
        <v>5</v>
      </c>
      <c r="D39" s="372"/>
      <c r="E39" s="373"/>
    </row>
    <row r="40" spans="1:106" x14ac:dyDescent="0.3">
      <c r="A40" s="376"/>
      <c r="B40" s="368" t="s">
        <v>640</v>
      </c>
      <c r="C40" s="368">
        <v>2</v>
      </c>
      <c r="D40" s="372"/>
      <c r="E40" s="373"/>
    </row>
    <row r="41" spans="1:106" x14ac:dyDescent="0.3">
      <c r="A41" s="376"/>
      <c r="B41" s="368" t="s">
        <v>893</v>
      </c>
      <c r="C41" s="368">
        <v>1</v>
      </c>
      <c r="D41" s="372"/>
      <c r="E41" s="373"/>
    </row>
    <row r="42" spans="1:106" x14ac:dyDescent="0.3">
      <c r="A42" s="376"/>
      <c r="B42" s="368" t="s">
        <v>905</v>
      </c>
      <c r="C42" s="368">
        <v>0</v>
      </c>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368" t="s">
        <v>812</v>
      </c>
      <c r="C45" s="368">
        <v>3</v>
      </c>
      <c r="D45" s="369">
        <f>'9. Inputs-Analysis'!D10</f>
        <v>6.1472340974284764E-3</v>
      </c>
      <c r="E45" s="374">
        <f>IF(D45&gt;0.1,3,IF(D45&gt;0.05,2,IF(D45&gt;0.03,1,0)))</f>
        <v>0</v>
      </c>
    </row>
    <row r="46" spans="1:106" x14ac:dyDescent="0.3">
      <c r="A46" s="367"/>
      <c r="B46" s="368" t="s">
        <v>813</v>
      </c>
      <c r="C46" s="368">
        <v>2</v>
      </c>
      <c r="D46" s="372"/>
      <c r="E46" s="375"/>
    </row>
    <row r="47" spans="1:106" x14ac:dyDescent="0.3">
      <c r="A47" s="367"/>
      <c r="B47" s="368" t="s">
        <v>814</v>
      </c>
      <c r="C47" s="368">
        <v>1</v>
      </c>
      <c r="D47" s="372"/>
      <c r="E47" s="375"/>
    </row>
    <row r="48" spans="1:106" x14ac:dyDescent="0.3">
      <c r="A48" s="367"/>
      <c r="B48" s="368" t="s">
        <v>815</v>
      </c>
      <c r="C48" s="368">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3</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368" t="s">
        <v>906</v>
      </c>
      <c r="C53" s="368">
        <v>5</v>
      </c>
      <c r="D53" s="384">
        <f>'9. Inputs-Analysis'!D15</f>
        <v>5.4896988386267581E-2</v>
      </c>
      <c r="E53" s="385">
        <f>IF(D53&gt;=7%,5,IF(D53&gt;=6%,4,IF(D53&gt;=5%,3,IF(D53&gt;=3%,2,IF(D53&gt;=1%,1,0)))))</f>
        <v>3</v>
      </c>
    </row>
    <row r="54" spans="1:106" x14ac:dyDescent="0.3">
      <c r="A54" s="386"/>
      <c r="B54" s="368" t="s">
        <v>907</v>
      </c>
      <c r="C54" s="368">
        <v>4</v>
      </c>
      <c r="D54" s="387"/>
      <c r="E54" s="388"/>
    </row>
    <row r="55" spans="1:106" x14ac:dyDescent="0.3">
      <c r="A55" s="386"/>
      <c r="B55" s="368" t="s">
        <v>908</v>
      </c>
      <c r="C55" s="368">
        <v>3</v>
      </c>
      <c r="D55" s="372"/>
      <c r="E55" s="388"/>
    </row>
    <row r="56" spans="1:106" x14ac:dyDescent="0.3">
      <c r="A56" s="386"/>
      <c r="B56" s="368" t="s">
        <v>644</v>
      </c>
      <c r="C56" s="368">
        <v>2</v>
      </c>
      <c r="D56" s="372"/>
      <c r="E56" s="388"/>
    </row>
    <row r="57" spans="1:106" x14ac:dyDescent="0.3">
      <c r="A57" s="376"/>
      <c r="B57" s="368" t="s">
        <v>645</v>
      </c>
      <c r="C57" s="368">
        <v>1</v>
      </c>
      <c r="D57" s="372"/>
      <c r="E57" s="388"/>
    </row>
    <row r="58" spans="1:106" x14ac:dyDescent="0.3">
      <c r="A58" s="376"/>
      <c r="B58" s="368" t="s">
        <v>646</v>
      </c>
      <c r="C58" s="368">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368" t="s">
        <v>816</v>
      </c>
      <c r="C62" s="368">
        <v>3</v>
      </c>
      <c r="D62" s="384">
        <f>'9. Inputs-Analysis'!D18</f>
        <v>1.9426111026367571E-2</v>
      </c>
      <c r="E62" s="212">
        <f>IF(D62&gt;6%,3,IF(D62&gt;=3.01%,2,IF(D62&gt;=2.01%,1,0)))</f>
        <v>0</v>
      </c>
    </row>
    <row r="63" spans="1:106" x14ac:dyDescent="0.3">
      <c r="A63" s="386"/>
      <c r="B63" s="368" t="s">
        <v>822</v>
      </c>
      <c r="C63" s="368">
        <v>2</v>
      </c>
      <c r="D63" s="389"/>
      <c r="E63" s="390"/>
    </row>
    <row r="64" spans="1:106" x14ac:dyDescent="0.3">
      <c r="A64" s="386"/>
      <c r="B64" s="368" t="s">
        <v>494</v>
      </c>
      <c r="C64" s="368">
        <v>1</v>
      </c>
      <c r="D64" s="389"/>
      <c r="E64" s="390"/>
    </row>
    <row r="65" spans="1:106" x14ac:dyDescent="0.3">
      <c r="A65" s="386"/>
      <c r="B65" s="368" t="s">
        <v>495</v>
      </c>
      <c r="C65" s="368">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368" t="s">
        <v>776</v>
      </c>
      <c r="C69" s="368">
        <v>2</v>
      </c>
      <c r="D69" s="392">
        <f>'9. Inputs-Analysis'!D21</f>
        <v>4.652054000911502E-2</v>
      </c>
      <c r="E69" s="212">
        <f>IF(D69&gt;10%,2,IF(D69&gt;=5.01%,1,0))</f>
        <v>0</v>
      </c>
    </row>
    <row r="70" spans="1:106" x14ac:dyDescent="0.3">
      <c r="A70" s="391"/>
      <c r="B70" s="368" t="s">
        <v>909</v>
      </c>
      <c r="C70" s="368">
        <v>1</v>
      </c>
      <c r="D70" s="372"/>
      <c r="E70" s="390"/>
    </row>
    <row r="71" spans="1:106" x14ac:dyDescent="0.3">
      <c r="A71" s="376"/>
      <c r="B71" s="368" t="s">
        <v>910</v>
      </c>
      <c r="C71" s="368">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6</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368" t="s">
        <v>911</v>
      </c>
      <c r="C76" s="368">
        <v>3</v>
      </c>
      <c r="D76" s="369">
        <f>'9. Inputs-Analysis'!D24</f>
        <v>2.1640484041893577</v>
      </c>
      <c r="E76" s="370">
        <f>IF(D76&gt;5,3,IF(D76&gt;=3.01,2,IF(D76&gt;=1.01,1,0)))</f>
        <v>1</v>
      </c>
    </row>
    <row r="77" spans="1:106" x14ac:dyDescent="0.3">
      <c r="A77" s="376"/>
      <c r="B77" s="368" t="s">
        <v>652</v>
      </c>
      <c r="C77" s="368">
        <v>2</v>
      </c>
      <c r="D77" s="218"/>
      <c r="E77" s="373"/>
    </row>
    <row r="78" spans="1:106" x14ac:dyDescent="0.3">
      <c r="A78" s="376"/>
      <c r="B78" s="368" t="s">
        <v>912</v>
      </c>
      <c r="C78" s="368">
        <v>1</v>
      </c>
      <c r="D78" s="372"/>
      <c r="E78" s="373"/>
    </row>
    <row r="79" spans="1:106" x14ac:dyDescent="0.3">
      <c r="A79" s="376"/>
      <c r="B79" s="368" t="s">
        <v>629</v>
      </c>
      <c r="C79" s="368">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IF(D83&gt;4,5,IF(D83&gt;=3.01,4,IF(D83&gt;=2.01,3,IF(D83&gt;=1,2,IF(D83&gt;=0.5,1,0)))))</f>
        <v>2</v>
      </c>
    </row>
    <row r="84" spans="1:5" x14ac:dyDescent="0.3">
      <c r="A84" s="367"/>
      <c r="B84" s="368" t="s">
        <v>471</v>
      </c>
      <c r="C84" s="368">
        <v>5</v>
      </c>
      <c r="D84" s="372"/>
      <c r="E84" s="375"/>
    </row>
    <row r="85" spans="1:5" x14ac:dyDescent="0.3">
      <c r="A85" s="367"/>
      <c r="B85" s="368" t="s">
        <v>726</v>
      </c>
      <c r="C85" s="368">
        <v>4</v>
      </c>
      <c r="D85" s="372"/>
      <c r="E85" s="375"/>
    </row>
    <row r="86" spans="1:5" x14ac:dyDescent="0.3">
      <c r="A86" s="367"/>
      <c r="B86" s="368" t="s">
        <v>727</v>
      </c>
      <c r="C86" s="368">
        <v>3</v>
      </c>
      <c r="D86" s="372"/>
      <c r="E86" s="375"/>
    </row>
    <row r="87" spans="1:5" x14ac:dyDescent="0.3">
      <c r="A87" s="367"/>
      <c r="B87" s="368" t="s">
        <v>913</v>
      </c>
      <c r="C87" s="368">
        <v>2</v>
      </c>
      <c r="D87" s="372"/>
      <c r="E87" s="375"/>
    </row>
    <row r="88" spans="1:5" x14ac:dyDescent="0.3">
      <c r="A88" s="367"/>
      <c r="B88" s="368" t="s">
        <v>728</v>
      </c>
      <c r="C88" s="368">
        <v>1</v>
      </c>
      <c r="D88" s="372"/>
      <c r="E88" s="375"/>
    </row>
    <row r="89" spans="1:5" x14ac:dyDescent="0.3">
      <c r="A89" s="376"/>
      <c r="B89" s="368" t="s">
        <v>629</v>
      </c>
      <c r="C89" s="368">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368" t="s">
        <v>914</v>
      </c>
      <c r="C93" s="368">
        <v>4</v>
      </c>
      <c r="D93" s="393">
        <f>'9. Inputs-Analysis'!D30</f>
        <v>3.3545581292940753E-2</v>
      </c>
      <c r="E93" s="374">
        <f>IF(D93&gt;0.5,4,IF(D93&gt;0.35,3,IF(D93&gt;0.25,2,IF(D93&gt;-0.1,1,0))))</f>
        <v>1</v>
      </c>
    </row>
    <row r="94" spans="1:5" x14ac:dyDescent="0.3">
      <c r="A94" s="376"/>
      <c r="B94" s="368" t="s">
        <v>752</v>
      </c>
      <c r="C94" s="368">
        <v>3</v>
      </c>
      <c r="D94" s="372"/>
      <c r="E94" s="375"/>
    </row>
    <row r="95" spans="1:5" x14ac:dyDescent="0.3">
      <c r="A95" s="376"/>
      <c r="B95" s="368" t="s">
        <v>658</v>
      </c>
      <c r="C95" s="368">
        <v>2</v>
      </c>
      <c r="D95" s="372"/>
      <c r="E95" s="375"/>
    </row>
    <row r="96" spans="1:5" x14ac:dyDescent="0.3">
      <c r="A96" s="376"/>
      <c r="B96" s="368" t="s">
        <v>889</v>
      </c>
      <c r="C96" s="368">
        <v>1</v>
      </c>
      <c r="D96" s="372"/>
      <c r="E96" s="375"/>
    </row>
    <row r="97" spans="1:106" x14ac:dyDescent="0.3">
      <c r="A97" s="376"/>
      <c r="B97" s="368" t="s">
        <v>660</v>
      </c>
      <c r="C97" s="368">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14" t="s">
        <v>891</v>
      </c>
      <c r="C100" s="368">
        <v>3</v>
      </c>
      <c r="D100" s="394">
        <f>'9. Inputs-Analysis'!D33</f>
        <v>0.76522361031669384</v>
      </c>
      <c r="E100" s="374">
        <f>IF(D100&gt;1,3,IF(D100&gt;=0.5,2,IF(D100&gt;=-0.1,1,0)))</f>
        <v>2</v>
      </c>
    </row>
    <row r="101" spans="1:106" x14ac:dyDescent="0.3">
      <c r="A101" s="367"/>
      <c r="B101" s="368" t="s">
        <v>915</v>
      </c>
      <c r="C101" s="368">
        <v>2</v>
      </c>
      <c r="D101" s="372"/>
      <c r="E101" s="375"/>
    </row>
    <row r="102" spans="1:106" x14ac:dyDescent="0.3">
      <c r="A102" s="367"/>
      <c r="B102" s="453" t="s">
        <v>916</v>
      </c>
      <c r="C102" s="368">
        <v>1</v>
      </c>
      <c r="D102" s="372"/>
      <c r="E102" s="375"/>
    </row>
    <row r="103" spans="1:106" x14ac:dyDescent="0.3">
      <c r="A103" s="367"/>
      <c r="B103" s="368" t="s">
        <v>462</v>
      </c>
      <c r="C103" s="368">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4</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368" t="s">
        <v>665</v>
      </c>
      <c r="C107" s="368">
        <v>4</v>
      </c>
      <c r="D107" s="395">
        <f>'9. Inputs-Analysis'!D36</f>
        <v>823.72780049574567</v>
      </c>
      <c r="E107" s="385">
        <f>IF(D107&lt;100,4,IF(D107&lt;120,3,IF(D107&lt;149,2,IF(D107&lt;180,1,0))))</f>
        <v>0</v>
      </c>
    </row>
    <row r="108" spans="1:106" x14ac:dyDescent="0.3">
      <c r="A108" s="376"/>
      <c r="B108" s="368" t="s">
        <v>666</v>
      </c>
      <c r="C108" s="368">
        <v>3</v>
      </c>
      <c r="D108" s="372"/>
      <c r="E108" s="388"/>
    </row>
    <row r="109" spans="1:106" x14ac:dyDescent="0.3">
      <c r="A109" s="376"/>
      <c r="B109" s="368" t="s">
        <v>917</v>
      </c>
      <c r="C109" s="368">
        <v>2</v>
      </c>
      <c r="D109" s="372"/>
      <c r="E109" s="388"/>
    </row>
    <row r="110" spans="1:106" x14ac:dyDescent="0.3">
      <c r="A110" s="376"/>
      <c r="B110" s="368" t="s">
        <v>740</v>
      </c>
      <c r="C110" s="368">
        <v>1</v>
      </c>
      <c r="D110" s="372"/>
      <c r="E110" s="388"/>
    </row>
    <row r="111" spans="1:106" x14ac:dyDescent="0.3">
      <c r="A111" s="376"/>
      <c r="B111" s="368" t="s">
        <v>669</v>
      </c>
      <c r="C111" s="368">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368" t="s">
        <v>670</v>
      </c>
      <c r="C115" s="368">
        <v>3</v>
      </c>
      <c r="D115" s="395">
        <f>'9. Inputs-Analysis'!D39</f>
        <v>89.219451744334833</v>
      </c>
      <c r="E115" s="212">
        <f>IF(D115&lt;90,3,IF(D115&lt;120,2,IF(D115&lt;180,1,0)))</f>
        <v>3</v>
      </c>
    </row>
    <row r="116" spans="1:5" x14ac:dyDescent="0.3">
      <c r="A116" s="376"/>
      <c r="B116" s="368" t="s">
        <v>249</v>
      </c>
      <c r="C116" s="368">
        <v>2</v>
      </c>
      <c r="D116" s="372"/>
      <c r="E116" s="390"/>
    </row>
    <row r="117" spans="1:5" x14ac:dyDescent="0.3">
      <c r="A117" s="376"/>
      <c r="B117" s="368" t="s">
        <v>671</v>
      </c>
      <c r="C117" s="368">
        <v>1</v>
      </c>
      <c r="D117" s="372"/>
      <c r="E117" s="390"/>
    </row>
    <row r="118" spans="1:5" x14ac:dyDescent="0.3">
      <c r="A118" s="376"/>
      <c r="B118" s="368" t="s">
        <v>502</v>
      </c>
      <c r="C118" s="368">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368" t="s">
        <v>918</v>
      </c>
      <c r="C122" s="368">
        <v>3</v>
      </c>
      <c r="D122" s="384">
        <f>'9. Inputs-Analysis'!D42</f>
        <v>0.35386478561776608</v>
      </c>
      <c r="E122" s="212">
        <f>IF(D122&gt;100%,3,IF(D122&gt;=51%,2,IF(D122&gt;=31%,1,0)))</f>
        <v>1</v>
      </c>
    </row>
    <row r="123" spans="1:5" x14ac:dyDescent="0.3">
      <c r="A123" s="376"/>
      <c r="B123" s="368" t="s">
        <v>507</v>
      </c>
      <c r="C123" s="368">
        <v>2</v>
      </c>
      <c r="D123" s="372"/>
      <c r="E123" s="390"/>
    </row>
    <row r="124" spans="1:5" x14ac:dyDescent="0.3">
      <c r="A124" s="376"/>
      <c r="B124" s="368" t="s">
        <v>508</v>
      </c>
      <c r="C124" s="368">
        <v>1</v>
      </c>
      <c r="D124" s="372"/>
      <c r="E124" s="390"/>
    </row>
    <row r="125" spans="1:5" x14ac:dyDescent="0.3">
      <c r="A125" s="376"/>
      <c r="B125" s="368" t="s">
        <v>509</v>
      </c>
      <c r="C125" s="368">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368" t="s">
        <v>772</v>
      </c>
      <c r="C130" s="368">
        <v>3</v>
      </c>
      <c r="D130" s="384">
        <f>'9. Inputs-Analysis'!D45</f>
        <v>7.4443631180108563E-2</v>
      </c>
      <c r="E130" s="385">
        <f>IF(D130&gt;5%,3,IF(D130&gt;=3.01%,2,IF(D130&gt;=2%,1,0)))</f>
        <v>3</v>
      </c>
    </row>
    <row r="131" spans="1:106" x14ac:dyDescent="0.3">
      <c r="A131" s="376"/>
      <c r="B131" s="368" t="s">
        <v>648</v>
      </c>
      <c r="C131" s="368">
        <v>2</v>
      </c>
      <c r="D131" s="372"/>
      <c r="E131" s="388"/>
    </row>
    <row r="132" spans="1:106" x14ac:dyDescent="0.3">
      <c r="A132" s="376"/>
      <c r="B132" s="368" t="s">
        <v>919</v>
      </c>
      <c r="C132" s="368">
        <v>1</v>
      </c>
      <c r="D132" s="372"/>
      <c r="E132" s="388"/>
    </row>
    <row r="133" spans="1:106" x14ac:dyDescent="0.3">
      <c r="A133" s="376"/>
      <c r="B133" s="368" t="s">
        <v>495</v>
      </c>
      <c r="C133" s="368">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978</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22</v>
      </c>
    </row>
    <row r="142" spans="1:106" s="37" customFormat="1" ht="15.75" customHeight="1" thickBot="1" x14ac:dyDescent="0.35">
      <c r="A142" s="396" t="s">
        <v>409</v>
      </c>
      <c r="B142" s="397"/>
      <c r="C142" s="1013">
        <f>E141/C141</f>
        <v>0.36666666666666664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20"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B142"/>
  <sheetViews>
    <sheetView view="pageBreakPreview" topLeftCell="A92" zoomScaleNormal="90" zoomScaleSheetLayoutView="100" zoomScalePageLayoutView="90" workbookViewId="0">
      <selection activeCell="E101" sqref="E101"/>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0.36666666666666664</v>
      </c>
      <c r="U6" s="402">
        <f>1-T6</f>
        <v>0.6333333333333333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4</v>
      </c>
    </row>
    <row r="19" spans="1:5" ht="28" x14ac:dyDescent="0.3">
      <c r="A19" s="367" t="str">
        <f>'11. Detail Managment Report'!C18</f>
        <v>1. Financial Debt to Tangible Net Worth (DTN)</v>
      </c>
      <c r="B19" s="368" t="s">
        <v>631</v>
      </c>
      <c r="C19" s="368">
        <v>7</v>
      </c>
      <c r="D19" s="369">
        <f>'9. Inputs-Analysis'!D4</f>
        <v>3.9252586061418495</v>
      </c>
      <c r="E19" s="370">
        <f>IF(D19&lt;0,0,IF(D19&lt;0.75,7,IF(D19&lt;1,6,IF(D19&lt;1.25,5,IF(D19&lt;1.5,4,IF(D19&lt;2,3,IF(D19&lt;4,2,0)))))))</f>
        <v>2</v>
      </c>
    </row>
    <row r="20" spans="1:5" x14ac:dyDescent="0.3">
      <c r="A20" s="371"/>
      <c r="B20" s="368" t="s">
        <v>632</v>
      </c>
      <c r="C20" s="368">
        <v>6</v>
      </c>
      <c r="D20" s="372"/>
      <c r="E20" s="373"/>
    </row>
    <row r="21" spans="1:5" x14ac:dyDescent="0.3">
      <c r="A21" s="371"/>
      <c r="B21" s="368" t="s">
        <v>633</v>
      </c>
      <c r="C21" s="368">
        <v>5</v>
      </c>
      <c r="D21" s="372"/>
      <c r="E21" s="373"/>
    </row>
    <row r="22" spans="1:5" x14ac:dyDescent="0.3">
      <c r="A22" s="371"/>
      <c r="B22" s="368" t="s">
        <v>634</v>
      </c>
      <c r="C22" s="368">
        <v>4</v>
      </c>
      <c r="D22" s="372"/>
      <c r="E22" s="373"/>
    </row>
    <row r="23" spans="1:5" x14ac:dyDescent="0.3">
      <c r="A23" s="371"/>
      <c r="B23" s="368" t="s">
        <v>466</v>
      </c>
      <c r="C23" s="368">
        <v>3</v>
      </c>
      <c r="D23" s="372"/>
      <c r="E23" s="373"/>
    </row>
    <row r="24" spans="1:5" x14ac:dyDescent="0.3">
      <c r="A24" s="371"/>
      <c r="B24" s="368" t="s">
        <v>635</v>
      </c>
      <c r="C24" s="368">
        <v>2</v>
      </c>
      <c r="D24" s="372"/>
      <c r="E24" s="373"/>
    </row>
    <row r="25" spans="1:5" x14ac:dyDescent="0.3">
      <c r="A25" s="371"/>
      <c r="B25" s="368" t="s">
        <v>636</v>
      </c>
      <c r="C25" s="368">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368" t="s">
        <v>679</v>
      </c>
      <c r="C29" s="368">
        <v>3</v>
      </c>
      <c r="D29" s="369">
        <f>'9. Inputs-Analysis'!D7</f>
        <v>0.78528910732277912</v>
      </c>
      <c r="E29" s="374">
        <f>IF(D29&lt;0,0,IF(D29&lt;0.45,3,IF(D29&lt;0.8,2,IF(D29&lt;0.99,1,0))))</f>
        <v>2</v>
      </c>
    </row>
    <row r="30" spans="1:5" x14ac:dyDescent="0.3">
      <c r="A30" s="367"/>
      <c r="B30" s="368" t="s">
        <v>680</v>
      </c>
      <c r="C30" s="368">
        <v>2</v>
      </c>
      <c r="D30" s="372"/>
      <c r="E30" s="375"/>
    </row>
    <row r="31" spans="1:5" x14ac:dyDescent="0.3">
      <c r="A31" s="371"/>
      <c r="B31" s="368" t="s">
        <v>483</v>
      </c>
      <c r="C31" s="368">
        <v>1</v>
      </c>
      <c r="D31" s="372"/>
      <c r="E31" s="375"/>
    </row>
    <row r="32" spans="1:5" x14ac:dyDescent="0.3">
      <c r="A32" s="371"/>
      <c r="B32" s="368" t="s">
        <v>639</v>
      </c>
      <c r="C32" s="368">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368" t="s">
        <v>749</v>
      </c>
      <c r="C37" s="368">
        <v>7</v>
      </c>
      <c r="D37" s="369">
        <f>'9. Inputs-Analysis'!D11</f>
        <v>1.040552151554528</v>
      </c>
      <c r="E37" s="370">
        <f>IF(D37&gt;1.5,7,IF(D37&gt;=1.01,6,IF(D37&gt;=0.75,5,IF(D37&gt;=0.51,3,IF(D37&gt;=0.35,2,0)))))</f>
        <v>6</v>
      </c>
    </row>
    <row r="38" spans="1:106" x14ac:dyDescent="0.3">
      <c r="A38" s="367"/>
      <c r="B38" s="368" t="s">
        <v>920</v>
      </c>
      <c r="C38" s="368">
        <v>6</v>
      </c>
      <c r="D38" s="379"/>
      <c r="E38" s="373"/>
    </row>
    <row r="39" spans="1:106" x14ac:dyDescent="0.3">
      <c r="A39" s="376"/>
      <c r="B39" s="368" t="s">
        <v>921</v>
      </c>
      <c r="C39" s="368">
        <v>5</v>
      </c>
      <c r="D39" s="372"/>
      <c r="E39" s="373"/>
    </row>
    <row r="40" spans="1:106" x14ac:dyDescent="0.3">
      <c r="A40" s="376"/>
      <c r="B40" s="368" t="s">
        <v>855</v>
      </c>
      <c r="C40" s="368">
        <v>3</v>
      </c>
      <c r="D40" s="372"/>
      <c r="E40" s="373"/>
    </row>
    <row r="41" spans="1:106" x14ac:dyDescent="0.3">
      <c r="A41" s="376"/>
      <c r="B41" s="368" t="s">
        <v>752</v>
      </c>
      <c r="C41" s="368">
        <v>2</v>
      </c>
      <c r="D41" s="372"/>
      <c r="E41" s="373"/>
    </row>
    <row r="42" spans="1:106" x14ac:dyDescent="0.3">
      <c r="A42" s="376"/>
      <c r="B42" s="368" t="s">
        <v>922</v>
      </c>
      <c r="C42" s="368">
        <v>0</v>
      </c>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368" t="s">
        <v>812</v>
      </c>
      <c r="C45" s="368">
        <v>3</v>
      </c>
      <c r="D45" s="369">
        <f>'9. Inputs-Analysis'!D10</f>
        <v>6.1472340974284764E-3</v>
      </c>
      <c r="E45" s="374">
        <f>IF(D45&gt;0.1,3,IF(D45&gt;=0.05,2,IF(D45&gt;=0.03,1,0)))</f>
        <v>0</v>
      </c>
    </row>
    <row r="46" spans="1:106" x14ac:dyDescent="0.3">
      <c r="A46" s="367"/>
      <c r="B46" s="368" t="s">
        <v>923</v>
      </c>
      <c r="C46" s="368">
        <v>2</v>
      </c>
      <c r="D46" s="372"/>
      <c r="E46" s="375"/>
    </row>
    <row r="47" spans="1:106" x14ac:dyDescent="0.3">
      <c r="A47" s="367"/>
      <c r="B47" s="368" t="s">
        <v>814</v>
      </c>
      <c r="C47" s="368">
        <v>1</v>
      </c>
      <c r="D47" s="372"/>
      <c r="E47" s="375"/>
    </row>
    <row r="48" spans="1:106" x14ac:dyDescent="0.3">
      <c r="A48" s="367"/>
      <c r="B48" s="368" t="s">
        <v>815</v>
      </c>
      <c r="C48" s="368">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3</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368" t="s">
        <v>924</v>
      </c>
      <c r="C53" s="368">
        <v>5</v>
      </c>
      <c r="D53" s="384">
        <f>'9. Inputs-Analysis'!D15</f>
        <v>5.4896988386267581E-2</v>
      </c>
      <c r="E53" s="385">
        <f>IF(D53&gt;7%,5,IF(D53&gt;=7%,4,IF(D53&gt;=5%,3,IF(D53&gt;=3%,2,IF(D53&gt;=1%,1,0)))))</f>
        <v>3</v>
      </c>
    </row>
    <row r="54" spans="1:106" x14ac:dyDescent="0.3">
      <c r="A54" s="386"/>
      <c r="B54" s="368" t="s">
        <v>877</v>
      </c>
      <c r="C54" s="368">
        <v>4</v>
      </c>
      <c r="D54" s="387"/>
      <c r="E54" s="388"/>
    </row>
    <row r="55" spans="1:106" x14ac:dyDescent="0.3">
      <c r="A55" s="386"/>
      <c r="B55" s="368" t="s">
        <v>643</v>
      </c>
      <c r="C55" s="368">
        <v>3</v>
      </c>
      <c r="D55" s="372"/>
      <c r="E55" s="388"/>
    </row>
    <row r="56" spans="1:106" x14ac:dyDescent="0.3">
      <c r="A56" s="386"/>
      <c r="B56" s="368" t="s">
        <v>925</v>
      </c>
      <c r="C56" s="368">
        <v>2</v>
      </c>
      <c r="D56" s="372"/>
      <c r="E56" s="388"/>
    </row>
    <row r="57" spans="1:106" x14ac:dyDescent="0.3">
      <c r="A57" s="376"/>
      <c r="B57" s="368" t="s">
        <v>645</v>
      </c>
      <c r="C57" s="368">
        <v>1</v>
      </c>
      <c r="D57" s="372"/>
      <c r="E57" s="388"/>
    </row>
    <row r="58" spans="1:106" x14ac:dyDescent="0.3">
      <c r="A58" s="376"/>
      <c r="B58" s="368" t="s">
        <v>646</v>
      </c>
      <c r="C58" s="368">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368" t="s">
        <v>467</v>
      </c>
      <c r="C62" s="368">
        <v>3</v>
      </c>
      <c r="D62" s="384">
        <f>'9. Inputs-Analysis'!D18</f>
        <v>1.9426111026367571E-2</v>
      </c>
      <c r="E62" s="212">
        <f>IF(D62&gt;4.5%,3,IF(D62&gt;=3.01%,2,IF(D62&gt;=2.01%,1,0)))</f>
        <v>0</v>
      </c>
    </row>
    <row r="63" spans="1:106" x14ac:dyDescent="0.3">
      <c r="A63" s="386"/>
      <c r="B63" s="368" t="s">
        <v>468</v>
      </c>
      <c r="C63" s="368">
        <v>2</v>
      </c>
      <c r="D63" s="389"/>
      <c r="E63" s="390"/>
    </row>
    <row r="64" spans="1:106" x14ac:dyDescent="0.3">
      <c r="A64" s="386"/>
      <c r="B64" s="368" t="s">
        <v>494</v>
      </c>
      <c r="C64" s="368">
        <v>1</v>
      </c>
      <c r="D64" s="389"/>
      <c r="E64" s="390"/>
    </row>
    <row r="65" spans="1:106" x14ac:dyDescent="0.3">
      <c r="A65" s="386"/>
      <c r="B65" s="368" t="s">
        <v>495</v>
      </c>
      <c r="C65" s="368">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368" t="s">
        <v>776</v>
      </c>
      <c r="C69" s="368">
        <v>2</v>
      </c>
      <c r="D69" s="392">
        <f>'9. Inputs-Analysis'!D21</f>
        <v>4.652054000911502E-2</v>
      </c>
      <c r="E69" s="212">
        <f>IF(D69&gt;10%,2,IF(D69&gt;=5.01%,1,0))</f>
        <v>0</v>
      </c>
    </row>
    <row r="70" spans="1:106" x14ac:dyDescent="0.3">
      <c r="A70" s="391"/>
      <c r="B70" s="368" t="s">
        <v>926</v>
      </c>
      <c r="C70" s="368">
        <v>1</v>
      </c>
      <c r="D70" s="372"/>
      <c r="E70" s="390"/>
    </row>
    <row r="71" spans="1:106" x14ac:dyDescent="0.3">
      <c r="A71" s="376"/>
      <c r="B71" s="368" t="s">
        <v>910</v>
      </c>
      <c r="C71" s="368">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6</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368" t="s">
        <v>927</v>
      </c>
      <c r="C76" s="368">
        <v>3</v>
      </c>
      <c r="D76" s="369">
        <f>'9. Inputs-Analysis'!D24</f>
        <v>2.1640484041893577</v>
      </c>
      <c r="E76" s="370">
        <f>IF(D76&gt;4,3,IF(D76&gt;=3.01,2,IF(D76&gt;=1.01,1,0)))</f>
        <v>1</v>
      </c>
    </row>
    <row r="77" spans="1:106" x14ac:dyDescent="0.3">
      <c r="A77" s="376"/>
      <c r="B77" s="368" t="s">
        <v>928</v>
      </c>
      <c r="C77" s="368">
        <v>2</v>
      </c>
      <c r="D77" s="218"/>
      <c r="E77" s="373"/>
    </row>
    <row r="78" spans="1:106" x14ac:dyDescent="0.3">
      <c r="A78" s="376"/>
      <c r="B78" s="368" t="s">
        <v>912</v>
      </c>
      <c r="C78" s="368">
        <v>1</v>
      </c>
      <c r="D78" s="372"/>
      <c r="E78" s="373"/>
    </row>
    <row r="79" spans="1:106" x14ac:dyDescent="0.3">
      <c r="A79" s="376"/>
      <c r="B79" s="368" t="s">
        <v>929</v>
      </c>
      <c r="C79" s="368">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IF(D83&gt;2.5,5,IF(D83&gt;=2,4,IF(D83&gt;=1.5,3,IF(D83&gt;=1,2,IF(D83&gt;=0.5,1,0)))))</f>
        <v>2</v>
      </c>
    </row>
    <row r="84" spans="1:5" x14ac:dyDescent="0.3">
      <c r="A84" s="367"/>
      <c r="B84" s="368" t="s">
        <v>781</v>
      </c>
      <c r="C84" s="368">
        <v>5</v>
      </c>
      <c r="D84" s="372"/>
      <c r="E84" s="375"/>
    </row>
    <row r="85" spans="1:5" x14ac:dyDescent="0.3">
      <c r="A85" s="367"/>
      <c r="B85" s="368" t="s">
        <v>795</v>
      </c>
      <c r="C85" s="368">
        <v>4</v>
      </c>
      <c r="D85" s="372"/>
      <c r="E85" s="375"/>
    </row>
    <row r="86" spans="1:5" x14ac:dyDescent="0.3">
      <c r="A86" s="367"/>
      <c r="B86" s="368" t="s">
        <v>860</v>
      </c>
      <c r="C86" s="368">
        <v>3</v>
      </c>
      <c r="D86" s="372"/>
      <c r="E86" s="375"/>
    </row>
    <row r="87" spans="1:5" x14ac:dyDescent="0.3">
      <c r="A87" s="367"/>
      <c r="B87" s="368" t="s">
        <v>784</v>
      </c>
      <c r="C87" s="368">
        <v>2</v>
      </c>
      <c r="D87" s="372"/>
      <c r="E87" s="375"/>
    </row>
    <row r="88" spans="1:5" x14ac:dyDescent="0.3">
      <c r="A88" s="367"/>
      <c r="B88" s="368" t="s">
        <v>785</v>
      </c>
      <c r="C88" s="368">
        <v>1</v>
      </c>
      <c r="D88" s="372"/>
      <c r="E88" s="375"/>
    </row>
    <row r="89" spans="1:5" x14ac:dyDescent="0.3">
      <c r="A89" s="376"/>
      <c r="B89" s="368" t="s">
        <v>629</v>
      </c>
      <c r="C89" s="368">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368" t="s">
        <v>930</v>
      </c>
      <c r="C93" s="368">
        <v>4</v>
      </c>
      <c r="D93" s="369">
        <f>'9. Inputs-Analysis'!D30</f>
        <v>3.3545581292940753E-2</v>
      </c>
      <c r="E93" s="374">
        <f>IF(D93&gt;0.25,4,IF(D93&gt;0.15,3,IF(D93&gt;0.1,2,IF(D93&gt;-0.05,1,0))))</f>
        <v>1</v>
      </c>
    </row>
    <row r="94" spans="1:5" x14ac:dyDescent="0.3">
      <c r="A94" s="376"/>
      <c r="B94" s="368" t="s">
        <v>931</v>
      </c>
      <c r="C94" s="368">
        <v>3</v>
      </c>
      <c r="D94" s="372"/>
      <c r="E94" s="375"/>
    </row>
    <row r="95" spans="1:5" x14ac:dyDescent="0.3">
      <c r="A95" s="376"/>
      <c r="B95" s="368" t="s">
        <v>932</v>
      </c>
      <c r="C95" s="368">
        <v>2</v>
      </c>
      <c r="D95" s="372"/>
      <c r="E95" s="375"/>
    </row>
    <row r="96" spans="1:5" x14ac:dyDescent="0.3">
      <c r="A96" s="376"/>
      <c r="B96" s="368" t="s">
        <v>933</v>
      </c>
      <c r="C96" s="368">
        <v>1</v>
      </c>
      <c r="D96" s="372"/>
      <c r="E96" s="375"/>
    </row>
    <row r="97" spans="1:106" x14ac:dyDescent="0.3">
      <c r="A97" s="376"/>
      <c r="B97" s="368" t="s">
        <v>934</v>
      </c>
      <c r="C97" s="368">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14" t="s">
        <v>935</v>
      </c>
      <c r="C100" s="368">
        <v>3</v>
      </c>
      <c r="D100" s="394">
        <f>'9. Inputs-Analysis'!D33</f>
        <v>0.76522361031669384</v>
      </c>
      <c r="E100" s="374">
        <f>IF(D100&gt;1.5,3,IF(D100&gt;=0.25,2,0))</f>
        <v>2</v>
      </c>
    </row>
    <row r="101" spans="1:106" x14ac:dyDescent="0.3">
      <c r="A101" s="367"/>
      <c r="B101" s="368" t="s">
        <v>936</v>
      </c>
      <c r="C101" s="368">
        <v>2</v>
      </c>
      <c r="D101" s="372"/>
      <c r="E101" s="375"/>
    </row>
    <row r="102" spans="1:106" x14ac:dyDescent="0.3">
      <c r="A102" s="367"/>
      <c r="B102" s="368" t="s">
        <v>937</v>
      </c>
      <c r="C102" s="368">
        <v>0</v>
      </c>
      <c r="D102" s="372"/>
      <c r="E102" s="375"/>
    </row>
    <row r="103" spans="1:106" x14ac:dyDescent="0.3">
      <c r="A103" s="367"/>
      <c r="B103" s="368"/>
      <c r="C103" s="368"/>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2</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368" t="s">
        <v>894</v>
      </c>
      <c r="C107" s="368">
        <v>4</v>
      </c>
      <c r="D107" s="395">
        <f>'9. Inputs-Analysis'!D36</f>
        <v>823.72780049574567</v>
      </c>
      <c r="E107" s="385">
        <f>IF(D107&lt;120,4,IF(D107&lt;150,3,IF(D107&lt;180,1,0)))</f>
        <v>0</v>
      </c>
    </row>
    <row r="108" spans="1:106" x14ac:dyDescent="0.3">
      <c r="A108" s="376"/>
      <c r="B108" s="368" t="s">
        <v>792</v>
      </c>
      <c r="C108" s="368">
        <v>3</v>
      </c>
      <c r="D108" s="372"/>
      <c r="E108" s="388"/>
    </row>
    <row r="109" spans="1:106" x14ac:dyDescent="0.3">
      <c r="A109" s="376"/>
      <c r="B109" s="368" t="s">
        <v>938</v>
      </c>
      <c r="C109" s="368">
        <v>1</v>
      </c>
      <c r="D109" s="372"/>
      <c r="E109" s="388"/>
    </row>
    <row r="110" spans="1:106" x14ac:dyDescent="0.3">
      <c r="A110" s="376"/>
      <c r="B110" s="368" t="s">
        <v>939</v>
      </c>
      <c r="C110" s="368">
        <v>0</v>
      </c>
      <c r="D110" s="372"/>
      <c r="E110" s="388"/>
    </row>
    <row r="111" spans="1:106" x14ac:dyDescent="0.3">
      <c r="A111" s="376"/>
      <c r="C111" s="368"/>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368" t="s">
        <v>670</v>
      </c>
      <c r="C115" s="368">
        <v>3</v>
      </c>
      <c r="D115" s="395">
        <f>'9. Inputs-Analysis'!D39</f>
        <v>89.219451744334833</v>
      </c>
      <c r="E115" s="212">
        <f>IF(D115&lt;45,3,IF(D115&lt;60,2,IF(D115&lt;90,1,0)))</f>
        <v>1</v>
      </c>
    </row>
    <row r="116" spans="1:5" x14ac:dyDescent="0.3">
      <c r="A116" s="376"/>
      <c r="B116" s="368" t="s">
        <v>249</v>
      </c>
      <c r="C116" s="368">
        <v>2</v>
      </c>
      <c r="D116" s="372"/>
      <c r="E116" s="390"/>
    </row>
    <row r="117" spans="1:5" x14ac:dyDescent="0.3">
      <c r="A117" s="376"/>
      <c r="B117" s="368" t="s">
        <v>671</v>
      </c>
      <c r="C117" s="368">
        <v>1</v>
      </c>
      <c r="D117" s="372"/>
      <c r="E117" s="390"/>
    </row>
    <row r="118" spans="1:5" x14ac:dyDescent="0.3">
      <c r="A118" s="376"/>
      <c r="B118" s="368" t="s">
        <v>502</v>
      </c>
      <c r="C118" s="368">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368" t="s">
        <v>940</v>
      </c>
      <c r="C122" s="368">
        <v>3</v>
      </c>
      <c r="D122" s="384">
        <f>'9. Inputs-Analysis'!D42</f>
        <v>0.35386478561776608</v>
      </c>
      <c r="E122" s="212">
        <f>IF(D122&gt;80%,3,IF(D122&gt;=51%,2,IF(D122&gt;=31%,1,0)))</f>
        <v>1</v>
      </c>
    </row>
    <row r="123" spans="1:5" x14ac:dyDescent="0.3">
      <c r="A123" s="376"/>
      <c r="B123" s="368" t="s">
        <v>941</v>
      </c>
      <c r="C123" s="368">
        <v>2</v>
      </c>
      <c r="D123" s="372"/>
      <c r="E123" s="390"/>
    </row>
    <row r="124" spans="1:5" x14ac:dyDescent="0.3">
      <c r="A124" s="376"/>
      <c r="B124" s="368" t="s">
        <v>508</v>
      </c>
      <c r="C124" s="368">
        <v>1</v>
      </c>
      <c r="D124" s="372"/>
      <c r="E124" s="390"/>
    </row>
    <row r="125" spans="1:5" x14ac:dyDescent="0.3">
      <c r="A125" s="376"/>
      <c r="B125" s="368" t="s">
        <v>509</v>
      </c>
      <c r="C125" s="368">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1</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368" t="s">
        <v>685</v>
      </c>
      <c r="C130" s="368">
        <v>3</v>
      </c>
      <c r="D130" s="384">
        <f>'9. Inputs-Analysis'!D45</f>
        <v>7.4443631180108563E-2</v>
      </c>
      <c r="E130" s="385">
        <f>IF(D130&gt;10%,3,IF(D130&gt;=9%,2,IF(D130&gt;=5%,1,0)))</f>
        <v>1</v>
      </c>
    </row>
    <row r="131" spans="1:106" x14ac:dyDescent="0.3">
      <c r="A131" s="376"/>
      <c r="B131" s="368" t="s">
        <v>942</v>
      </c>
      <c r="C131" s="368">
        <v>2</v>
      </c>
      <c r="D131" s="372"/>
      <c r="E131" s="388"/>
    </row>
    <row r="132" spans="1:106" x14ac:dyDescent="0.3">
      <c r="A132" s="376"/>
      <c r="B132" s="368" t="s">
        <v>943</v>
      </c>
      <c r="C132" s="368">
        <v>1</v>
      </c>
      <c r="D132" s="372"/>
      <c r="E132" s="388"/>
    </row>
    <row r="133" spans="1:106" x14ac:dyDescent="0.3">
      <c r="A133" s="376"/>
      <c r="B133" s="368" t="s">
        <v>513</v>
      </c>
      <c r="C133" s="368">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401</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22</v>
      </c>
    </row>
    <row r="142" spans="1:106" s="37" customFormat="1" ht="15.75" customHeight="1" thickBot="1" x14ac:dyDescent="0.35">
      <c r="A142" s="396" t="s">
        <v>409</v>
      </c>
      <c r="B142" s="397"/>
      <c r="C142" s="1013">
        <f>E141/C141</f>
        <v>0.36666666666666664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9"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B142"/>
  <sheetViews>
    <sheetView view="pageBreakPreview" topLeftCell="A89" zoomScaleNormal="90" zoomScaleSheetLayoutView="100" zoomScalePageLayoutView="90" workbookViewId="0">
      <selection activeCell="E93" sqref="E93"/>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0.38333333333333336</v>
      </c>
      <c r="U6" s="402">
        <f>1-T6</f>
        <v>0.6166666666666667</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454" t="s">
        <v>944</v>
      </c>
      <c r="C19" s="454">
        <v>7</v>
      </c>
      <c r="D19" s="369">
        <f>'9. Inputs-Analysis'!D4</f>
        <v>3.9252586061418495</v>
      </c>
      <c r="E19" s="370">
        <f>IF(D19&lt;0,0,IF(D19&lt;0.55,7,IF(D19&lt;=1,6,IF(D19&lt;=1.25,5,IF(D19&lt;=1.5,4,IF(D19&lt;=2,3,IF(D19&lt;=3.5,2,0)))))))</f>
        <v>0</v>
      </c>
    </row>
    <row r="20" spans="1:5" x14ac:dyDescent="0.3">
      <c r="A20" s="371"/>
      <c r="B20" s="454" t="s">
        <v>945</v>
      </c>
      <c r="C20" s="454">
        <v>6</v>
      </c>
      <c r="D20" s="372"/>
      <c r="E20" s="373"/>
    </row>
    <row r="21" spans="1:5" x14ac:dyDescent="0.3">
      <c r="A21" s="371"/>
      <c r="B21" s="454" t="s">
        <v>633</v>
      </c>
      <c r="C21" s="454">
        <v>5</v>
      </c>
      <c r="D21" s="372"/>
      <c r="E21" s="373"/>
    </row>
    <row r="22" spans="1:5" x14ac:dyDescent="0.3">
      <c r="A22" s="371"/>
      <c r="B22" s="454" t="s">
        <v>810</v>
      </c>
      <c r="C22" s="454">
        <v>4</v>
      </c>
      <c r="D22" s="372"/>
      <c r="E22" s="373"/>
    </row>
    <row r="23" spans="1:5" x14ac:dyDescent="0.3">
      <c r="A23" s="371"/>
      <c r="B23" s="454" t="s">
        <v>811</v>
      </c>
      <c r="C23" s="454">
        <v>3</v>
      </c>
      <c r="D23" s="372"/>
      <c r="E23" s="373"/>
    </row>
    <row r="24" spans="1:5" x14ac:dyDescent="0.3">
      <c r="A24" s="371"/>
      <c r="B24" s="454" t="s">
        <v>635</v>
      </c>
      <c r="C24" s="454">
        <v>2</v>
      </c>
      <c r="D24" s="372"/>
      <c r="E24" s="373"/>
    </row>
    <row r="25" spans="1:5" x14ac:dyDescent="0.3">
      <c r="A25" s="371"/>
      <c r="B25" s="454" t="s">
        <v>636</v>
      </c>
      <c r="C25" s="454">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54" t="s">
        <v>462</v>
      </c>
      <c r="C29" s="454">
        <v>3</v>
      </c>
      <c r="D29" s="369">
        <f>'9. Inputs-Analysis'!D7</f>
        <v>0.78528910732277912</v>
      </c>
      <c r="E29" s="374">
        <f>IF(D29&lt;0,0,IF(D29&lt;0.25,3,IF(D29&lt;0.74,2,IF(D29&lt;0.99,1,0))))</f>
        <v>1</v>
      </c>
    </row>
    <row r="30" spans="1:5" x14ac:dyDescent="0.3">
      <c r="A30" s="367"/>
      <c r="B30" s="454" t="s">
        <v>482</v>
      </c>
      <c r="C30" s="454">
        <v>2</v>
      </c>
      <c r="D30" s="372"/>
      <c r="E30" s="375"/>
    </row>
    <row r="31" spans="1:5" x14ac:dyDescent="0.3">
      <c r="A31" s="371"/>
      <c r="B31" s="454" t="s">
        <v>483</v>
      </c>
      <c r="C31" s="454">
        <v>1</v>
      </c>
      <c r="D31" s="372"/>
      <c r="E31" s="375"/>
    </row>
    <row r="32" spans="1:5" x14ac:dyDescent="0.3">
      <c r="A32" s="371"/>
      <c r="B32" s="454" t="s">
        <v>463</v>
      </c>
      <c r="C32" s="454">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54" t="s">
        <v>749</v>
      </c>
      <c r="C37" s="454">
        <v>7</v>
      </c>
      <c r="D37" s="369">
        <f>'9. Inputs-Analysis'!D11</f>
        <v>1.040552151554528</v>
      </c>
      <c r="E37" s="370">
        <f>IF(D37&gt;1.5,7,IF(D37&gt;=1.01,6,IF(D37&gt;=0.75,5,IF(D37&gt;=0.51,3,IF(D37&gt;=0.35,2,0)))))</f>
        <v>6</v>
      </c>
    </row>
    <row r="38" spans="1:106" x14ac:dyDescent="0.3">
      <c r="A38" s="367"/>
      <c r="B38" s="454" t="s">
        <v>484</v>
      </c>
      <c r="C38" s="454">
        <v>6</v>
      </c>
      <c r="D38" s="379"/>
      <c r="E38" s="373"/>
    </row>
    <row r="39" spans="1:106" x14ac:dyDescent="0.3">
      <c r="A39" s="376"/>
      <c r="B39" s="454" t="s">
        <v>750</v>
      </c>
      <c r="C39" s="454">
        <v>5</v>
      </c>
      <c r="D39" s="372"/>
      <c r="E39" s="373"/>
    </row>
    <row r="40" spans="1:106" x14ac:dyDescent="0.3">
      <c r="A40" s="376"/>
      <c r="B40" s="454" t="s">
        <v>751</v>
      </c>
      <c r="C40" s="454">
        <v>3</v>
      </c>
      <c r="D40" s="372"/>
      <c r="E40" s="373"/>
    </row>
    <row r="41" spans="1:106" x14ac:dyDescent="0.3">
      <c r="A41" s="376"/>
      <c r="B41" s="454" t="s">
        <v>752</v>
      </c>
      <c r="C41" s="454">
        <v>2</v>
      </c>
      <c r="D41" s="372"/>
      <c r="E41" s="373"/>
    </row>
    <row r="42" spans="1:106" x14ac:dyDescent="0.3">
      <c r="A42" s="376"/>
      <c r="B42" s="454" t="s">
        <v>753</v>
      </c>
      <c r="C42" s="454">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54" t="s">
        <v>946</v>
      </c>
      <c r="C45" s="454">
        <v>3</v>
      </c>
      <c r="D45" s="369">
        <f>'9. Inputs-Analysis'!D10</f>
        <v>6.1472340974284764E-3</v>
      </c>
      <c r="E45" s="374">
        <f>IF(D45&gt;0.07,3,IF(D45&gt;=0.04,2,IF(D45&gt;=0.02,1,0)))</f>
        <v>0</v>
      </c>
    </row>
    <row r="46" spans="1:106" x14ac:dyDescent="0.3">
      <c r="A46" s="367"/>
      <c r="B46" s="454" t="s">
        <v>947</v>
      </c>
      <c r="C46" s="454">
        <v>2</v>
      </c>
      <c r="D46" s="372"/>
      <c r="E46" s="375"/>
    </row>
    <row r="47" spans="1:106" x14ac:dyDescent="0.3">
      <c r="A47" s="367"/>
      <c r="B47" s="454" t="s">
        <v>948</v>
      </c>
      <c r="C47" s="454">
        <v>1</v>
      </c>
      <c r="D47" s="372"/>
      <c r="E47" s="375"/>
    </row>
    <row r="48" spans="1:106" x14ac:dyDescent="0.3">
      <c r="A48" s="367"/>
      <c r="B48" s="454" t="s">
        <v>684</v>
      </c>
      <c r="C48" s="454">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54" t="s">
        <v>816</v>
      </c>
      <c r="C53" s="454">
        <v>5</v>
      </c>
      <c r="D53" s="384">
        <f>'9. Inputs-Analysis'!D15</f>
        <v>5.4896988386267581E-2</v>
      </c>
      <c r="E53" s="385">
        <f>IF(D53&gt;6%,5,IF(D53&gt;=5%,4,IF(D53&gt;=4%,3,IF(D53&gt;=3%,2,IF(D53&gt;=1%,1,0)))))</f>
        <v>4</v>
      </c>
    </row>
    <row r="54" spans="1:106" x14ac:dyDescent="0.3">
      <c r="A54" s="386"/>
      <c r="B54" s="454" t="s">
        <v>817</v>
      </c>
      <c r="C54" s="454">
        <v>4</v>
      </c>
      <c r="D54" s="387"/>
      <c r="E54" s="388"/>
    </row>
    <row r="55" spans="1:106" x14ac:dyDescent="0.3">
      <c r="A55" s="386"/>
      <c r="B55" s="454" t="s">
        <v>818</v>
      </c>
      <c r="C55" s="454">
        <v>3</v>
      </c>
      <c r="D55" s="372"/>
      <c r="E55" s="388"/>
    </row>
    <row r="56" spans="1:106" x14ac:dyDescent="0.3">
      <c r="A56" s="386"/>
      <c r="B56" s="454" t="s">
        <v>819</v>
      </c>
      <c r="C56" s="454">
        <v>2</v>
      </c>
      <c r="D56" s="372"/>
      <c r="E56" s="388"/>
    </row>
    <row r="57" spans="1:106" x14ac:dyDescent="0.3">
      <c r="A57" s="376"/>
      <c r="B57" s="454" t="s">
        <v>820</v>
      </c>
      <c r="C57" s="454">
        <v>1</v>
      </c>
      <c r="D57" s="372"/>
      <c r="E57" s="388"/>
    </row>
    <row r="58" spans="1:106" x14ac:dyDescent="0.3">
      <c r="A58" s="376"/>
      <c r="B58" s="454" t="s">
        <v>646</v>
      </c>
      <c r="C58" s="454">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54" t="s">
        <v>949</v>
      </c>
      <c r="C62" s="454">
        <v>3</v>
      </c>
      <c r="D62" s="384">
        <f>'9. Inputs-Analysis'!D18</f>
        <v>1.9426111026367571E-2</v>
      </c>
      <c r="E62" s="212">
        <f>IF(D62&gt;4%,3,IF(D62&gt;=3.01%,2,IF(D62&gt;=2.01%,1,0)))</f>
        <v>0</v>
      </c>
    </row>
    <row r="63" spans="1:106" x14ac:dyDescent="0.3">
      <c r="A63" s="386"/>
      <c r="B63" s="454" t="s">
        <v>771</v>
      </c>
      <c r="C63" s="454">
        <v>2</v>
      </c>
      <c r="D63" s="389"/>
      <c r="E63" s="390"/>
    </row>
    <row r="64" spans="1:106" x14ac:dyDescent="0.3">
      <c r="A64" s="386"/>
      <c r="B64" s="454" t="s">
        <v>494</v>
      </c>
      <c r="C64" s="454">
        <v>1</v>
      </c>
      <c r="D64" s="389"/>
      <c r="E64" s="390"/>
    </row>
    <row r="65" spans="1:106" x14ac:dyDescent="0.3">
      <c r="A65" s="386"/>
      <c r="B65" s="454" t="s">
        <v>495</v>
      </c>
      <c r="C65" s="454">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54" t="s">
        <v>722</v>
      </c>
      <c r="C69" s="454">
        <v>2</v>
      </c>
      <c r="D69" s="392">
        <f>'9. Inputs-Analysis'!D21</f>
        <v>4.652054000911502E-2</v>
      </c>
      <c r="E69" s="212">
        <f>IF(D69&gt;8%,2,IF(D69&gt;=5.01%,1,0))</f>
        <v>0</v>
      </c>
    </row>
    <row r="70" spans="1:106" x14ac:dyDescent="0.3">
      <c r="A70" s="391"/>
      <c r="B70" s="454" t="s">
        <v>723</v>
      </c>
      <c r="C70" s="454">
        <v>1</v>
      </c>
      <c r="D70" s="372"/>
      <c r="E70" s="390"/>
    </row>
    <row r="71" spans="1:106" x14ac:dyDescent="0.3">
      <c r="A71" s="376"/>
      <c r="B71" s="454" t="s">
        <v>724</v>
      </c>
      <c r="C71" s="454">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54" t="s">
        <v>778</v>
      </c>
      <c r="C76" s="454">
        <v>3</v>
      </c>
      <c r="D76" s="369">
        <f>'9. Inputs-Analysis'!D24</f>
        <v>2.1640484041893577</v>
      </c>
      <c r="E76" s="370">
        <f>IF(D76&gt;3,3,IF(D76&gt;=2.01,2,IF(D76&gt;=1.01,1,0)))</f>
        <v>2</v>
      </c>
    </row>
    <row r="77" spans="1:106" x14ac:dyDescent="0.3">
      <c r="A77" s="376"/>
      <c r="B77" s="454" t="s">
        <v>779</v>
      </c>
      <c r="C77" s="454">
        <v>2</v>
      </c>
      <c r="D77" s="218"/>
      <c r="E77" s="373"/>
    </row>
    <row r="78" spans="1:106" x14ac:dyDescent="0.3">
      <c r="A78" s="376"/>
      <c r="B78" s="454" t="s">
        <v>780</v>
      </c>
      <c r="C78" s="454">
        <v>1</v>
      </c>
      <c r="D78" s="372"/>
      <c r="E78" s="373"/>
    </row>
    <row r="79" spans="1:106" x14ac:dyDescent="0.3">
      <c r="A79" s="376"/>
      <c r="B79" s="454" t="s">
        <v>629</v>
      </c>
      <c r="C79" s="454">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IF(D83&gt;2.5,5,IF(D83&gt;=2,4,IF(D83&gt;=1.5,3,IF(D83&gt;=1,2,IF(D83&gt;=0.5,1,0)))))</f>
        <v>2</v>
      </c>
    </row>
    <row r="84" spans="1:5" x14ac:dyDescent="0.3">
      <c r="A84" s="367"/>
      <c r="B84" s="454" t="s">
        <v>781</v>
      </c>
      <c r="C84" s="454">
        <v>5</v>
      </c>
      <c r="D84" s="372"/>
      <c r="E84" s="375"/>
    </row>
    <row r="85" spans="1:5" x14ac:dyDescent="0.3">
      <c r="A85" s="367"/>
      <c r="B85" s="454" t="s">
        <v>782</v>
      </c>
      <c r="C85" s="454">
        <v>4</v>
      </c>
      <c r="D85" s="372"/>
      <c r="E85" s="375"/>
    </row>
    <row r="86" spans="1:5" x14ac:dyDescent="0.3">
      <c r="A86" s="367"/>
      <c r="B86" s="454" t="s">
        <v>783</v>
      </c>
      <c r="C86" s="454">
        <v>3</v>
      </c>
      <c r="D86" s="372"/>
      <c r="E86" s="375"/>
    </row>
    <row r="87" spans="1:5" x14ac:dyDescent="0.3">
      <c r="A87" s="367"/>
      <c r="B87" s="454" t="s">
        <v>784</v>
      </c>
      <c r="C87" s="454">
        <v>2</v>
      </c>
      <c r="D87" s="372"/>
      <c r="E87" s="375"/>
    </row>
    <row r="88" spans="1:5" x14ac:dyDescent="0.3">
      <c r="A88" s="367"/>
      <c r="B88" s="454" t="s">
        <v>785</v>
      </c>
      <c r="C88" s="454">
        <v>1</v>
      </c>
      <c r="D88" s="372"/>
      <c r="E88" s="375"/>
    </row>
    <row r="89" spans="1:5" x14ac:dyDescent="0.3">
      <c r="A89" s="376"/>
      <c r="B89" s="454" t="s">
        <v>629</v>
      </c>
      <c r="C89" s="454">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54" t="s">
        <v>786</v>
      </c>
      <c r="C93" s="454">
        <v>4</v>
      </c>
      <c r="D93" s="393">
        <f>'9. Inputs-Analysis'!D30</f>
        <v>3.3545581292940753E-2</v>
      </c>
      <c r="E93" s="374">
        <f>IF(D93&gt;0.25,4,IF(D93&gt;=0.15,3,IF(D93&gt;=0.1,2,IF(D93&gt;=-0.05,1,0))))</f>
        <v>1</v>
      </c>
    </row>
    <row r="94" spans="1:5" x14ac:dyDescent="0.3">
      <c r="A94" s="376"/>
      <c r="B94" s="454" t="s">
        <v>787</v>
      </c>
      <c r="C94" s="454">
        <v>3</v>
      </c>
      <c r="D94" s="372"/>
      <c r="E94" s="375"/>
    </row>
    <row r="95" spans="1:5" x14ac:dyDescent="0.3">
      <c r="A95" s="376"/>
      <c r="B95" s="454" t="s">
        <v>788</v>
      </c>
      <c r="C95" s="454">
        <v>2</v>
      </c>
      <c r="D95" s="372"/>
      <c r="E95" s="375"/>
    </row>
    <row r="96" spans="1:5" x14ac:dyDescent="0.3">
      <c r="A96" s="376"/>
      <c r="B96" s="454" t="s">
        <v>789</v>
      </c>
      <c r="C96" s="454">
        <v>1</v>
      </c>
      <c r="D96" s="372"/>
      <c r="E96" s="375"/>
    </row>
    <row r="97" spans="1:106" x14ac:dyDescent="0.3">
      <c r="A97" s="376"/>
      <c r="B97" s="454" t="s">
        <v>790</v>
      </c>
      <c r="C97" s="454">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54" t="s">
        <v>705</v>
      </c>
      <c r="C100" s="454">
        <v>3</v>
      </c>
      <c r="D100" s="394">
        <f>'9. Inputs-Analysis'!D33</f>
        <v>0.76522361031669384</v>
      </c>
      <c r="E100" s="374">
        <f>IF(D100&gt;1,3,IF(D100&gt;=0.5,2,IF(D100&gt;=-0.1,1,0)))</f>
        <v>2</v>
      </c>
    </row>
    <row r="101" spans="1:106" x14ac:dyDescent="0.3">
      <c r="A101" s="367"/>
      <c r="B101" s="454" t="s">
        <v>706</v>
      </c>
      <c r="C101" s="454">
        <v>2</v>
      </c>
      <c r="D101" s="372"/>
      <c r="E101" s="375"/>
    </row>
    <row r="102" spans="1:106" x14ac:dyDescent="0.3">
      <c r="A102" s="367"/>
      <c r="B102" s="454" t="s">
        <v>707</v>
      </c>
      <c r="C102" s="454">
        <v>1</v>
      </c>
      <c r="D102" s="372"/>
      <c r="E102" s="375"/>
    </row>
    <row r="103" spans="1:106" x14ac:dyDescent="0.3">
      <c r="A103" s="367"/>
      <c r="B103" s="454" t="s">
        <v>708</v>
      </c>
      <c r="C103" s="454">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2</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54" t="s">
        <v>737</v>
      </c>
      <c r="C107" s="454">
        <v>4</v>
      </c>
      <c r="D107" s="395">
        <f>'9. Inputs-Analysis'!D36</f>
        <v>823.72780049574567</v>
      </c>
      <c r="E107" s="385">
        <f>IF(D107&lt;90,4,IF(D107&lt;=100,3,IF(D107&lt;=120,2,IF(D107&lt;=180,1,0))))</f>
        <v>0</v>
      </c>
    </row>
    <row r="108" spans="1:106" x14ac:dyDescent="0.3">
      <c r="A108" s="376"/>
      <c r="B108" s="454" t="s">
        <v>823</v>
      </c>
      <c r="C108" s="454">
        <v>3</v>
      </c>
      <c r="D108" s="372"/>
      <c r="E108" s="388"/>
    </row>
    <row r="109" spans="1:106" x14ac:dyDescent="0.3">
      <c r="A109" s="376"/>
      <c r="B109" s="454" t="s">
        <v>824</v>
      </c>
      <c r="C109" s="454">
        <v>2</v>
      </c>
      <c r="D109" s="372"/>
      <c r="E109" s="388"/>
    </row>
    <row r="110" spans="1:106" x14ac:dyDescent="0.3">
      <c r="A110" s="376"/>
      <c r="B110" s="454" t="s">
        <v>825</v>
      </c>
      <c r="C110" s="454">
        <v>1</v>
      </c>
      <c r="D110" s="372"/>
      <c r="E110" s="388"/>
    </row>
    <row r="111" spans="1:106" x14ac:dyDescent="0.3">
      <c r="A111" s="376"/>
      <c r="B111" s="454" t="s">
        <v>669</v>
      </c>
      <c r="C111" s="454">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54" t="s">
        <v>670</v>
      </c>
      <c r="C115" s="454">
        <v>3</v>
      </c>
      <c r="D115" s="395">
        <f>'9. Inputs-Analysis'!D39</f>
        <v>89.219451744334833</v>
      </c>
      <c r="E115" s="212">
        <f>IF(D115&lt;45,3,IF(D115&lt;60,2,IF(D115&lt;90,1,0)))</f>
        <v>1</v>
      </c>
    </row>
    <row r="116" spans="1:5" x14ac:dyDescent="0.3">
      <c r="A116" s="376"/>
      <c r="B116" s="454" t="s">
        <v>249</v>
      </c>
      <c r="C116" s="454">
        <v>2</v>
      </c>
      <c r="D116" s="372"/>
      <c r="E116" s="390"/>
    </row>
    <row r="117" spans="1:5" x14ac:dyDescent="0.3">
      <c r="A117" s="376"/>
      <c r="B117" s="454" t="s">
        <v>671</v>
      </c>
      <c r="C117" s="454">
        <v>1</v>
      </c>
      <c r="D117" s="372"/>
      <c r="E117" s="390"/>
    </row>
    <row r="118" spans="1:5" x14ac:dyDescent="0.3">
      <c r="A118" s="376"/>
      <c r="B118" s="454" t="s">
        <v>502</v>
      </c>
      <c r="C118" s="454">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54" t="s">
        <v>506</v>
      </c>
      <c r="C122" s="454">
        <v>3</v>
      </c>
      <c r="D122" s="384">
        <f>'9. Inputs-Analysis'!D42</f>
        <v>0.35386478561776608</v>
      </c>
      <c r="E122" s="212">
        <f>IF(D122&gt;100%,3,IF(D122&gt;=51%,2,IF(D122&gt;=31%,1,0)))</f>
        <v>1</v>
      </c>
    </row>
    <row r="123" spans="1:5" x14ac:dyDescent="0.3">
      <c r="A123" s="376"/>
      <c r="B123" s="454" t="s">
        <v>507</v>
      </c>
      <c r="C123" s="454">
        <v>2</v>
      </c>
      <c r="D123" s="372"/>
      <c r="E123" s="390"/>
    </row>
    <row r="124" spans="1:5" x14ac:dyDescent="0.3">
      <c r="A124" s="376"/>
      <c r="B124" s="454" t="s">
        <v>508</v>
      </c>
      <c r="C124" s="454">
        <v>1</v>
      </c>
      <c r="D124" s="372"/>
      <c r="E124" s="390"/>
    </row>
    <row r="125" spans="1:5" x14ac:dyDescent="0.3">
      <c r="A125" s="376"/>
      <c r="B125" s="454" t="s">
        <v>509</v>
      </c>
      <c r="C125" s="454">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54" t="s">
        <v>852</v>
      </c>
      <c r="C130" s="454">
        <v>3</v>
      </c>
      <c r="D130" s="384">
        <f>'9. Inputs-Analysis'!D45</f>
        <v>7.4443631180108563E-2</v>
      </c>
      <c r="E130" s="385">
        <f>IF(D130&gt;5%,3,IF(D130&gt;=3.01%,2,IF(D130&gt;=2%,1,0)))</f>
        <v>3</v>
      </c>
    </row>
    <row r="131" spans="1:106" x14ac:dyDescent="0.3">
      <c r="A131" s="376"/>
      <c r="B131" s="454" t="s">
        <v>773</v>
      </c>
      <c r="C131" s="454">
        <v>2</v>
      </c>
      <c r="D131" s="372"/>
      <c r="E131" s="388"/>
    </row>
    <row r="132" spans="1:106" x14ac:dyDescent="0.3">
      <c r="A132" s="376"/>
      <c r="B132" s="454" t="s">
        <v>950</v>
      </c>
      <c r="C132" s="454">
        <v>1</v>
      </c>
      <c r="D132" s="372"/>
      <c r="E132" s="388"/>
    </row>
    <row r="133" spans="1:106" x14ac:dyDescent="0.3">
      <c r="A133" s="376"/>
      <c r="B133" s="454" t="s">
        <v>678</v>
      </c>
      <c r="C133" s="454">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454" t="s">
        <v>402</v>
      </c>
      <c r="C137" s="454">
        <v>2</v>
      </c>
      <c r="D137" s="369">
        <f>'9. Inputs-Analysis'!D48</f>
        <v>7.7292884750961464E-3</v>
      </c>
      <c r="E137" s="212">
        <f>IF(D137&lt;0,2,IF(D137&gt;0,0,IF(D137=0,1,0)))</f>
        <v>0</v>
      </c>
    </row>
    <row r="138" spans="1:106" x14ac:dyDescent="0.3">
      <c r="A138" s="376"/>
      <c r="B138" s="454" t="s">
        <v>978</v>
      </c>
      <c r="C138" s="454">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23</v>
      </c>
    </row>
    <row r="142" spans="1:106" s="37" customFormat="1" ht="15.75" customHeight="1" thickBot="1" x14ac:dyDescent="0.35">
      <c r="A142" s="396" t="s">
        <v>409</v>
      </c>
      <c r="B142" s="397"/>
      <c r="C142" s="1013">
        <f>E141/C141</f>
        <v>0.38333333333333336</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8"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B142"/>
  <sheetViews>
    <sheetView view="pageBreakPreview" topLeftCell="A87" zoomScaleNormal="90" zoomScaleSheetLayoutView="100" zoomScalePageLayoutView="90" workbookViewId="0">
      <selection activeCell="E100" sqref="E100"/>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0.36666666666666664</v>
      </c>
      <c r="U6" s="402">
        <f>1-T6</f>
        <v>0.6333333333333333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54" t="s">
        <v>229</v>
      </c>
      <c r="C19" s="454">
        <v>7</v>
      </c>
      <c r="D19" s="369">
        <f>'9. Inputs-Analysis'!D4</f>
        <v>3.9252586061418495</v>
      </c>
      <c r="E19" s="370">
        <f>IF(D19&lt;0,0,IF(D19&lt;1,7,IF(D19&lt;=1.49,6,IF(D19&lt;=1.99,5,IF(D19&lt;=2.49,4,IF(D19&lt;=3,3,IF(D19&lt;=4.5,2,0)))))))</f>
        <v>2</v>
      </c>
    </row>
    <row r="20" spans="1:5" x14ac:dyDescent="0.3">
      <c r="A20" s="371"/>
      <c r="B20" s="454" t="s">
        <v>476</v>
      </c>
      <c r="C20" s="454">
        <v>6</v>
      </c>
      <c r="D20" s="372"/>
      <c r="E20" s="373"/>
    </row>
    <row r="21" spans="1:5" x14ac:dyDescent="0.3">
      <c r="A21" s="371"/>
      <c r="B21" s="454" t="s">
        <v>477</v>
      </c>
      <c r="C21" s="454">
        <v>5</v>
      </c>
      <c r="D21" s="372"/>
      <c r="E21" s="373"/>
    </row>
    <row r="22" spans="1:5" x14ac:dyDescent="0.3">
      <c r="A22" s="371"/>
      <c r="B22" s="454" t="s">
        <v>478</v>
      </c>
      <c r="C22" s="454">
        <v>4</v>
      </c>
      <c r="D22" s="372"/>
      <c r="E22" s="373"/>
    </row>
    <row r="23" spans="1:5" x14ac:dyDescent="0.3">
      <c r="A23" s="371"/>
      <c r="B23" s="454" t="s">
        <v>479</v>
      </c>
      <c r="C23" s="454">
        <v>3</v>
      </c>
      <c r="D23" s="372"/>
      <c r="E23" s="373"/>
    </row>
    <row r="24" spans="1:5" x14ac:dyDescent="0.3">
      <c r="A24" s="371"/>
      <c r="B24" s="454" t="s">
        <v>480</v>
      </c>
      <c r="C24" s="454">
        <v>2</v>
      </c>
      <c r="D24" s="372"/>
      <c r="E24" s="373"/>
    </row>
    <row r="25" spans="1:5" x14ac:dyDescent="0.3">
      <c r="A25" s="371"/>
      <c r="B25" s="454" t="s">
        <v>481</v>
      </c>
      <c r="C25" s="454">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54" t="s">
        <v>462</v>
      </c>
      <c r="C29" s="454">
        <v>3</v>
      </c>
      <c r="D29" s="369">
        <f>'9. Inputs-Analysis'!D7</f>
        <v>0.78528910732277912</v>
      </c>
      <c r="E29" s="374">
        <f>IF(D29&lt;0,0,IF(D29&lt;0.25,3,IF(D29&lt;=0.74,2,IF(D29&lt;=0.99,1,0))))</f>
        <v>1</v>
      </c>
    </row>
    <row r="30" spans="1:5" x14ac:dyDescent="0.3">
      <c r="A30" s="367"/>
      <c r="B30" s="454" t="s">
        <v>482</v>
      </c>
      <c r="C30" s="454">
        <v>2</v>
      </c>
      <c r="D30" s="372"/>
      <c r="E30" s="375"/>
    </row>
    <row r="31" spans="1:5" x14ac:dyDescent="0.3">
      <c r="A31" s="371"/>
      <c r="B31" s="454" t="s">
        <v>483</v>
      </c>
      <c r="C31" s="454">
        <v>1</v>
      </c>
      <c r="D31" s="372"/>
      <c r="E31" s="375"/>
    </row>
    <row r="32" spans="1:5" x14ac:dyDescent="0.3">
      <c r="A32" s="371"/>
      <c r="B32" s="454" t="s">
        <v>463</v>
      </c>
      <c r="C32" s="454">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54" t="s">
        <v>465</v>
      </c>
      <c r="C37" s="454">
        <v>7</v>
      </c>
      <c r="D37" s="369">
        <f>'9. Inputs-Analysis'!D11</f>
        <v>1.040552151554528</v>
      </c>
      <c r="E37" s="370">
        <f>IF(D37&gt;2,7,IF(D37&gt;=1.51,6,IF(D37&gt;=1.01,5,IF(D37&gt;=0.51,2,0))))</f>
        <v>5</v>
      </c>
    </row>
    <row r="38" spans="1:106" x14ac:dyDescent="0.3">
      <c r="A38" s="367"/>
      <c r="B38" s="454" t="s">
        <v>466</v>
      </c>
      <c r="C38" s="454">
        <v>6</v>
      </c>
      <c r="D38" s="379"/>
      <c r="E38" s="373"/>
    </row>
    <row r="39" spans="1:106" x14ac:dyDescent="0.3">
      <c r="A39" s="376"/>
      <c r="B39" s="454" t="s">
        <v>484</v>
      </c>
      <c r="C39" s="454">
        <v>5</v>
      </c>
      <c r="D39" s="372"/>
      <c r="E39" s="373"/>
    </row>
    <row r="40" spans="1:106" x14ac:dyDescent="0.3">
      <c r="A40" s="376"/>
      <c r="B40" s="454" t="s">
        <v>485</v>
      </c>
      <c r="C40" s="454">
        <v>2</v>
      </c>
      <c r="D40" s="372"/>
      <c r="E40" s="373"/>
    </row>
    <row r="41" spans="1:106" x14ac:dyDescent="0.3">
      <c r="A41" s="376"/>
      <c r="B41" s="454" t="s">
        <v>486</v>
      </c>
      <c r="C41" s="454">
        <v>0</v>
      </c>
      <c r="D41" s="372"/>
      <c r="E41" s="373"/>
    </row>
    <row r="42" spans="1:106" x14ac:dyDescent="0.3">
      <c r="A42" s="376"/>
      <c r="B42" s="368"/>
      <c r="C42" s="368"/>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454" t="s">
        <v>487</v>
      </c>
      <c r="C45" s="454">
        <v>3</v>
      </c>
      <c r="D45" s="369">
        <f>'9. Inputs-Analysis'!D10</f>
        <v>6.1472340974284764E-3</v>
      </c>
      <c r="E45" s="374">
        <f>IF(D45&gt;0.2,3,IF(D45&gt;=0.11,2,IF(D45&gt;=0.06,1,0)))</f>
        <v>0</v>
      </c>
    </row>
    <row r="46" spans="1:106" x14ac:dyDescent="0.3">
      <c r="A46" s="367"/>
      <c r="B46" s="454" t="s">
        <v>234</v>
      </c>
      <c r="C46" s="454">
        <v>2</v>
      </c>
      <c r="D46" s="372"/>
      <c r="E46" s="375"/>
    </row>
    <row r="47" spans="1:106" x14ac:dyDescent="0.3">
      <c r="A47" s="367"/>
      <c r="B47" s="454" t="s">
        <v>235</v>
      </c>
      <c r="C47" s="454">
        <v>1</v>
      </c>
      <c r="D47" s="372"/>
      <c r="E47" s="375"/>
    </row>
    <row r="48" spans="1:106" x14ac:dyDescent="0.3">
      <c r="A48" s="367"/>
      <c r="B48" s="454" t="s">
        <v>488</v>
      </c>
      <c r="C48" s="454">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3</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54" t="s">
        <v>675</v>
      </c>
      <c r="C53" s="454">
        <v>5</v>
      </c>
      <c r="D53" s="384">
        <f>'9. Inputs-Analysis'!D15</f>
        <v>5.4896988386267581E-2</v>
      </c>
      <c r="E53" s="385">
        <f>IF(D53&gt;8%,5,IF(D53&gt;=6.01%,4,IF(D53&gt;=4.01%,3,IF(D53&gt;=2.01%,2,IF(D53&gt;=1.01%,1,0)))))</f>
        <v>3</v>
      </c>
    </row>
    <row r="54" spans="1:106" x14ac:dyDescent="0.3">
      <c r="A54" s="386"/>
      <c r="B54" s="454" t="s">
        <v>490</v>
      </c>
      <c r="C54" s="454">
        <v>4</v>
      </c>
      <c r="D54" s="387"/>
      <c r="E54" s="388"/>
    </row>
    <row r="55" spans="1:106" x14ac:dyDescent="0.3">
      <c r="A55" s="386"/>
      <c r="B55" s="454" t="s">
        <v>491</v>
      </c>
      <c r="C55" s="454">
        <v>3</v>
      </c>
      <c r="D55" s="372"/>
      <c r="E55" s="388"/>
    </row>
    <row r="56" spans="1:106" x14ac:dyDescent="0.3">
      <c r="A56" s="386"/>
      <c r="B56" s="454" t="s">
        <v>492</v>
      </c>
      <c r="C56" s="454">
        <v>2</v>
      </c>
      <c r="D56" s="372"/>
      <c r="E56" s="388"/>
    </row>
    <row r="57" spans="1:106" x14ac:dyDescent="0.3">
      <c r="A57" s="376"/>
      <c r="B57" s="454" t="s">
        <v>688</v>
      </c>
      <c r="C57" s="454">
        <v>1</v>
      </c>
      <c r="D57" s="372"/>
      <c r="E57" s="388"/>
    </row>
    <row r="58" spans="1:106" x14ac:dyDescent="0.3">
      <c r="A58" s="376"/>
      <c r="B58" s="454" t="s">
        <v>646</v>
      </c>
      <c r="C58" s="454">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54" t="s">
        <v>467</v>
      </c>
      <c r="C62" s="454">
        <v>3</v>
      </c>
      <c r="D62" s="384">
        <f>'9. Inputs-Analysis'!D18</f>
        <v>1.9426111026367571E-2</v>
      </c>
      <c r="E62" s="212">
        <f>IF(D62&gt;4.5%,3,IF(D62&gt;=3.01%,2,IF(D62&gt;=2.01%,1,0)))</f>
        <v>0</v>
      </c>
    </row>
    <row r="63" spans="1:106" x14ac:dyDescent="0.3">
      <c r="A63" s="386"/>
      <c r="B63" s="454" t="s">
        <v>468</v>
      </c>
      <c r="C63" s="454">
        <v>2</v>
      </c>
      <c r="D63" s="389"/>
      <c r="E63" s="390"/>
    </row>
    <row r="64" spans="1:106" x14ac:dyDescent="0.3">
      <c r="A64" s="386"/>
      <c r="B64" s="454" t="s">
        <v>494</v>
      </c>
      <c r="C64" s="454">
        <v>1</v>
      </c>
      <c r="D64" s="389"/>
      <c r="E64" s="390"/>
    </row>
    <row r="65" spans="1:106" x14ac:dyDescent="0.3">
      <c r="A65" s="386"/>
      <c r="B65" s="454" t="s">
        <v>495</v>
      </c>
      <c r="C65" s="454">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54" t="s">
        <v>722</v>
      </c>
      <c r="C69" s="454">
        <v>2</v>
      </c>
      <c r="D69" s="392">
        <f>'9. Inputs-Analysis'!D21</f>
        <v>4.652054000911502E-2</v>
      </c>
      <c r="E69" s="212">
        <f>IF(D69&gt;8%,2,IF(D69&gt;=5.01%,1,0))</f>
        <v>0</v>
      </c>
    </row>
    <row r="70" spans="1:106" x14ac:dyDescent="0.3">
      <c r="A70" s="391"/>
      <c r="B70" s="454" t="s">
        <v>723</v>
      </c>
      <c r="C70" s="454">
        <v>1</v>
      </c>
      <c r="D70" s="372"/>
      <c r="E70" s="390"/>
    </row>
    <row r="71" spans="1:106" x14ac:dyDescent="0.3">
      <c r="A71" s="376"/>
      <c r="B71" s="454" t="s">
        <v>724</v>
      </c>
      <c r="C71" s="454">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6</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54" t="s">
        <v>425</v>
      </c>
      <c r="C76" s="454">
        <v>3</v>
      </c>
      <c r="D76" s="369">
        <f>'9. Inputs-Analysis'!D24</f>
        <v>2.1640484041893577</v>
      </c>
      <c r="E76" s="370">
        <f>IF(D76&gt;4,3,IF(D76&gt;=3.01,2,IF(D76&gt;=1.01,1,0)))</f>
        <v>1</v>
      </c>
    </row>
    <row r="77" spans="1:106" x14ac:dyDescent="0.3">
      <c r="A77" s="376"/>
      <c r="B77" s="454" t="s">
        <v>725</v>
      </c>
      <c r="C77" s="454">
        <v>2</v>
      </c>
      <c r="D77" s="218"/>
      <c r="E77" s="373"/>
    </row>
    <row r="78" spans="1:106" x14ac:dyDescent="0.3">
      <c r="A78" s="376"/>
      <c r="B78" s="454" t="s">
        <v>653</v>
      </c>
      <c r="C78" s="454">
        <v>1</v>
      </c>
      <c r="D78" s="372"/>
      <c r="E78" s="373"/>
    </row>
    <row r="79" spans="1:106" x14ac:dyDescent="0.3">
      <c r="A79" s="376"/>
      <c r="B79" s="454" t="s">
        <v>629</v>
      </c>
      <c r="C79" s="454">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IF(D83&gt;4,5,IF(D83&gt;=3.01,4,IF(D83&gt;=2.01,3,IF(D83&gt;=1,2,IF(D83&gt;=0.5,1,0)))))</f>
        <v>2</v>
      </c>
    </row>
    <row r="84" spans="1:5" x14ac:dyDescent="0.3">
      <c r="A84" s="367"/>
      <c r="B84" s="454" t="s">
        <v>471</v>
      </c>
      <c r="C84" s="454">
        <v>5</v>
      </c>
      <c r="D84" s="372"/>
      <c r="E84" s="375"/>
    </row>
    <row r="85" spans="1:5" x14ac:dyDescent="0.3">
      <c r="A85" s="367"/>
      <c r="B85" s="454" t="s">
        <v>726</v>
      </c>
      <c r="C85" s="454">
        <v>4</v>
      </c>
      <c r="D85" s="372"/>
      <c r="E85" s="375"/>
    </row>
    <row r="86" spans="1:5" x14ac:dyDescent="0.3">
      <c r="A86" s="367"/>
      <c r="B86" s="454" t="s">
        <v>727</v>
      </c>
      <c r="C86" s="454">
        <v>3</v>
      </c>
      <c r="D86" s="372"/>
      <c r="E86" s="375"/>
    </row>
    <row r="87" spans="1:5" x14ac:dyDescent="0.3">
      <c r="A87" s="367"/>
      <c r="B87" s="454" t="s">
        <v>241</v>
      </c>
      <c r="C87" s="454">
        <v>2</v>
      </c>
      <c r="D87" s="372"/>
      <c r="E87" s="375"/>
    </row>
    <row r="88" spans="1:5" x14ac:dyDescent="0.3">
      <c r="A88" s="367"/>
      <c r="B88" s="454" t="s">
        <v>728</v>
      </c>
      <c r="C88" s="454">
        <v>1</v>
      </c>
      <c r="D88" s="372"/>
      <c r="E88" s="375"/>
    </row>
    <row r="89" spans="1:5" x14ac:dyDescent="0.3">
      <c r="A89" s="376"/>
      <c r="B89" s="454" t="s">
        <v>629</v>
      </c>
      <c r="C89" s="454">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54" t="s">
        <v>729</v>
      </c>
      <c r="C93" s="454">
        <v>4</v>
      </c>
      <c r="D93" s="393">
        <f>'9. Inputs-Analysis'!D30</f>
        <v>3.3545581292940753E-2</v>
      </c>
      <c r="E93" s="374">
        <f>IF(D93&gt;0.5,4,IF(D93&gt;=0.3,3,IF(D93&gt;=0.2,2,IF(D93&gt;=-0.15,1,0))))</f>
        <v>1</v>
      </c>
    </row>
    <row r="94" spans="1:5" x14ac:dyDescent="0.3">
      <c r="A94" s="376"/>
      <c r="B94" s="454" t="s">
        <v>730</v>
      </c>
      <c r="C94" s="454">
        <v>3</v>
      </c>
      <c r="D94" s="372"/>
      <c r="E94" s="375"/>
    </row>
    <row r="95" spans="1:5" x14ac:dyDescent="0.3">
      <c r="A95" s="376"/>
      <c r="B95" s="454" t="s">
        <v>731</v>
      </c>
      <c r="C95" s="454">
        <v>2</v>
      </c>
      <c r="D95" s="372"/>
      <c r="E95" s="375"/>
    </row>
    <row r="96" spans="1:5" x14ac:dyDescent="0.3">
      <c r="A96" s="376"/>
      <c r="B96" s="454" t="s">
        <v>732</v>
      </c>
      <c r="C96" s="454">
        <v>1</v>
      </c>
      <c r="D96" s="372"/>
      <c r="E96" s="375"/>
    </row>
    <row r="97" spans="1:106" x14ac:dyDescent="0.3">
      <c r="A97" s="376"/>
      <c r="B97" s="454" t="s">
        <v>733</v>
      </c>
      <c r="C97" s="454">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54" t="s">
        <v>734</v>
      </c>
      <c r="C100" s="454">
        <v>3</v>
      </c>
      <c r="D100" s="394">
        <f>'9. Inputs-Analysis'!D33</f>
        <v>0.76522361031669384</v>
      </c>
      <c r="E100" s="374">
        <f>IF(D100&gt;1.5,3,IF(D100&gt;=0.351,2,IF(D100&gt;-0.2,1,0)))</f>
        <v>2</v>
      </c>
    </row>
    <row r="101" spans="1:106" x14ac:dyDescent="0.3">
      <c r="A101" s="367"/>
      <c r="B101" s="454" t="s">
        <v>735</v>
      </c>
      <c r="C101" s="454">
        <v>2</v>
      </c>
      <c r="D101" s="372"/>
      <c r="E101" s="375"/>
    </row>
    <row r="102" spans="1:106" x14ac:dyDescent="0.3">
      <c r="A102" s="367"/>
      <c r="B102" s="454" t="s">
        <v>736</v>
      </c>
      <c r="C102" s="454">
        <v>0</v>
      </c>
      <c r="D102" s="372"/>
      <c r="E102" s="375"/>
    </row>
    <row r="103" spans="1:106" x14ac:dyDescent="0.3">
      <c r="A103" s="367"/>
      <c r="B103" s="368"/>
      <c r="C103" s="368"/>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54" t="s">
        <v>498</v>
      </c>
      <c r="C107" s="454">
        <v>4</v>
      </c>
      <c r="D107" s="395">
        <f>'9. Inputs-Analysis'!D36</f>
        <v>823.72780049574567</v>
      </c>
      <c r="E107" s="385">
        <f>IF(D107&lt;30,4,IF(D107&lt;=59,3,IF(D107&lt;=74,2,IF(D107&lt;=89,1,0))))</f>
        <v>0</v>
      </c>
    </row>
    <row r="108" spans="1:106" x14ac:dyDescent="0.3">
      <c r="A108" s="376"/>
      <c r="B108" s="454" t="s">
        <v>499</v>
      </c>
      <c r="C108" s="454">
        <v>3</v>
      </c>
      <c r="D108" s="372"/>
      <c r="E108" s="388"/>
    </row>
    <row r="109" spans="1:106" x14ac:dyDescent="0.3">
      <c r="A109" s="376"/>
      <c r="B109" s="454" t="s">
        <v>500</v>
      </c>
      <c r="C109" s="454">
        <v>2</v>
      </c>
      <c r="D109" s="372"/>
      <c r="E109" s="388"/>
    </row>
    <row r="110" spans="1:106" x14ac:dyDescent="0.3">
      <c r="A110" s="376"/>
      <c r="B110" s="454" t="s">
        <v>501</v>
      </c>
      <c r="C110" s="454">
        <v>1</v>
      </c>
      <c r="D110" s="372"/>
      <c r="E110" s="388"/>
    </row>
    <row r="111" spans="1:106" x14ac:dyDescent="0.3">
      <c r="A111" s="376"/>
      <c r="B111" s="454" t="s">
        <v>502</v>
      </c>
      <c r="C111" s="454">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54" t="s">
        <v>806</v>
      </c>
      <c r="C115" s="454">
        <v>3</v>
      </c>
      <c r="D115" s="395">
        <f>'9. Inputs-Analysis'!D39</f>
        <v>89.219451744334833</v>
      </c>
      <c r="E115" s="212">
        <f>IF(D115&lt;60,3,IF(D115&lt;=120,2,IF(D115&lt;=180,1,0)))</f>
        <v>2</v>
      </c>
    </row>
    <row r="116" spans="1:5" x14ac:dyDescent="0.3">
      <c r="A116" s="376"/>
      <c r="B116" s="454" t="s">
        <v>951</v>
      </c>
      <c r="C116" s="454">
        <v>2</v>
      </c>
      <c r="D116" s="372"/>
      <c r="E116" s="390"/>
    </row>
    <row r="117" spans="1:5" x14ac:dyDescent="0.3">
      <c r="A117" s="376"/>
      <c r="B117" s="454" t="s">
        <v>952</v>
      </c>
      <c r="C117" s="454">
        <v>1</v>
      </c>
      <c r="D117" s="372"/>
      <c r="E117" s="390"/>
    </row>
    <row r="118" spans="1:5" x14ac:dyDescent="0.3">
      <c r="A118" s="376"/>
      <c r="B118" s="454" t="s">
        <v>669</v>
      </c>
      <c r="C118" s="454">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54" t="s">
        <v>506</v>
      </c>
      <c r="C122" s="454">
        <v>3</v>
      </c>
      <c r="D122" s="384">
        <f>'9. Inputs-Analysis'!D42</f>
        <v>0.35386478561776608</v>
      </c>
      <c r="E122" s="212">
        <f>IF(D122&gt;100%,3,IF(D122&gt;=51%,2,IF(D122&gt;=31%,1,0)))</f>
        <v>1</v>
      </c>
    </row>
    <row r="123" spans="1:5" x14ac:dyDescent="0.3">
      <c r="A123" s="376"/>
      <c r="B123" s="454" t="s">
        <v>507</v>
      </c>
      <c r="C123" s="454">
        <v>2</v>
      </c>
      <c r="D123" s="372"/>
      <c r="E123" s="390"/>
    </row>
    <row r="124" spans="1:5" x14ac:dyDescent="0.3">
      <c r="A124" s="376"/>
      <c r="B124" s="454" t="s">
        <v>508</v>
      </c>
      <c r="C124" s="454">
        <v>1</v>
      </c>
      <c r="D124" s="372"/>
      <c r="E124" s="390"/>
    </row>
    <row r="125" spans="1:5" x14ac:dyDescent="0.3">
      <c r="A125" s="376"/>
      <c r="B125" s="454" t="s">
        <v>509</v>
      </c>
      <c r="C125" s="454">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54" t="s">
        <v>474</v>
      </c>
      <c r="C130" s="454">
        <v>3</v>
      </c>
      <c r="D130" s="384">
        <f>'9. Inputs-Analysis'!D45</f>
        <v>7.4443631180108563E-2</v>
      </c>
      <c r="E130" s="385">
        <f>IF(D130&gt;10%,3,IF(D130&gt;=3.01%,2,IF(D130&gt;=2.01%,1,0)))</f>
        <v>2</v>
      </c>
    </row>
    <row r="131" spans="1:106" x14ac:dyDescent="0.3">
      <c r="A131" s="376"/>
      <c r="B131" s="454" t="s">
        <v>742</v>
      </c>
      <c r="C131" s="454">
        <v>2</v>
      </c>
      <c r="D131" s="372"/>
      <c r="E131" s="388"/>
    </row>
    <row r="132" spans="1:106" x14ac:dyDescent="0.3">
      <c r="A132" s="376"/>
      <c r="B132" s="454" t="s">
        <v>719</v>
      </c>
      <c r="C132" s="454">
        <v>1</v>
      </c>
      <c r="D132" s="372"/>
      <c r="E132" s="388"/>
    </row>
    <row r="133" spans="1:106" x14ac:dyDescent="0.3">
      <c r="A133" s="376"/>
      <c r="B133" s="454" t="s">
        <v>678</v>
      </c>
      <c r="C133" s="454">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454" t="s">
        <v>402</v>
      </c>
      <c r="C137" s="454">
        <v>2</v>
      </c>
      <c r="D137" s="369">
        <f>'9. Inputs-Analysis'!D48</f>
        <v>7.7292884750961464E-3</v>
      </c>
      <c r="E137" s="212">
        <f>IF(D137&lt;0,2,IF(D137&gt;0,0,IF(D137=0,1,0)))</f>
        <v>0</v>
      </c>
    </row>
    <row r="138" spans="1:106" x14ac:dyDescent="0.3">
      <c r="A138" s="376"/>
      <c r="B138" s="454" t="s">
        <v>978</v>
      </c>
      <c r="C138" s="454">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22</v>
      </c>
    </row>
    <row r="142" spans="1:106" s="37" customFormat="1" ht="15.75" customHeight="1" thickBot="1" x14ac:dyDescent="0.35">
      <c r="A142" s="396" t="s">
        <v>409</v>
      </c>
      <c r="B142" s="397"/>
      <c r="C142" s="1013">
        <f>E141/C141</f>
        <v>0.36666666666666664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7"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B142"/>
  <sheetViews>
    <sheetView view="pageBreakPreview" topLeftCell="A86" zoomScaleNormal="90" zoomScaleSheetLayoutView="100" zoomScalePageLayoutView="90" workbookViewId="0">
      <selection activeCell="H94" sqref="H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v>
      </c>
      <c r="U6" s="402">
        <f>1-T6</f>
        <v>0.6</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54" t="s">
        <v>229</v>
      </c>
      <c r="C19" s="454">
        <v>7</v>
      </c>
      <c r="D19" s="369">
        <f>'9. Inputs-Analysis'!D4</f>
        <v>3.9252586061418495</v>
      </c>
      <c r="E19" s="370">
        <f>IF(D19&lt;=0,0,IF(D19&lt;1,7,IF(D19&lt;=1.49,6,IF(D19&lt;=1.99,5,IF(D19&lt;=2.49,4,IF(D19&lt;=3,3,IF(D19&lt;=4,2,0)))))))</f>
        <v>2</v>
      </c>
    </row>
    <row r="20" spans="1:5" x14ac:dyDescent="0.3">
      <c r="A20" s="371"/>
      <c r="B20" s="454" t="s">
        <v>476</v>
      </c>
      <c r="C20" s="454">
        <v>6</v>
      </c>
      <c r="D20" s="372"/>
      <c r="E20" s="373"/>
    </row>
    <row r="21" spans="1:5" x14ac:dyDescent="0.3">
      <c r="A21" s="371"/>
      <c r="B21" s="454" t="s">
        <v>477</v>
      </c>
      <c r="C21" s="454">
        <v>5</v>
      </c>
      <c r="D21" s="372"/>
      <c r="E21" s="373"/>
    </row>
    <row r="22" spans="1:5" x14ac:dyDescent="0.3">
      <c r="A22" s="371"/>
      <c r="B22" s="454" t="s">
        <v>478</v>
      </c>
      <c r="C22" s="454">
        <v>4</v>
      </c>
      <c r="D22" s="372"/>
      <c r="E22" s="373"/>
    </row>
    <row r="23" spans="1:5" x14ac:dyDescent="0.3">
      <c r="A23" s="371"/>
      <c r="B23" s="454" t="s">
        <v>479</v>
      </c>
      <c r="C23" s="454">
        <v>3</v>
      </c>
      <c r="D23" s="372"/>
      <c r="E23" s="373"/>
    </row>
    <row r="24" spans="1:5" x14ac:dyDescent="0.3">
      <c r="A24" s="371"/>
      <c r="B24" s="454" t="s">
        <v>480</v>
      </c>
      <c r="C24" s="454">
        <v>2</v>
      </c>
      <c r="D24" s="372"/>
      <c r="E24" s="373"/>
    </row>
    <row r="25" spans="1:5" x14ac:dyDescent="0.3">
      <c r="A25" s="371"/>
      <c r="B25" s="454" t="s">
        <v>481</v>
      </c>
      <c r="C25" s="454">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54" t="s">
        <v>679</v>
      </c>
      <c r="C29" s="454">
        <v>3</v>
      </c>
      <c r="D29" s="369">
        <f>'9. Inputs-Analysis'!D7</f>
        <v>0.78528910732277912</v>
      </c>
      <c r="E29" s="374">
        <f>IF(D29&lt;0,0,IF(D29&lt;0.45,3,IF(D29&lt;=0.74,2,IF(D29&lt;=0.99,1,0))))</f>
        <v>1</v>
      </c>
    </row>
    <row r="30" spans="1:5" x14ac:dyDescent="0.3">
      <c r="A30" s="367"/>
      <c r="B30" s="454" t="s">
        <v>680</v>
      </c>
      <c r="C30" s="454">
        <v>2</v>
      </c>
      <c r="D30" s="372"/>
      <c r="E30" s="375"/>
    </row>
    <row r="31" spans="1:5" x14ac:dyDescent="0.3">
      <c r="A31" s="371"/>
      <c r="B31" s="454" t="s">
        <v>483</v>
      </c>
      <c r="C31" s="454">
        <v>1</v>
      </c>
      <c r="D31" s="372"/>
      <c r="E31" s="375"/>
    </row>
    <row r="32" spans="1:5" x14ac:dyDescent="0.3">
      <c r="A32" s="371"/>
      <c r="B32" s="454" t="s">
        <v>463</v>
      </c>
      <c r="C32" s="454">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54" t="s">
        <v>749</v>
      </c>
      <c r="C37" s="454">
        <v>7</v>
      </c>
      <c r="D37" s="369">
        <f>'9. Inputs-Analysis'!D11</f>
        <v>1.040552151554528</v>
      </c>
      <c r="E37" s="370">
        <f>IF(D37&gt;1.5,7,IF(D37&gt;=1.01,6,IF(D37&gt;=0.75,5,IF(D37&gt;=0.51,3,IF(D37&gt;=0.35,2,0)))))</f>
        <v>6</v>
      </c>
    </row>
    <row r="38" spans="1:106" x14ac:dyDescent="0.3">
      <c r="A38" s="367"/>
      <c r="B38" s="454" t="s">
        <v>484</v>
      </c>
      <c r="C38" s="454">
        <v>6</v>
      </c>
      <c r="D38" s="379"/>
      <c r="E38" s="373"/>
    </row>
    <row r="39" spans="1:106" x14ac:dyDescent="0.3">
      <c r="A39" s="376"/>
      <c r="B39" s="454" t="s">
        <v>750</v>
      </c>
      <c r="C39" s="454">
        <v>5</v>
      </c>
      <c r="D39" s="372"/>
      <c r="E39" s="373"/>
    </row>
    <row r="40" spans="1:106" x14ac:dyDescent="0.3">
      <c r="A40" s="376"/>
      <c r="B40" s="454" t="s">
        <v>751</v>
      </c>
      <c r="C40" s="454">
        <v>3</v>
      </c>
      <c r="D40" s="372"/>
      <c r="E40" s="373"/>
    </row>
    <row r="41" spans="1:106" x14ac:dyDescent="0.3">
      <c r="A41" s="376"/>
      <c r="B41" s="454" t="s">
        <v>752</v>
      </c>
      <c r="C41" s="454">
        <v>2</v>
      </c>
      <c r="D41" s="372"/>
      <c r="E41" s="373"/>
    </row>
    <row r="42" spans="1:106" x14ac:dyDescent="0.3">
      <c r="A42" s="376"/>
      <c r="B42" s="454" t="s">
        <v>753</v>
      </c>
      <c r="C42" s="454">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54" t="s">
        <v>953</v>
      </c>
      <c r="C45" s="454">
        <v>3</v>
      </c>
      <c r="D45" s="369">
        <f>'9. Inputs-Analysis'!D10</f>
        <v>6.1472340974284764E-3</v>
      </c>
      <c r="E45" s="374">
        <f>IF(D45&gt;0.06,3,IF(D45&gt;=0.03,2,IF(D45&gt;=0.01,1,0)))</f>
        <v>0</v>
      </c>
    </row>
    <row r="46" spans="1:106" x14ac:dyDescent="0.3">
      <c r="A46" s="367"/>
      <c r="B46" s="454" t="s">
        <v>954</v>
      </c>
      <c r="C46" s="454">
        <v>2</v>
      </c>
      <c r="D46" s="372"/>
      <c r="E46" s="375"/>
    </row>
    <row r="47" spans="1:106" x14ac:dyDescent="0.3">
      <c r="A47" s="367"/>
      <c r="B47" s="454" t="s">
        <v>683</v>
      </c>
      <c r="C47" s="454">
        <v>1</v>
      </c>
      <c r="D47" s="372"/>
      <c r="E47" s="375"/>
    </row>
    <row r="48" spans="1:106" x14ac:dyDescent="0.3">
      <c r="A48" s="367"/>
      <c r="B48" s="454" t="s">
        <v>684</v>
      </c>
      <c r="C48" s="454">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54" t="s">
        <v>816</v>
      </c>
      <c r="C53" s="454">
        <v>5</v>
      </c>
      <c r="D53" s="384">
        <f>'9. Inputs-Analysis'!D15</f>
        <v>5.4896988386267581E-2</v>
      </c>
      <c r="E53" s="385">
        <f>IF(D53&gt;6%,5,IF(D53&gt;=5%,4,IF(D53&gt;=4%,3,IF(D53&gt;=3%,2,IF(D53&gt;=1%,1,0)))))</f>
        <v>4</v>
      </c>
    </row>
    <row r="54" spans="1:106" x14ac:dyDescent="0.3">
      <c r="A54" s="386"/>
      <c r="B54" s="454" t="s">
        <v>817</v>
      </c>
      <c r="C54" s="454">
        <v>4</v>
      </c>
      <c r="D54" s="387"/>
      <c r="E54" s="388"/>
    </row>
    <row r="55" spans="1:106" x14ac:dyDescent="0.3">
      <c r="A55" s="386"/>
      <c r="B55" s="454" t="s">
        <v>818</v>
      </c>
      <c r="C55" s="454">
        <v>3</v>
      </c>
      <c r="D55" s="372"/>
      <c r="E55" s="388"/>
    </row>
    <row r="56" spans="1:106" x14ac:dyDescent="0.3">
      <c r="A56" s="386"/>
      <c r="B56" s="454" t="s">
        <v>819</v>
      </c>
      <c r="C56" s="454">
        <v>2</v>
      </c>
      <c r="D56" s="372"/>
      <c r="E56" s="388"/>
    </row>
    <row r="57" spans="1:106" x14ac:dyDescent="0.3">
      <c r="A57" s="376"/>
      <c r="B57" s="454" t="s">
        <v>820</v>
      </c>
      <c r="C57" s="454">
        <v>1</v>
      </c>
      <c r="D57" s="372"/>
      <c r="E57" s="388"/>
    </row>
    <row r="58" spans="1:106" x14ac:dyDescent="0.3">
      <c r="A58" s="376"/>
      <c r="B58" s="454" t="s">
        <v>646</v>
      </c>
      <c r="C58" s="454">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54" t="s">
        <v>467</v>
      </c>
      <c r="C62" s="454">
        <v>3</v>
      </c>
      <c r="D62" s="384">
        <f>'9. Inputs-Analysis'!D18</f>
        <v>1.9426111026367571E-2</v>
      </c>
      <c r="E62" s="212">
        <f>IF(D62&gt;4.5%,3,IF(D62&gt;=3.01%,2,IF(D62&gt;=2.01%,1,0)))</f>
        <v>0</v>
      </c>
    </row>
    <row r="63" spans="1:106" x14ac:dyDescent="0.3">
      <c r="A63" s="386"/>
      <c r="B63" s="454" t="s">
        <v>468</v>
      </c>
      <c r="C63" s="454">
        <v>2</v>
      </c>
      <c r="D63" s="389"/>
      <c r="E63" s="390"/>
    </row>
    <row r="64" spans="1:106" x14ac:dyDescent="0.3">
      <c r="A64" s="386"/>
      <c r="B64" s="454" t="s">
        <v>494</v>
      </c>
      <c r="C64" s="454">
        <v>1</v>
      </c>
      <c r="D64" s="389"/>
      <c r="E64" s="390"/>
    </row>
    <row r="65" spans="1:106" x14ac:dyDescent="0.3">
      <c r="A65" s="386"/>
      <c r="B65" s="454" t="s">
        <v>495</v>
      </c>
      <c r="C65" s="454">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54" t="s">
        <v>722</v>
      </c>
      <c r="C69" s="454">
        <v>2</v>
      </c>
      <c r="D69" s="392">
        <f>'9. Inputs-Analysis'!D21</f>
        <v>4.652054000911502E-2</v>
      </c>
      <c r="E69" s="212">
        <f>IF(D69&gt;8%,2,IF(D69&gt;=5.01%,1,0))</f>
        <v>0</v>
      </c>
    </row>
    <row r="70" spans="1:106" x14ac:dyDescent="0.3">
      <c r="A70" s="391"/>
      <c r="B70" s="454" t="s">
        <v>723</v>
      </c>
      <c r="C70" s="454">
        <v>1</v>
      </c>
      <c r="D70" s="372"/>
      <c r="E70" s="390"/>
    </row>
    <row r="71" spans="1:106" x14ac:dyDescent="0.3">
      <c r="A71" s="376"/>
      <c r="B71" s="454" t="s">
        <v>724</v>
      </c>
      <c r="C71" s="454">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54" t="s">
        <v>778</v>
      </c>
      <c r="C76" s="454">
        <v>3</v>
      </c>
      <c r="D76" s="369">
        <f>'9. Inputs-Analysis'!D24</f>
        <v>2.1640484041893577</v>
      </c>
      <c r="E76" s="370">
        <f>IF(D76&gt;3,3,IF(D76&gt;=2.01,2,IF(D76&gt;=1.01,1,0)))</f>
        <v>2</v>
      </c>
    </row>
    <row r="77" spans="1:106" x14ac:dyDescent="0.3">
      <c r="A77" s="376"/>
      <c r="B77" s="454" t="s">
        <v>779</v>
      </c>
      <c r="C77" s="454">
        <v>2</v>
      </c>
      <c r="D77" s="218"/>
      <c r="E77" s="373"/>
    </row>
    <row r="78" spans="1:106" x14ac:dyDescent="0.3">
      <c r="A78" s="376"/>
      <c r="B78" s="454" t="s">
        <v>780</v>
      </c>
      <c r="C78" s="454">
        <v>1</v>
      </c>
      <c r="D78" s="372"/>
      <c r="E78" s="373"/>
    </row>
    <row r="79" spans="1:106" x14ac:dyDescent="0.3">
      <c r="A79" s="376"/>
      <c r="B79" s="454" t="s">
        <v>629</v>
      </c>
      <c r="C79" s="454">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IF(D83&gt;2.5,5,IF(D83&gt;=2,4,IF(D83&gt;=1.5,3,IF(D83&gt;=1,2,IF(D83&gt;=0.5,1,0)))))</f>
        <v>2</v>
      </c>
    </row>
    <row r="84" spans="1:5" x14ac:dyDescent="0.3">
      <c r="A84" s="367"/>
      <c r="B84" s="454" t="s">
        <v>781</v>
      </c>
      <c r="C84" s="454">
        <v>5</v>
      </c>
      <c r="D84" s="372"/>
      <c r="E84" s="375"/>
    </row>
    <row r="85" spans="1:5" x14ac:dyDescent="0.3">
      <c r="A85" s="367"/>
      <c r="B85" s="454" t="s">
        <v>782</v>
      </c>
      <c r="C85" s="454">
        <v>4</v>
      </c>
      <c r="D85" s="372"/>
      <c r="E85" s="375"/>
    </row>
    <row r="86" spans="1:5" x14ac:dyDescent="0.3">
      <c r="A86" s="367"/>
      <c r="B86" s="454" t="s">
        <v>783</v>
      </c>
      <c r="C86" s="454">
        <v>3</v>
      </c>
      <c r="D86" s="372"/>
      <c r="E86" s="375"/>
    </row>
    <row r="87" spans="1:5" x14ac:dyDescent="0.3">
      <c r="A87" s="367"/>
      <c r="B87" s="454" t="s">
        <v>784</v>
      </c>
      <c r="C87" s="454">
        <v>2</v>
      </c>
      <c r="D87" s="372"/>
      <c r="E87" s="375"/>
    </row>
    <row r="88" spans="1:5" x14ac:dyDescent="0.3">
      <c r="A88" s="367"/>
      <c r="B88" s="454" t="s">
        <v>785</v>
      </c>
      <c r="C88" s="454">
        <v>1</v>
      </c>
      <c r="D88" s="372"/>
      <c r="E88" s="375"/>
    </row>
    <row r="89" spans="1:5" x14ac:dyDescent="0.3">
      <c r="A89" s="376"/>
      <c r="B89" s="454" t="s">
        <v>629</v>
      </c>
      <c r="C89" s="454">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54" t="s">
        <v>842</v>
      </c>
      <c r="C93" s="454">
        <v>4</v>
      </c>
      <c r="D93" s="393">
        <f>'9. Inputs-Analysis'!D30</f>
        <v>3.3545581292940753E-2</v>
      </c>
      <c r="E93" s="374">
        <f>IF(D93&gt;0.2,4,IF(D93&gt;=0.1,3,IF(D93&gt;=0.05,2,IF(D93&gt;=-0.1,1,0))))</f>
        <v>1</v>
      </c>
    </row>
    <row r="94" spans="1:5" x14ac:dyDescent="0.3">
      <c r="A94" s="376"/>
      <c r="B94" s="454" t="s">
        <v>843</v>
      </c>
      <c r="C94" s="454">
        <v>3</v>
      </c>
      <c r="D94" s="372"/>
      <c r="E94" s="375"/>
    </row>
    <row r="95" spans="1:5" x14ac:dyDescent="0.3">
      <c r="A95" s="376"/>
      <c r="B95" s="454" t="s">
        <v>844</v>
      </c>
      <c r="C95" s="454">
        <v>2</v>
      </c>
      <c r="D95" s="372"/>
      <c r="E95" s="375"/>
    </row>
    <row r="96" spans="1:5" x14ac:dyDescent="0.3">
      <c r="A96" s="376"/>
      <c r="B96" s="454" t="s">
        <v>955</v>
      </c>
      <c r="C96" s="454">
        <v>1</v>
      </c>
      <c r="D96" s="372"/>
      <c r="E96" s="375"/>
    </row>
    <row r="97" spans="1:106" x14ac:dyDescent="0.3">
      <c r="A97" s="376"/>
      <c r="B97" s="454" t="s">
        <v>956</v>
      </c>
      <c r="C97" s="454">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54" t="s">
        <v>734</v>
      </c>
      <c r="C100" s="454">
        <v>3</v>
      </c>
      <c r="D100" s="394">
        <f>'9. Inputs-Analysis'!D33</f>
        <v>0.76522361031669384</v>
      </c>
      <c r="E100" s="374">
        <f>IF(D100&gt;1.5,3,IF(D100&gt;=0.51,2,IF(D100&gt;-0.1,1,0)))</f>
        <v>2</v>
      </c>
    </row>
    <row r="101" spans="1:106" x14ac:dyDescent="0.3">
      <c r="A101" s="367"/>
      <c r="B101" s="454" t="s">
        <v>735</v>
      </c>
      <c r="C101" s="454">
        <v>2</v>
      </c>
      <c r="D101" s="372"/>
      <c r="E101" s="375"/>
    </row>
    <row r="102" spans="1:106" x14ac:dyDescent="0.3">
      <c r="A102" s="367"/>
      <c r="B102" s="454" t="s">
        <v>736</v>
      </c>
      <c r="C102" s="454">
        <v>0</v>
      </c>
      <c r="D102" s="372"/>
      <c r="E102" s="375"/>
    </row>
    <row r="103" spans="1:106" x14ac:dyDescent="0.3">
      <c r="A103" s="367"/>
      <c r="B103" s="368"/>
      <c r="C103" s="368"/>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2</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54" t="s">
        <v>957</v>
      </c>
      <c r="C107" s="454">
        <v>4</v>
      </c>
      <c r="D107" s="395">
        <f>'9. Inputs-Analysis'!D36</f>
        <v>823.72780049574567</v>
      </c>
      <c r="E107" s="385">
        <f>IF(D107&lt;60,4,IF(D107&lt;=90,3,IF(D107&lt;=100,2,IF(D107&lt;=120,1,0))))</f>
        <v>0</v>
      </c>
    </row>
    <row r="108" spans="1:106" x14ac:dyDescent="0.3">
      <c r="A108" s="376"/>
      <c r="B108" s="454" t="s">
        <v>958</v>
      </c>
      <c r="C108" s="454">
        <v>3</v>
      </c>
      <c r="D108" s="372"/>
      <c r="E108" s="388"/>
    </row>
    <row r="109" spans="1:106" x14ac:dyDescent="0.3">
      <c r="A109" s="376"/>
      <c r="B109" s="454" t="s">
        <v>959</v>
      </c>
      <c r="C109" s="454">
        <v>2</v>
      </c>
      <c r="D109" s="372"/>
      <c r="E109" s="388"/>
    </row>
    <row r="110" spans="1:106" x14ac:dyDescent="0.3">
      <c r="A110" s="376"/>
      <c r="B110" s="454" t="s">
        <v>960</v>
      </c>
      <c r="C110" s="454">
        <v>1</v>
      </c>
      <c r="D110" s="372"/>
      <c r="E110" s="388"/>
    </row>
    <row r="111" spans="1:106" x14ac:dyDescent="0.3">
      <c r="A111" s="376"/>
      <c r="B111" s="454" t="s">
        <v>961</v>
      </c>
      <c r="C111" s="454">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54" t="s">
        <v>763</v>
      </c>
      <c r="C115" s="454">
        <v>3</v>
      </c>
      <c r="D115" s="395">
        <f>'9. Inputs-Analysis'!D39</f>
        <v>89.219451744334833</v>
      </c>
      <c r="E115" s="212">
        <f>IF(D115&lt;50,3,IF(D115&lt;=60,2,IF(D115&lt;=90,1,0)))</f>
        <v>1</v>
      </c>
    </row>
    <row r="116" spans="1:5" x14ac:dyDescent="0.3">
      <c r="A116" s="376"/>
      <c r="B116" s="454" t="s">
        <v>764</v>
      </c>
      <c r="C116" s="454">
        <v>2</v>
      </c>
      <c r="D116" s="372"/>
      <c r="E116" s="390"/>
    </row>
    <row r="117" spans="1:5" x14ac:dyDescent="0.3">
      <c r="A117" s="376"/>
      <c r="B117" s="454" t="s">
        <v>671</v>
      </c>
      <c r="C117" s="454">
        <v>1</v>
      </c>
      <c r="D117" s="372"/>
      <c r="E117" s="390"/>
    </row>
    <row r="118" spans="1:5" x14ac:dyDescent="0.3">
      <c r="A118" s="376"/>
      <c r="B118" s="454" t="s">
        <v>502</v>
      </c>
      <c r="C118" s="454">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54" t="s">
        <v>506</v>
      </c>
      <c r="C122" s="454">
        <v>3</v>
      </c>
      <c r="D122" s="384">
        <f>'9. Inputs-Analysis'!D42</f>
        <v>0.35386478561776608</v>
      </c>
      <c r="E122" s="212">
        <f>IF(D122&gt;100%,3,IF(D122&gt;=51%,2,IF(D122&gt;=31%,1,0)))</f>
        <v>1</v>
      </c>
    </row>
    <row r="123" spans="1:5" x14ac:dyDescent="0.3">
      <c r="A123" s="376"/>
      <c r="B123" s="454" t="s">
        <v>507</v>
      </c>
      <c r="C123" s="454">
        <v>2</v>
      </c>
      <c r="D123" s="372"/>
      <c r="E123" s="390"/>
    </row>
    <row r="124" spans="1:5" x14ac:dyDescent="0.3">
      <c r="A124" s="376"/>
      <c r="B124" s="454" t="s">
        <v>508</v>
      </c>
      <c r="C124" s="454">
        <v>1</v>
      </c>
      <c r="D124" s="372"/>
      <c r="E124" s="390"/>
    </row>
    <row r="125" spans="1:5" x14ac:dyDescent="0.3">
      <c r="A125" s="376"/>
      <c r="B125" s="454" t="s">
        <v>509</v>
      </c>
      <c r="C125" s="454">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54" t="s">
        <v>793</v>
      </c>
      <c r="C130" s="454">
        <v>3</v>
      </c>
      <c r="D130" s="384">
        <f>'9. Inputs-Analysis'!D45</f>
        <v>7.4443631180108563E-2</v>
      </c>
      <c r="E130" s="385">
        <f>IF(D130&gt;8%,3,IF(D130&gt;=4.01%,2,IF(D130&gt;=2.01%,1,0)))</f>
        <v>2</v>
      </c>
    </row>
    <row r="131" spans="1:106" x14ac:dyDescent="0.3">
      <c r="A131" s="376"/>
      <c r="B131" s="454" t="s">
        <v>676</v>
      </c>
      <c r="C131" s="454">
        <v>2</v>
      </c>
      <c r="D131" s="372"/>
      <c r="E131" s="388"/>
    </row>
    <row r="132" spans="1:106" x14ac:dyDescent="0.3">
      <c r="A132" s="376"/>
      <c r="B132" s="454" t="s">
        <v>677</v>
      </c>
      <c r="C132" s="454">
        <v>1</v>
      </c>
      <c r="D132" s="372"/>
      <c r="E132" s="388"/>
    </row>
    <row r="133" spans="1:106" x14ac:dyDescent="0.3">
      <c r="A133" s="376"/>
      <c r="B133" s="454" t="s">
        <v>678</v>
      </c>
      <c r="C133" s="454">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978</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24</v>
      </c>
    </row>
    <row r="142" spans="1:106" s="37" customFormat="1" ht="15.75" customHeight="1" thickBot="1" x14ac:dyDescent="0.35">
      <c r="A142" s="396" t="s">
        <v>409</v>
      </c>
      <c r="B142" s="397"/>
      <c r="C142" s="1013">
        <f>E141/C141</f>
        <v>0.4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6"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B142"/>
  <sheetViews>
    <sheetView view="pageBreakPreview" topLeftCell="A86"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0.43333333333333335</v>
      </c>
      <c r="U6" s="402">
        <f>1-T6</f>
        <v>0.56666666666666665</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54" t="s">
        <v>962</v>
      </c>
      <c r="C19" s="454">
        <v>7</v>
      </c>
      <c r="D19" s="369">
        <f>'9. Inputs-Analysis'!D4</f>
        <v>3.9252586061418495</v>
      </c>
      <c r="E19" s="370">
        <f>IF(D19&lt;0,0,IF(D19&lt;1.5,7,IF(D19&lt;=1.75,6,IF(D19&lt;=1.99,5,IF(D19&lt;=2.49,4,IF(D19&lt;=2.99,3,IF(D19&lt;=4,2,0)))))))</f>
        <v>2</v>
      </c>
    </row>
    <row r="20" spans="1:5" x14ac:dyDescent="0.3">
      <c r="A20" s="371"/>
      <c r="B20" s="454" t="s">
        <v>963</v>
      </c>
      <c r="C20" s="454">
        <v>6</v>
      </c>
      <c r="D20" s="372"/>
      <c r="E20" s="373"/>
    </row>
    <row r="21" spans="1:5" x14ac:dyDescent="0.3">
      <c r="A21" s="371"/>
      <c r="B21" s="454" t="s">
        <v>964</v>
      </c>
      <c r="C21" s="454">
        <v>5</v>
      </c>
      <c r="D21" s="372"/>
      <c r="E21" s="373"/>
    </row>
    <row r="22" spans="1:5" x14ac:dyDescent="0.3">
      <c r="A22" s="371"/>
      <c r="B22" s="454" t="s">
        <v>478</v>
      </c>
      <c r="C22" s="454">
        <v>4</v>
      </c>
      <c r="D22" s="372"/>
      <c r="E22" s="373"/>
    </row>
    <row r="23" spans="1:5" x14ac:dyDescent="0.3">
      <c r="A23" s="371"/>
      <c r="B23" s="454" t="s">
        <v>479</v>
      </c>
      <c r="C23" s="454">
        <v>3</v>
      </c>
      <c r="D23" s="372"/>
      <c r="E23" s="373"/>
    </row>
    <row r="24" spans="1:5" x14ac:dyDescent="0.3">
      <c r="A24" s="371"/>
      <c r="B24" s="454" t="s">
        <v>480</v>
      </c>
      <c r="C24" s="454">
        <v>2</v>
      </c>
      <c r="D24" s="372"/>
      <c r="E24" s="373"/>
    </row>
    <row r="25" spans="1:5" x14ac:dyDescent="0.3">
      <c r="A25" s="371"/>
      <c r="B25" s="454" t="s">
        <v>481</v>
      </c>
      <c r="C25" s="454">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54" t="s">
        <v>747</v>
      </c>
      <c r="C29" s="454">
        <v>3</v>
      </c>
      <c r="D29" s="369">
        <f>'9. Inputs-Analysis'!D7</f>
        <v>0.78528910732277912</v>
      </c>
      <c r="E29" s="374">
        <f>IF(D29&lt;0,0,IF(D29&lt;0.5,3,IF(D29&lt;=0.74,2,IF(D29&lt;=0.99,1,0))))</f>
        <v>1</v>
      </c>
    </row>
    <row r="30" spans="1:5" x14ac:dyDescent="0.3">
      <c r="A30" s="367"/>
      <c r="B30" s="454" t="s">
        <v>748</v>
      </c>
      <c r="C30" s="454">
        <v>2</v>
      </c>
      <c r="D30" s="372"/>
      <c r="E30" s="375"/>
    </row>
    <row r="31" spans="1:5" x14ac:dyDescent="0.3">
      <c r="A31" s="371"/>
      <c r="B31" s="454" t="s">
        <v>483</v>
      </c>
      <c r="C31" s="454">
        <v>1</v>
      </c>
      <c r="D31" s="372"/>
      <c r="E31" s="375"/>
    </row>
    <row r="32" spans="1:5" x14ac:dyDescent="0.3">
      <c r="A32" s="371"/>
      <c r="B32" s="454" t="s">
        <v>463</v>
      </c>
      <c r="C32" s="454">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54" t="s">
        <v>749</v>
      </c>
      <c r="C37" s="454">
        <v>7</v>
      </c>
      <c r="D37" s="369">
        <f>'9. Inputs-Analysis'!D11</f>
        <v>1.040552151554528</v>
      </c>
      <c r="E37" s="370">
        <f>IF(D37&gt;1.5,7,IF(D37&gt;=1.01,6,IF(D37&gt;=0.75,5,IF(D37&gt;=0.51,3,IF(D37&gt;=0.35,2,0)))))</f>
        <v>6</v>
      </c>
    </row>
    <row r="38" spans="1:106" x14ac:dyDescent="0.3">
      <c r="A38" s="367"/>
      <c r="B38" s="454" t="s">
        <v>484</v>
      </c>
      <c r="C38" s="454">
        <v>6</v>
      </c>
      <c r="D38" s="379"/>
      <c r="E38" s="373"/>
    </row>
    <row r="39" spans="1:106" x14ac:dyDescent="0.3">
      <c r="A39" s="376"/>
      <c r="B39" s="454" t="s">
        <v>750</v>
      </c>
      <c r="C39" s="454">
        <v>5</v>
      </c>
      <c r="D39" s="372"/>
      <c r="E39" s="373"/>
    </row>
    <row r="40" spans="1:106" x14ac:dyDescent="0.3">
      <c r="A40" s="376"/>
      <c r="B40" s="454" t="s">
        <v>751</v>
      </c>
      <c r="C40" s="454">
        <v>3</v>
      </c>
      <c r="D40" s="372"/>
      <c r="E40" s="373"/>
    </row>
    <row r="41" spans="1:106" x14ac:dyDescent="0.3">
      <c r="A41" s="376"/>
      <c r="B41" s="454" t="s">
        <v>752</v>
      </c>
      <c r="C41" s="454">
        <v>2</v>
      </c>
      <c r="D41" s="372"/>
      <c r="E41" s="373"/>
    </row>
    <row r="42" spans="1:106" x14ac:dyDescent="0.3">
      <c r="A42" s="376"/>
      <c r="B42" s="454" t="s">
        <v>753</v>
      </c>
      <c r="C42" s="454">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54" t="s">
        <v>681</v>
      </c>
      <c r="C45" s="454">
        <v>3</v>
      </c>
      <c r="D45" s="369">
        <f>'9. Inputs-Analysis'!D10</f>
        <v>6.1472340974284764E-3</v>
      </c>
      <c r="E45" s="374">
        <f>IF(D45&gt;0.05,3,IF(D45&gt;=0.03,2,IF(D45&gt;=0.01,1,0)))</f>
        <v>0</v>
      </c>
    </row>
    <row r="46" spans="1:106" x14ac:dyDescent="0.3">
      <c r="A46" s="367"/>
      <c r="B46" s="454" t="s">
        <v>682</v>
      </c>
      <c r="C46" s="454">
        <v>2</v>
      </c>
      <c r="D46" s="372"/>
      <c r="E46" s="375"/>
    </row>
    <row r="47" spans="1:106" x14ac:dyDescent="0.3">
      <c r="A47" s="367"/>
      <c r="B47" s="454" t="s">
        <v>683</v>
      </c>
      <c r="C47" s="454">
        <v>1</v>
      </c>
      <c r="D47" s="372"/>
      <c r="E47" s="375"/>
    </row>
    <row r="48" spans="1:106" x14ac:dyDescent="0.3">
      <c r="A48" s="367"/>
      <c r="B48" s="454" t="s">
        <v>684</v>
      </c>
      <c r="C48" s="454">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54" t="s">
        <v>816</v>
      </c>
      <c r="C53" s="454">
        <v>5</v>
      </c>
      <c r="D53" s="384">
        <f>'9. Inputs-Analysis'!D15</f>
        <v>5.4896988386267581E-2</v>
      </c>
      <c r="E53" s="385">
        <f>IF(D53&gt;6%,5,IF(D53&gt;=5%,4,IF(D53&gt;=4%,3,IF(D53&gt;=3%,2,IF(D53&gt;=1%,1,0)))))</f>
        <v>4</v>
      </c>
    </row>
    <row r="54" spans="1:106" x14ac:dyDescent="0.3">
      <c r="A54" s="386"/>
      <c r="B54" s="454" t="s">
        <v>817</v>
      </c>
      <c r="C54" s="454">
        <v>4</v>
      </c>
      <c r="D54" s="387"/>
      <c r="E54" s="388"/>
    </row>
    <row r="55" spans="1:106" x14ac:dyDescent="0.3">
      <c r="A55" s="386"/>
      <c r="B55" s="454" t="s">
        <v>818</v>
      </c>
      <c r="C55" s="454">
        <v>3</v>
      </c>
      <c r="D55" s="372"/>
      <c r="E55" s="388"/>
    </row>
    <row r="56" spans="1:106" x14ac:dyDescent="0.3">
      <c r="A56" s="386"/>
      <c r="B56" s="454" t="s">
        <v>819</v>
      </c>
      <c r="C56" s="454">
        <v>2</v>
      </c>
      <c r="D56" s="372"/>
      <c r="E56" s="388"/>
    </row>
    <row r="57" spans="1:106" x14ac:dyDescent="0.3">
      <c r="A57" s="376"/>
      <c r="B57" s="454" t="s">
        <v>820</v>
      </c>
      <c r="C57" s="454">
        <v>1</v>
      </c>
      <c r="D57" s="372"/>
      <c r="E57" s="388"/>
    </row>
    <row r="58" spans="1:106" x14ac:dyDescent="0.3">
      <c r="A58" s="376"/>
      <c r="B58" s="454" t="s">
        <v>646</v>
      </c>
      <c r="C58" s="454">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54" t="s">
        <v>949</v>
      </c>
      <c r="C62" s="454">
        <v>3</v>
      </c>
      <c r="D62" s="384">
        <f>'9. Inputs-Analysis'!D18</f>
        <v>1.9426111026367571E-2</v>
      </c>
      <c r="E62" s="212">
        <f>IF(D62&gt;4%,3,IF(D62&gt;=3.01%,2,IF(D62&gt;=2.01%,1,0)))</f>
        <v>0</v>
      </c>
    </row>
    <row r="63" spans="1:106" x14ac:dyDescent="0.3">
      <c r="A63" s="386"/>
      <c r="B63" s="454" t="s">
        <v>771</v>
      </c>
      <c r="C63" s="454">
        <v>2</v>
      </c>
      <c r="D63" s="389"/>
      <c r="E63" s="390"/>
    </row>
    <row r="64" spans="1:106" x14ac:dyDescent="0.3">
      <c r="A64" s="386"/>
      <c r="B64" s="454" t="s">
        <v>494</v>
      </c>
      <c r="C64" s="454">
        <v>1</v>
      </c>
      <c r="D64" s="389"/>
      <c r="E64" s="390"/>
    </row>
    <row r="65" spans="1:106" x14ac:dyDescent="0.3">
      <c r="A65" s="386"/>
      <c r="B65" s="454" t="s">
        <v>495</v>
      </c>
      <c r="C65" s="454">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54" t="s">
        <v>722</v>
      </c>
      <c r="C69" s="454">
        <v>2</v>
      </c>
      <c r="D69" s="392">
        <f>'9. Inputs-Analysis'!D21</f>
        <v>4.652054000911502E-2</v>
      </c>
      <c r="E69" s="212">
        <f>IF(D69&gt;8%,2,IF(D69&gt;=5.01%,1,0))</f>
        <v>0</v>
      </c>
    </row>
    <row r="70" spans="1:106" x14ac:dyDescent="0.3">
      <c r="A70" s="391"/>
      <c r="B70" s="454" t="s">
        <v>723</v>
      </c>
      <c r="C70" s="454">
        <v>1</v>
      </c>
      <c r="D70" s="372"/>
      <c r="E70" s="390"/>
    </row>
    <row r="71" spans="1:106" x14ac:dyDescent="0.3">
      <c r="A71" s="376"/>
      <c r="B71" s="454" t="s">
        <v>724</v>
      </c>
      <c r="C71" s="454">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8</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54" t="s">
        <v>692</v>
      </c>
      <c r="C76" s="454">
        <v>3</v>
      </c>
      <c r="D76" s="369">
        <f>'9. Inputs-Analysis'!D24</f>
        <v>2.1640484041893577</v>
      </c>
      <c r="E76" s="370">
        <f>IF(D76&gt;2,3,IF(D76&gt;=1.01,2,IF(D76&gt;=0.5,1,0)))</f>
        <v>3</v>
      </c>
    </row>
    <row r="77" spans="1:106" x14ac:dyDescent="0.3">
      <c r="A77" s="376"/>
      <c r="B77" s="454" t="s">
        <v>965</v>
      </c>
      <c r="C77" s="454">
        <v>2</v>
      </c>
      <c r="D77" s="218"/>
      <c r="E77" s="373"/>
    </row>
    <row r="78" spans="1:106" x14ac:dyDescent="0.3">
      <c r="A78" s="376"/>
      <c r="B78" s="454" t="s">
        <v>966</v>
      </c>
      <c r="C78" s="454">
        <v>1</v>
      </c>
      <c r="D78" s="372"/>
      <c r="E78" s="373"/>
    </row>
    <row r="79" spans="1:106" x14ac:dyDescent="0.3">
      <c r="A79" s="376"/>
      <c r="B79" s="454" t="s">
        <v>967</v>
      </c>
      <c r="C79" s="454">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IF(D83&gt;2.5,5,IF(D83&gt;=2,4,IF(D83&gt;=1.5,3,IF(D83&gt;=1.25,2,IF(D83&gt;=1.01,1,0)))))</f>
        <v>2</v>
      </c>
    </row>
    <row r="84" spans="1:5" x14ac:dyDescent="0.3">
      <c r="A84" s="367"/>
      <c r="B84" s="454" t="s">
        <v>781</v>
      </c>
      <c r="C84" s="454">
        <v>5</v>
      </c>
      <c r="D84" s="372"/>
      <c r="E84" s="375"/>
    </row>
    <row r="85" spans="1:5" x14ac:dyDescent="0.3">
      <c r="A85" s="367"/>
      <c r="B85" s="454" t="s">
        <v>782</v>
      </c>
      <c r="C85" s="454">
        <v>4</v>
      </c>
      <c r="D85" s="372"/>
      <c r="E85" s="375"/>
    </row>
    <row r="86" spans="1:5" x14ac:dyDescent="0.3">
      <c r="A86" s="367"/>
      <c r="B86" s="454" t="s">
        <v>783</v>
      </c>
      <c r="C86" s="454">
        <v>3</v>
      </c>
      <c r="D86" s="372"/>
      <c r="E86" s="375"/>
    </row>
    <row r="87" spans="1:5" x14ac:dyDescent="0.3">
      <c r="A87" s="367"/>
      <c r="B87" s="454" t="s">
        <v>784</v>
      </c>
      <c r="C87" s="454">
        <v>2</v>
      </c>
      <c r="D87" s="372"/>
      <c r="E87" s="375"/>
    </row>
    <row r="88" spans="1:5" x14ac:dyDescent="0.3">
      <c r="A88" s="367"/>
      <c r="B88" s="454" t="s">
        <v>785</v>
      </c>
      <c r="C88" s="454">
        <v>1</v>
      </c>
      <c r="D88" s="372"/>
      <c r="E88" s="375"/>
    </row>
    <row r="89" spans="1:5" x14ac:dyDescent="0.3">
      <c r="A89" s="376"/>
      <c r="B89" s="454" t="s">
        <v>629</v>
      </c>
      <c r="C89" s="454">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54" t="s">
        <v>842</v>
      </c>
      <c r="C93" s="454">
        <v>4</v>
      </c>
      <c r="D93" s="393">
        <f>'9. Inputs-Analysis'!D30</f>
        <v>3.3545581292940753E-2</v>
      </c>
      <c r="E93" s="374">
        <f>IF(D93&gt;0.2,4,IF(D93&gt;=0.1,3,IF(D93&gt;=0.05,2,IF(D93&gt;=-0.1,1,0))))</f>
        <v>1</v>
      </c>
    </row>
    <row r="94" spans="1:5" x14ac:dyDescent="0.3">
      <c r="A94" s="376"/>
      <c r="B94" s="454" t="s">
        <v>843</v>
      </c>
      <c r="C94" s="454">
        <v>3</v>
      </c>
      <c r="D94" s="372"/>
      <c r="E94" s="375"/>
    </row>
    <row r="95" spans="1:5" x14ac:dyDescent="0.3">
      <c r="A95" s="376"/>
      <c r="B95" s="454" t="s">
        <v>844</v>
      </c>
      <c r="C95" s="454">
        <v>2</v>
      </c>
      <c r="D95" s="372"/>
      <c r="E95" s="375"/>
    </row>
    <row r="96" spans="1:5" x14ac:dyDescent="0.3">
      <c r="A96" s="376"/>
      <c r="B96" s="454" t="s">
        <v>955</v>
      </c>
      <c r="C96" s="454">
        <v>1</v>
      </c>
      <c r="D96" s="372"/>
      <c r="E96" s="375"/>
    </row>
    <row r="97" spans="1:106" x14ac:dyDescent="0.3">
      <c r="A97" s="376"/>
      <c r="B97" s="454" t="s">
        <v>733</v>
      </c>
      <c r="C97" s="454">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54" t="s">
        <v>705</v>
      </c>
      <c r="C100" s="454">
        <v>3</v>
      </c>
      <c r="D100" s="394">
        <f>'9. Inputs-Analysis'!D33</f>
        <v>0.76522361031669384</v>
      </c>
      <c r="E100" s="374">
        <f>IF(D100&gt;1,3,IF(D100&gt;=0.5,2,IF(D100&gt;=-0.1,1,0)))</f>
        <v>2</v>
      </c>
    </row>
    <row r="101" spans="1:106" x14ac:dyDescent="0.3">
      <c r="A101" s="367"/>
      <c r="B101" s="454" t="s">
        <v>706</v>
      </c>
      <c r="C101" s="454">
        <v>2</v>
      </c>
      <c r="D101" s="372"/>
      <c r="E101" s="375"/>
    </row>
    <row r="102" spans="1:106" x14ac:dyDescent="0.3">
      <c r="A102" s="367"/>
      <c r="B102" s="454" t="s">
        <v>968</v>
      </c>
      <c r="C102" s="454">
        <v>1</v>
      </c>
      <c r="D102" s="372"/>
      <c r="E102" s="375"/>
    </row>
    <row r="103" spans="1:106" x14ac:dyDescent="0.3">
      <c r="A103" s="367"/>
      <c r="B103" s="454" t="s">
        <v>708</v>
      </c>
      <c r="C103" s="454">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54" t="s">
        <v>806</v>
      </c>
      <c r="C107" s="454">
        <v>4</v>
      </c>
      <c r="D107" s="395">
        <f>'9. Inputs-Analysis'!D36</f>
        <v>823.72780049574567</v>
      </c>
      <c r="E107" s="385">
        <f>IF(D107&lt;60,4,IF(D107&lt;=89,3,IF(D107&lt;=120,2,IF(D107&lt;=150,1,0))))</f>
        <v>0</v>
      </c>
    </row>
    <row r="108" spans="1:106" x14ac:dyDescent="0.3">
      <c r="A108" s="376"/>
      <c r="B108" s="454" t="s">
        <v>807</v>
      </c>
      <c r="C108" s="454">
        <v>3</v>
      </c>
      <c r="D108" s="372"/>
      <c r="E108" s="388"/>
    </row>
    <row r="109" spans="1:106" x14ac:dyDescent="0.3">
      <c r="A109" s="376"/>
      <c r="B109" s="454" t="s">
        <v>791</v>
      </c>
      <c r="C109" s="454">
        <v>2</v>
      </c>
      <c r="D109" s="372"/>
      <c r="E109" s="388"/>
    </row>
    <row r="110" spans="1:106" x14ac:dyDescent="0.3">
      <c r="A110" s="376"/>
      <c r="B110" s="454" t="s">
        <v>808</v>
      </c>
      <c r="C110" s="454">
        <v>1</v>
      </c>
      <c r="D110" s="372"/>
      <c r="E110" s="388"/>
    </row>
    <row r="111" spans="1:106" x14ac:dyDescent="0.3">
      <c r="A111" s="376"/>
      <c r="B111" s="454" t="s">
        <v>717</v>
      </c>
      <c r="C111" s="454">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54" t="s">
        <v>670</v>
      </c>
      <c r="C115" s="454">
        <v>3</v>
      </c>
      <c r="D115" s="395">
        <f>'9. Inputs-Analysis'!D39</f>
        <v>89.219451744334833</v>
      </c>
      <c r="E115" s="212">
        <f>IF(D115&lt;45,3,IF(D115&lt;=60,2,IF(D115&lt;=90,1,0)))</f>
        <v>1</v>
      </c>
    </row>
    <row r="116" spans="1:5" x14ac:dyDescent="0.3">
      <c r="A116" s="376"/>
      <c r="B116" s="454" t="s">
        <v>249</v>
      </c>
      <c r="C116" s="454">
        <v>2</v>
      </c>
      <c r="D116" s="372"/>
      <c r="E116" s="390"/>
    </row>
    <row r="117" spans="1:5" x14ac:dyDescent="0.3">
      <c r="A117" s="376"/>
      <c r="B117" s="454" t="s">
        <v>671</v>
      </c>
      <c r="C117" s="454">
        <v>1</v>
      </c>
      <c r="D117" s="372"/>
      <c r="E117" s="390"/>
    </row>
    <row r="118" spans="1:5" x14ac:dyDescent="0.3">
      <c r="A118" s="376"/>
      <c r="B118" s="454" t="s">
        <v>502</v>
      </c>
      <c r="C118" s="454">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54" t="s">
        <v>765</v>
      </c>
      <c r="C122" s="454">
        <v>3</v>
      </c>
      <c r="D122" s="384">
        <f>'9. Inputs-Analysis'!D42</f>
        <v>0.35386478561776608</v>
      </c>
      <c r="E122" s="212">
        <f>IF(D122&gt;50%,3,IF(D122&gt;=20%,2,IF(D122&gt;=10%,1,0)))</f>
        <v>2</v>
      </c>
    </row>
    <row r="123" spans="1:5" x14ac:dyDescent="0.3">
      <c r="A123" s="376"/>
      <c r="B123" s="454" t="s">
        <v>766</v>
      </c>
      <c r="C123" s="454">
        <v>2</v>
      </c>
      <c r="D123" s="372"/>
      <c r="E123" s="390"/>
    </row>
    <row r="124" spans="1:5" x14ac:dyDescent="0.3">
      <c r="A124" s="376"/>
      <c r="B124" s="454" t="s">
        <v>969</v>
      </c>
      <c r="C124" s="454">
        <v>1</v>
      </c>
      <c r="D124" s="372"/>
      <c r="E124" s="390"/>
    </row>
    <row r="125" spans="1:5" x14ac:dyDescent="0.3">
      <c r="A125" s="376"/>
      <c r="B125" s="454" t="s">
        <v>768</v>
      </c>
      <c r="C125" s="454">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54" t="s">
        <v>474</v>
      </c>
      <c r="C130" s="454">
        <v>3</v>
      </c>
      <c r="D130" s="384">
        <f>'9. Inputs-Analysis'!D45</f>
        <v>7.4443631180108563E-2</v>
      </c>
      <c r="E130" s="385">
        <f>IF(D130&gt;10%,3,IF(D130&gt;=5.01%,2,IF(D130&gt;=2.01%,1,0)))</f>
        <v>2</v>
      </c>
    </row>
    <row r="131" spans="1:106" x14ac:dyDescent="0.3">
      <c r="A131" s="376"/>
      <c r="B131" s="454" t="s">
        <v>777</v>
      </c>
      <c r="C131" s="454">
        <v>2</v>
      </c>
      <c r="D131" s="372"/>
      <c r="E131" s="388"/>
    </row>
    <row r="132" spans="1:106" x14ac:dyDescent="0.3">
      <c r="A132" s="376"/>
      <c r="B132" s="454" t="s">
        <v>970</v>
      </c>
      <c r="C132" s="454">
        <v>1</v>
      </c>
      <c r="D132" s="372"/>
      <c r="E132" s="388"/>
    </row>
    <row r="133" spans="1:106" x14ac:dyDescent="0.3">
      <c r="A133" s="376"/>
      <c r="B133" s="454" t="s">
        <v>678</v>
      </c>
      <c r="C133" s="454">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978</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26</v>
      </c>
    </row>
    <row r="142" spans="1:106" s="37" customFormat="1" ht="15.75" customHeight="1" thickBot="1" x14ac:dyDescent="0.35">
      <c r="A142" s="396" t="s">
        <v>409</v>
      </c>
      <c r="B142" s="397"/>
      <c r="C142" s="1013">
        <f>E141/C141</f>
        <v>0.43333333333333335</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5"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B142"/>
  <sheetViews>
    <sheetView view="pageBreakPreview" topLeftCell="A83" zoomScaleNormal="90" zoomScaleSheetLayoutView="100" zoomScalePageLayoutView="90" workbookViewId="0">
      <selection activeCell="H96" sqref="H96"/>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0.48333333333333334</v>
      </c>
      <c r="U6" s="402">
        <f>1-T6</f>
        <v>0.51666666666666661</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54" t="s">
        <v>962</v>
      </c>
      <c r="C19" s="454">
        <v>7</v>
      </c>
      <c r="D19" s="369">
        <f>'9. Inputs-Analysis'!D4</f>
        <v>3.9252586061418495</v>
      </c>
      <c r="E19" s="370">
        <f>IF(D19&lt;0,0,IF(D19&lt;1.5,7,IF(D19&lt;=2,6,IF(D19&lt;=2.5,5,IF(D19&lt;=3,4,IF(D19&lt;=4,2,0))))))</f>
        <v>2</v>
      </c>
    </row>
    <row r="20" spans="1:5" x14ac:dyDescent="0.3">
      <c r="A20" s="371"/>
      <c r="B20" s="454" t="s">
        <v>971</v>
      </c>
      <c r="C20" s="454">
        <v>6</v>
      </c>
      <c r="D20" s="372"/>
      <c r="E20" s="373"/>
    </row>
    <row r="21" spans="1:5" x14ac:dyDescent="0.3">
      <c r="A21" s="371"/>
      <c r="B21" s="454" t="s">
        <v>972</v>
      </c>
      <c r="C21" s="454">
        <v>5</v>
      </c>
      <c r="D21" s="372"/>
      <c r="E21" s="373"/>
    </row>
    <row r="22" spans="1:5" x14ac:dyDescent="0.3">
      <c r="A22" s="371"/>
      <c r="B22" s="454" t="s">
        <v>973</v>
      </c>
      <c r="C22" s="454">
        <v>4</v>
      </c>
      <c r="D22" s="372"/>
      <c r="E22" s="373"/>
    </row>
    <row r="23" spans="1:5" x14ac:dyDescent="0.3">
      <c r="A23" s="371"/>
      <c r="B23" s="454" t="s">
        <v>479</v>
      </c>
      <c r="C23" s="454">
        <v>3</v>
      </c>
      <c r="D23" s="372"/>
      <c r="E23" s="373"/>
    </row>
    <row r="24" spans="1:5" x14ac:dyDescent="0.3">
      <c r="A24" s="371"/>
      <c r="B24" s="454" t="s">
        <v>480</v>
      </c>
      <c r="C24" s="454">
        <v>2</v>
      </c>
      <c r="D24" s="372"/>
      <c r="E24" s="373"/>
    </row>
    <row r="25" spans="1:5" x14ac:dyDescent="0.3">
      <c r="A25" s="371"/>
      <c r="B25" s="454" t="s">
        <v>481</v>
      </c>
      <c r="C25" s="454">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54" t="s">
        <v>679</v>
      </c>
      <c r="C29" s="454">
        <v>3</v>
      </c>
      <c r="D29" s="369">
        <f>'9. Inputs-Analysis'!D7</f>
        <v>0.78528910732277912</v>
      </c>
      <c r="E29" s="374">
        <f>IF(D29&lt;0,0,IF(D29&lt;0.45,3,IF(D29&lt;=0.74,2,IF(D29&lt;0.99,1,0))))</f>
        <v>1</v>
      </c>
    </row>
    <row r="30" spans="1:5" x14ac:dyDescent="0.3">
      <c r="A30" s="367"/>
      <c r="B30" s="454" t="s">
        <v>680</v>
      </c>
      <c r="C30" s="454">
        <v>2</v>
      </c>
      <c r="D30" s="372"/>
      <c r="E30" s="375"/>
    </row>
    <row r="31" spans="1:5" x14ac:dyDescent="0.3">
      <c r="A31" s="371"/>
      <c r="B31" s="454" t="s">
        <v>483</v>
      </c>
      <c r="C31" s="454">
        <v>1</v>
      </c>
      <c r="D31" s="372"/>
      <c r="E31" s="375"/>
    </row>
    <row r="32" spans="1:5" x14ac:dyDescent="0.3">
      <c r="A32" s="371"/>
      <c r="B32" s="454" t="s">
        <v>463</v>
      </c>
      <c r="C32" s="454">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4</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54" t="s">
        <v>465</v>
      </c>
      <c r="C37" s="454">
        <v>7</v>
      </c>
      <c r="D37" s="369">
        <f>'9. Inputs-Analysis'!D11</f>
        <v>1.040552151554528</v>
      </c>
      <c r="E37" s="370">
        <f>IF(D37&gt;2,7,IF(D37&gt;=1.71,6,IF(D37&gt;=1.51,5,IF(D37&gt;=1,4,IF(D37&gt;=0.75,3,IF(D37&gt;=0.5,2,0))))))</f>
        <v>4</v>
      </c>
    </row>
    <row r="38" spans="1:106" x14ac:dyDescent="0.3">
      <c r="A38" s="367"/>
      <c r="B38" s="454" t="s">
        <v>466</v>
      </c>
      <c r="C38" s="454">
        <v>6</v>
      </c>
      <c r="D38" s="379"/>
      <c r="E38" s="373"/>
    </row>
    <row r="39" spans="1:106" x14ac:dyDescent="0.3">
      <c r="A39" s="376"/>
      <c r="B39" s="454"/>
      <c r="C39" s="454"/>
      <c r="D39" s="372"/>
      <c r="E39" s="373"/>
    </row>
    <row r="40" spans="1:106" x14ac:dyDescent="0.3">
      <c r="A40" s="376"/>
      <c r="B40" s="454" t="s">
        <v>484</v>
      </c>
      <c r="C40" s="454">
        <v>5</v>
      </c>
      <c r="D40" s="372"/>
      <c r="E40" s="373"/>
    </row>
    <row r="41" spans="1:106" x14ac:dyDescent="0.3">
      <c r="A41" s="376"/>
      <c r="B41" s="454"/>
      <c r="C41" s="454"/>
      <c r="D41" s="372"/>
      <c r="E41" s="373"/>
    </row>
    <row r="42" spans="1:106" x14ac:dyDescent="0.3">
      <c r="A42" s="376"/>
      <c r="B42" s="454" t="s">
        <v>485</v>
      </c>
      <c r="C42" s="454">
        <v>2</v>
      </c>
      <c r="D42" s="372"/>
      <c r="E42" s="373"/>
    </row>
    <row r="43" spans="1:106" x14ac:dyDescent="0.3">
      <c r="A43" s="376"/>
      <c r="B43" s="368" t="s">
        <v>996</v>
      </c>
      <c r="C43" s="368">
        <v>0</v>
      </c>
      <c r="D43" s="372"/>
      <c r="E43" s="373"/>
    </row>
    <row r="44" spans="1:106" x14ac:dyDescent="0.3">
      <c r="A44" s="376"/>
      <c r="B44" s="368"/>
      <c r="C44" s="368"/>
      <c r="D44" s="372"/>
      <c r="E44" s="373"/>
    </row>
    <row r="45" spans="1:106" x14ac:dyDescent="0.3">
      <c r="A45" s="367" t="str">
        <f>'11. Detail Managment Report'!C22</f>
        <v>2. Cash Ratio (Cash)</v>
      </c>
      <c r="B45" s="454" t="s">
        <v>681</v>
      </c>
      <c r="C45" s="454">
        <v>3</v>
      </c>
      <c r="D45" s="369">
        <f>'9. Inputs-Analysis'!D10</f>
        <v>6.1472340974284764E-3</v>
      </c>
      <c r="E45" s="374">
        <f>IF(D45&gt;0.05,3,IF(D45&gt;=0.03,2,IF(D45&gt;=0.01,1,0)))</f>
        <v>0</v>
      </c>
    </row>
    <row r="46" spans="1:106" x14ac:dyDescent="0.3">
      <c r="A46" s="367"/>
      <c r="B46" s="454" t="s">
        <v>682</v>
      </c>
      <c r="C46" s="454">
        <v>2</v>
      </c>
      <c r="D46" s="372"/>
      <c r="E46" s="375"/>
    </row>
    <row r="47" spans="1:106" x14ac:dyDescent="0.3">
      <c r="A47" s="367"/>
      <c r="B47" s="454" t="s">
        <v>683</v>
      </c>
      <c r="C47" s="454">
        <v>1</v>
      </c>
      <c r="D47" s="372"/>
      <c r="E47" s="375"/>
    </row>
    <row r="48" spans="1:106" x14ac:dyDescent="0.3">
      <c r="A48" s="367"/>
      <c r="B48" s="454" t="s">
        <v>684</v>
      </c>
      <c r="C48" s="454">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54" t="s">
        <v>685</v>
      </c>
      <c r="C53" s="454">
        <v>5</v>
      </c>
      <c r="D53" s="384">
        <f>'9. Inputs-Analysis'!D15</f>
        <v>5.4896988386267581E-2</v>
      </c>
      <c r="E53" s="385">
        <f>IF(D53&gt;10%,5,IF(D53&gt;=8.01%,4,IF(D53&gt;=6.01%,3,IF(D53&gt;=4.01%,2,IF(D53&gt;=2.01%,1,0)))))</f>
        <v>2</v>
      </c>
    </row>
    <row r="54" spans="1:106" x14ac:dyDescent="0.3">
      <c r="A54" s="386"/>
      <c r="B54" s="454" t="s">
        <v>686</v>
      </c>
      <c r="C54" s="454">
        <v>4</v>
      </c>
      <c r="D54" s="387"/>
      <c r="E54" s="388"/>
    </row>
    <row r="55" spans="1:106" x14ac:dyDescent="0.3">
      <c r="A55" s="386"/>
      <c r="B55" s="454" t="s">
        <v>490</v>
      </c>
      <c r="C55" s="454">
        <v>3</v>
      </c>
      <c r="D55" s="372"/>
      <c r="E55" s="388"/>
    </row>
    <row r="56" spans="1:106" x14ac:dyDescent="0.3">
      <c r="A56" s="386"/>
      <c r="B56" s="454" t="s">
        <v>491</v>
      </c>
      <c r="C56" s="454">
        <v>2</v>
      </c>
      <c r="D56" s="372"/>
      <c r="E56" s="388"/>
    </row>
    <row r="57" spans="1:106" x14ac:dyDescent="0.3">
      <c r="A57" s="376"/>
      <c r="B57" s="454" t="s">
        <v>492</v>
      </c>
      <c r="C57" s="454">
        <v>1</v>
      </c>
      <c r="D57" s="372"/>
      <c r="E57" s="388"/>
    </row>
    <row r="58" spans="1:106" x14ac:dyDescent="0.3">
      <c r="A58" s="376"/>
      <c r="B58" s="454" t="s">
        <v>493</v>
      </c>
      <c r="C58" s="454">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54" t="s">
        <v>687</v>
      </c>
      <c r="C62" s="454">
        <v>3</v>
      </c>
      <c r="D62" s="384">
        <f>'9. Inputs-Analysis'!D18</f>
        <v>1.9426111026367571E-2</v>
      </c>
      <c r="E62" s="212">
        <f>IF(D62&gt;3%,3,IF(D62&gt;=2.01%,2,IF(D62&gt;=1.01%,1,0)))</f>
        <v>1</v>
      </c>
    </row>
    <row r="63" spans="1:106" x14ac:dyDescent="0.3">
      <c r="A63" s="386"/>
      <c r="B63" s="454" t="s">
        <v>494</v>
      </c>
      <c r="C63" s="454">
        <v>2</v>
      </c>
      <c r="D63" s="389"/>
      <c r="E63" s="390"/>
    </row>
    <row r="64" spans="1:106" x14ac:dyDescent="0.3">
      <c r="A64" s="386"/>
      <c r="B64" s="454" t="s">
        <v>688</v>
      </c>
      <c r="C64" s="454">
        <v>1</v>
      </c>
      <c r="D64" s="389"/>
      <c r="E64" s="390"/>
    </row>
    <row r="65" spans="1:106" x14ac:dyDescent="0.3">
      <c r="A65" s="386"/>
      <c r="B65" s="454" t="s">
        <v>689</v>
      </c>
      <c r="C65" s="454">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54" t="s">
        <v>690</v>
      </c>
      <c r="C69" s="454">
        <v>2</v>
      </c>
      <c r="D69" s="392">
        <f>'9. Inputs-Analysis'!D21</f>
        <v>4.652054000911502E-2</v>
      </c>
      <c r="E69" s="212">
        <f>IF(D69&gt;6%,2,IF(D69&gt;=2.01%,1,0))</f>
        <v>1</v>
      </c>
    </row>
    <row r="70" spans="1:106" x14ac:dyDescent="0.3">
      <c r="A70" s="391"/>
      <c r="B70" s="454" t="s">
        <v>628</v>
      </c>
      <c r="C70" s="454">
        <v>1</v>
      </c>
      <c r="D70" s="372"/>
      <c r="E70" s="390"/>
    </row>
    <row r="71" spans="1:106" x14ac:dyDescent="0.3">
      <c r="A71" s="376"/>
      <c r="B71" s="454" t="s">
        <v>691</v>
      </c>
      <c r="C71" s="454">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11</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54" t="s">
        <v>692</v>
      </c>
      <c r="C76" s="454">
        <v>3</v>
      </c>
      <c r="D76" s="369">
        <f>'9. Inputs-Analysis'!D24</f>
        <v>2.1640484041893577</v>
      </c>
      <c r="E76" s="370">
        <f>IF(D76&gt;2,3,IF(D76&gt;=1.5,2,IF(D76&gt;=1.01,1,0)))</f>
        <v>3</v>
      </c>
    </row>
    <row r="77" spans="1:106" x14ac:dyDescent="0.3">
      <c r="A77" s="376"/>
      <c r="B77" s="454" t="s">
        <v>693</v>
      </c>
      <c r="C77" s="454">
        <v>2</v>
      </c>
      <c r="D77" s="218"/>
      <c r="E77" s="373"/>
    </row>
    <row r="78" spans="1:106" x14ac:dyDescent="0.3">
      <c r="A78" s="376"/>
      <c r="B78" s="454" t="s">
        <v>694</v>
      </c>
      <c r="C78" s="454">
        <v>1</v>
      </c>
      <c r="D78" s="372"/>
      <c r="E78" s="373"/>
    </row>
    <row r="79" spans="1:106" x14ac:dyDescent="0.3">
      <c r="A79" s="376"/>
      <c r="B79" s="454" t="s">
        <v>629</v>
      </c>
      <c r="C79" s="454">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IF(D83&gt;1.5,5,IF(D83&gt;=1,4,IF(D83&gt;=0.75,3,IF(D83&gt;=0.5,2,0))))</f>
        <v>4</v>
      </c>
    </row>
    <row r="84" spans="1:5" x14ac:dyDescent="0.3">
      <c r="A84" s="367"/>
      <c r="B84" s="454" t="s">
        <v>695</v>
      </c>
      <c r="C84" s="454">
        <v>5</v>
      </c>
      <c r="D84" s="372"/>
      <c r="E84" s="375"/>
    </row>
    <row r="85" spans="1:5" x14ac:dyDescent="0.3">
      <c r="A85" s="367"/>
      <c r="B85" s="454" t="s">
        <v>696</v>
      </c>
      <c r="C85" s="454">
        <v>4</v>
      </c>
      <c r="D85" s="372"/>
      <c r="E85" s="375"/>
    </row>
    <row r="86" spans="1:5" x14ac:dyDescent="0.3">
      <c r="A86" s="367"/>
      <c r="B86" s="454" t="s">
        <v>697</v>
      </c>
      <c r="C86" s="454">
        <v>3</v>
      </c>
      <c r="D86" s="372"/>
      <c r="E86" s="375"/>
    </row>
    <row r="87" spans="1:5" x14ac:dyDescent="0.3">
      <c r="A87" s="367"/>
      <c r="B87" s="454" t="s">
        <v>698</v>
      </c>
      <c r="C87" s="454">
        <v>2</v>
      </c>
      <c r="D87" s="372"/>
      <c r="E87" s="375"/>
    </row>
    <row r="88" spans="1:5" x14ac:dyDescent="0.3">
      <c r="A88" s="367"/>
      <c r="B88" s="454" t="s">
        <v>699</v>
      </c>
      <c r="C88" s="454">
        <v>0</v>
      </c>
      <c r="D88" s="372"/>
      <c r="E88" s="375"/>
    </row>
    <row r="89" spans="1:5" x14ac:dyDescent="0.3">
      <c r="A89" s="376"/>
      <c r="B89" s="368"/>
      <c r="C89" s="368"/>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54" t="s">
        <v>700</v>
      </c>
      <c r="C93" s="454">
        <v>4</v>
      </c>
      <c r="D93" s="393">
        <f>'9. Inputs-Analysis'!D30</f>
        <v>3.3545581292940753E-2</v>
      </c>
      <c r="E93" s="374">
        <f>IF(D93&gt;0.1,4,IF(D93&gt;=0.06,3,IF(D93&gt;=0.02,2,IF(D93&gt;=-0.1,1,0))))</f>
        <v>2</v>
      </c>
    </row>
    <row r="94" spans="1:5" x14ac:dyDescent="0.3">
      <c r="A94" s="376"/>
      <c r="B94" s="454" t="s">
        <v>701</v>
      </c>
      <c r="C94" s="454">
        <v>3</v>
      </c>
      <c r="D94" s="372"/>
      <c r="E94" s="375"/>
    </row>
    <row r="95" spans="1:5" x14ac:dyDescent="0.3">
      <c r="A95" s="376"/>
      <c r="B95" s="454" t="s">
        <v>702</v>
      </c>
      <c r="C95" s="454">
        <v>2</v>
      </c>
      <c r="D95" s="372"/>
      <c r="E95" s="375"/>
    </row>
    <row r="96" spans="1:5" x14ac:dyDescent="0.3">
      <c r="A96" s="376"/>
      <c r="B96" s="454" t="s">
        <v>703</v>
      </c>
      <c r="C96" s="454">
        <v>1</v>
      </c>
      <c r="D96" s="372"/>
      <c r="E96" s="375"/>
    </row>
    <row r="97" spans="1:106" x14ac:dyDescent="0.3">
      <c r="A97" s="376"/>
      <c r="B97" s="454" t="s">
        <v>704</v>
      </c>
      <c r="C97" s="454">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54" t="s">
        <v>705</v>
      </c>
      <c r="C100" s="454">
        <v>3</v>
      </c>
      <c r="D100" s="394">
        <f>'9. Inputs-Analysis'!D33</f>
        <v>0.76522361031669384</v>
      </c>
      <c r="E100" s="374">
        <f>IF(D100&gt;1,3,IF(D100&gt;=0.5,2,IF(D100&gt;=-0.15,1,0)))</f>
        <v>2</v>
      </c>
    </row>
    <row r="101" spans="1:106" x14ac:dyDescent="0.3">
      <c r="A101" s="367"/>
      <c r="B101" s="454" t="s">
        <v>706</v>
      </c>
      <c r="C101" s="454">
        <v>2</v>
      </c>
      <c r="D101" s="372"/>
      <c r="E101" s="375"/>
    </row>
    <row r="102" spans="1:106" x14ac:dyDescent="0.3">
      <c r="A102" s="367"/>
      <c r="B102" s="454" t="s">
        <v>707</v>
      </c>
      <c r="C102" s="454">
        <v>1</v>
      </c>
      <c r="D102" s="372"/>
      <c r="E102" s="375"/>
    </row>
    <row r="103" spans="1:106" x14ac:dyDescent="0.3">
      <c r="A103" s="367"/>
      <c r="B103" s="454" t="s">
        <v>708</v>
      </c>
      <c r="C103" s="454">
        <v>0</v>
      </c>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4</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54" t="s">
        <v>709</v>
      </c>
      <c r="C107" s="454">
        <v>4</v>
      </c>
      <c r="D107" s="395">
        <f>'9. Inputs-Analysis'!D36</f>
        <v>823.72780049574567</v>
      </c>
      <c r="E107" s="385">
        <f>IF(D107&lt;180,4,IF(D107&lt;=300,3,IF(D107&lt;=400,2,IF(D107&lt;=480,1,0))))</f>
        <v>0</v>
      </c>
    </row>
    <row r="108" spans="1:106" x14ac:dyDescent="0.3">
      <c r="A108" s="376"/>
      <c r="B108" s="454" t="s">
        <v>710</v>
      </c>
      <c r="C108" s="454">
        <v>3</v>
      </c>
      <c r="D108" s="372"/>
      <c r="E108" s="388"/>
    </row>
    <row r="109" spans="1:106" x14ac:dyDescent="0.3">
      <c r="A109" s="376"/>
      <c r="B109" s="454" t="s">
        <v>711</v>
      </c>
      <c r="C109" s="454">
        <v>2</v>
      </c>
      <c r="D109" s="372"/>
      <c r="E109" s="388"/>
    </row>
    <row r="110" spans="1:106" x14ac:dyDescent="0.3">
      <c r="A110" s="376"/>
      <c r="B110" s="454" t="s">
        <v>712</v>
      </c>
      <c r="C110" s="454">
        <v>1</v>
      </c>
      <c r="D110" s="372"/>
      <c r="E110" s="388"/>
    </row>
    <row r="111" spans="1:106" x14ac:dyDescent="0.3">
      <c r="A111" s="376"/>
      <c r="B111" s="454" t="s">
        <v>713</v>
      </c>
      <c r="C111" s="454">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54" t="s">
        <v>709</v>
      </c>
      <c r="C115" s="454">
        <v>3</v>
      </c>
      <c r="D115" s="395">
        <f>'9. Inputs-Analysis'!D39</f>
        <v>89.219451744334833</v>
      </c>
      <c r="E115" s="212">
        <f>IF(D115&lt;180,3,IF(D115&lt;=270,2,IF(D115&lt;=360,1,0)))</f>
        <v>3</v>
      </c>
    </row>
    <row r="116" spans="1:5" x14ac:dyDescent="0.3">
      <c r="A116" s="376"/>
      <c r="B116" s="454" t="s">
        <v>974</v>
      </c>
      <c r="C116" s="454">
        <v>2</v>
      </c>
      <c r="D116" s="372"/>
      <c r="E116" s="390"/>
    </row>
    <row r="117" spans="1:5" x14ac:dyDescent="0.3">
      <c r="A117" s="376"/>
      <c r="B117" s="454" t="s">
        <v>975</v>
      </c>
      <c r="C117" s="454">
        <v>1</v>
      </c>
      <c r="D117" s="372"/>
      <c r="E117" s="390"/>
    </row>
    <row r="118" spans="1:5" x14ac:dyDescent="0.3">
      <c r="A118" s="376"/>
      <c r="B118" s="454" t="s">
        <v>976</v>
      </c>
      <c r="C118" s="454">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54" t="s">
        <v>709</v>
      </c>
      <c r="C122" s="454">
        <v>3</v>
      </c>
      <c r="D122" s="384">
        <f>'9. Inputs-Analysis'!D42</f>
        <v>0.35386478561776608</v>
      </c>
      <c r="E122" s="212">
        <f>IF(D122&gt;100%,3,IF(D122&gt;=50%,2,IF(D122&gt;=30%,1,0)))</f>
        <v>1</v>
      </c>
    </row>
    <row r="123" spans="1:5" x14ac:dyDescent="0.3">
      <c r="A123" s="376"/>
      <c r="B123" s="454" t="s">
        <v>974</v>
      </c>
      <c r="C123" s="454">
        <v>2</v>
      </c>
      <c r="D123" s="372"/>
      <c r="E123" s="390"/>
    </row>
    <row r="124" spans="1:5" x14ac:dyDescent="0.3">
      <c r="A124" s="376"/>
      <c r="B124" s="454" t="s">
        <v>975</v>
      </c>
      <c r="C124" s="454">
        <v>1</v>
      </c>
      <c r="D124" s="372"/>
      <c r="E124" s="390"/>
    </row>
    <row r="125" spans="1:5" x14ac:dyDescent="0.3">
      <c r="A125" s="376"/>
      <c r="B125" s="454" t="s">
        <v>976</v>
      </c>
      <c r="C125" s="454">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54" t="s">
        <v>718</v>
      </c>
      <c r="C130" s="454">
        <v>3</v>
      </c>
      <c r="D130" s="384">
        <f>'9. Inputs-Analysis'!D45</f>
        <v>7.4443631180108563E-2</v>
      </c>
      <c r="E130" s="385">
        <f>IF(D130&gt;3%,3,IF(D130&gt;=2.01%,2,IF(D130&gt;=1%,1,0)))</f>
        <v>3</v>
      </c>
    </row>
    <row r="131" spans="1:106" x14ac:dyDescent="0.3">
      <c r="A131" s="376"/>
      <c r="B131" s="454" t="s">
        <v>719</v>
      </c>
      <c r="C131" s="454">
        <v>2</v>
      </c>
      <c r="D131" s="372"/>
      <c r="E131" s="388"/>
    </row>
    <row r="132" spans="1:106" x14ac:dyDescent="0.3">
      <c r="A132" s="376"/>
      <c r="B132" s="454" t="s">
        <v>720</v>
      </c>
      <c r="C132" s="454">
        <v>1</v>
      </c>
      <c r="D132" s="372"/>
      <c r="E132" s="388"/>
    </row>
    <row r="133" spans="1:106" x14ac:dyDescent="0.3">
      <c r="A133" s="376"/>
      <c r="B133" s="454" t="s">
        <v>721</v>
      </c>
      <c r="C133" s="454">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368" t="s">
        <v>402</v>
      </c>
      <c r="C137" s="368">
        <v>2</v>
      </c>
      <c r="D137" s="369">
        <f>'9. Inputs-Analysis'!D48</f>
        <v>7.7292884750961464E-3</v>
      </c>
      <c r="E137" s="212">
        <f>IF(D137&lt;0,2,IF(D137&gt;0,0,IF(D137=0,1,0)))</f>
        <v>0</v>
      </c>
    </row>
    <row r="138" spans="1:106" x14ac:dyDescent="0.3">
      <c r="A138" s="376"/>
      <c r="B138" s="368" t="s">
        <v>401</v>
      </c>
      <c r="C138" s="368">
        <v>0</v>
      </c>
      <c r="D138" s="372"/>
      <c r="E138" s="390"/>
    </row>
    <row r="139" spans="1:106" x14ac:dyDescent="0.3">
      <c r="A139" s="376"/>
      <c r="B139" s="368" t="s">
        <v>579</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29</v>
      </c>
    </row>
    <row r="142" spans="1:106" s="37" customFormat="1" ht="15.75" customHeight="1" thickBot="1" x14ac:dyDescent="0.35">
      <c r="A142" s="396" t="s">
        <v>409</v>
      </c>
      <c r="B142" s="397"/>
      <c r="C142" s="1013">
        <f>E141/C141</f>
        <v>0.48333333333333334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4"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933FF"/>
  </sheetPr>
  <dimension ref="A1:DB142"/>
  <sheetViews>
    <sheetView view="pageBreakPreview" topLeftCell="A87"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0.35</v>
      </c>
      <c r="U6" s="402">
        <f>1-T6</f>
        <v>0.65</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41" t="s">
        <v>229</v>
      </c>
      <c r="C19" s="441">
        <v>7</v>
      </c>
      <c r="D19" s="369">
        <f>'9. Inputs-Analysis'!D4</f>
        <v>3.9252586061418495</v>
      </c>
      <c r="E19" s="370">
        <f>IF(D19&lt;0,0,IF(D19&lt;1,7,IF(D19&lt;1.5,6,IF(D19&lt;2,5,IF(D19&lt;2.5,4,IF(D19&lt;3,3,IF(D19&lt;4,2,0)))))))</f>
        <v>2</v>
      </c>
    </row>
    <row r="20" spans="1:5" x14ac:dyDescent="0.3">
      <c r="A20" s="371"/>
      <c r="B20" s="441" t="s">
        <v>476</v>
      </c>
      <c r="C20" s="441">
        <v>6</v>
      </c>
      <c r="D20" s="372"/>
      <c r="E20" s="373"/>
    </row>
    <row r="21" spans="1:5" x14ac:dyDescent="0.3">
      <c r="A21" s="371"/>
      <c r="B21" s="441" t="s">
        <v>477</v>
      </c>
      <c r="C21" s="441">
        <v>5</v>
      </c>
      <c r="D21" s="372"/>
      <c r="E21" s="373"/>
    </row>
    <row r="22" spans="1:5" x14ac:dyDescent="0.3">
      <c r="A22" s="371"/>
      <c r="B22" s="441" t="s">
        <v>478</v>
      </c>
      <c r="C22" s="441">
        <v>4</v>
      </c>
      <c r="D22" s="372"/>
      <c r="E22" s="373"/>
    </row>
    <row r="23" spans="1:5" x14ac:dyDescent="0.3">
      <c r="A23" s="371"/>
      <c r="B23" s="441" t="s">
        <v>479</v>
      </c>
      <c r="C23" s="441">
        <v>3</v>
      </c>
      <c r="D23" s="372"/>
      <c r="E23" s="373"/>
    </row>
    <row r="24" spans="1:5" x14ac:dyDescent="0.3">
      <c r="A24" s="371"/>
      <c r="B24" s="441" t="s">
        <v>480</v>
      </c>
      <c r="C24" s="441">
        <v>2</v>
      </c>
      <c r="D24" s="372"/>
      <c r="E24" s="373"/>
    </row>
    <row r="25" spans="1:5" x14ac:dyDescent="0.3">
      <c r="A25" s="371"/>
      <c r="B25" s="441" t="s">
        <v>481</v>
      </c>
      <c r="C25" s="441">
        <v>0</v>
      </c>
      <c r="D25" s="372"/>
      <c r="E25" s="373"/>
    </row>
    <row r="26" spans="1:5" x14ac:dyDescent="0.3">
      <c r="A26" s="371"/>
      <c r="B26" s="368"/>
      <c r="C26" s="368"/>
      <c r="D26" s="372"/>
      <c r="E26" s="373"/>
    </row>
    <row r="27" spans="1:5" x14ac:dyDescent="0.3">
      <c r="A27" s="371"/>
      <c r="B27" s="368"/>
      <c r="C27" s="368"/>
      <c r="D27" s="372"/>
      <c r="E27" s="373"/>
    </row>
    <row r="28" spans="1:5" x14ac:dyDescent="0.3">
      <c r="A28" s="371"/>
      <c r="B28" s="368"/>
      <c r="C28" s="368"/>
      <c r="D28" s="372"/>
      <c r="E28" s="373"/>
    </row>
    <row r="29" spans="1:5" x14ac:dyDescent="0.3">
      <c r="A29" s="367" t="str">
        <f>'11. Detail Managment Report'!C19</f>
        <v>2. Financial Debt to Total Assets (DTA)</v>
      </c>
      <c r="B29" s="441" t="s">
        <v>462</v>
      </c>
      <c r="C29" s="441">
        <v>3</v>
      </c>
      <c r="D29" s="369">
        <f>'9. Inputs-Analysis'!D7</f>
        <v>0.78528910732277912</v>
      </c>
      <c r="E29" s="374">
        <f>IF(D29&lt;0,0,IF(D29&lt;0.25,3,IF(D29&lt;0.75,2,IF(D29&lt;1,1,0))))</f>
        <v>1</v>
      </c>
    </row>
    <row r="30" spans="1:5" x14ac:dyDescent="0.3">
      <c r="A30" s="367"/>
      <c r="B30" s="441" t="s">
        <v>482</v>
      </c>
      <c r="C30" s="441">
        <v>2</v>
      </c>
      <c r="D30" s="372"/>
      <c r="E30" s="375"/>
    </row>
    <row r="31" spans="1:5" x14ac:dyDescent="0.3">
      <c r="A31" s="371"/>
      <c r="B31" s="441" t="s">
        <v>483</v>
      </c>
      <c r="C31" s="441">
        <v>1</v>
      </c>
      <c r="D31" s="372"/>
      <c r="E31" s="375"/>
    </row>
    <row r="32" spans="1:5" x14ac:dyDescent="0.3">
      <c r="A32" s="371"/>
      <c r="B32" s="441" t="s">
        <v>463</v>
      </c>
      <c r="C32" s="441">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1" t="s">
        <v>465</v>
      </c>
      <c r="C37" s="441">
        <v>7</v>
      </c>
      <c r="D37" s="369">
        <f>'9. Inputs-Analysis'!D11</f>
        <v>1.040552151554528</v>
      </c>
      <c r="E37" s="370">
        <f>IF(D37&gt;=2,7,IF(D37&gt;=1.5,6,IF(D37&gt;=1,5,IF(D37&gt;=0.5,2,0))))</f>
        <v>5</v>
      </c>
    </row>
    <row r="38" spans="1:106" x14ac:dyDescent="0.3">
      <c r="A38" s="367"/>
      <c r="B38" s="441" t="s">
        <v>466</v>
      </c>
      <c r="C38" s="441">
        <v>6</v>
      </c>
      <c r="D38" s="379"/>
      <c r="E38" s="373"/>
    </row>
    <row r="39" spans="1:106" x14ac:dyDescent="0.3">
      <c r="A39" s="376"/>
      <c r="B39" s="441" t="s">
        <v>484</v>
      </c>
      <c r="C39" s="441">
        <v>5</v>
      </c>
      <c r="D39" s="372"/>
      <c r="E39" s="373"/>
    </row>
    <row r="40" spans="1:106" x14ac:dyDescent="0.3">
      <c r="A40" s="376"/>
      <c r="B40" s="441" t="s">
        <v>485</v>
      </c>
      <c r="C40" s="441">
        <v>2</v>
      </c>
      <c r="D40" s="372"/>
      <c r="E40" s="373"/>
    </row>
    <row r="41" spans="1:106" x14ac:dyDescent="0.3">
      <c r="A41" s="376"/>
      <c r="B41" s="441"/>
      <c r="C41" s="441"/>
      <c r="D41" s="372"/>
      <c r="E41" s="373"/>
    </row>
    <row r="42" spans="1:106" x14ac:dyDescent="0.3">
      <c r="A42" s="376"/>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441" t="s">
        <v>487</v>
      </c>
      <c r="C45" s="441">
        <v>3</v>
      </c>
      <c r="D45" s="369">
        <f>'9. Inputs-Analysis'!D10</f>
        <v>6.1472340974284764E-3</v>
      </c>
      <c r="E45" s="374">
        <f>IF(D45&gt;=0.2,3,IF(D45&gt;=0.1,2,IF(D45&gt;=0.01,1,0)))</f>
        <v>0</v>
      </c>
    </row>
    <row r="46" spans="1:106" x14ac:dyDescent="0.3">
      <c r="A46" s="367"/>
      <c r="B46" s="441" t="s">
        <v>234</v>
      </c>
      <c r="C46" s="441">
        <v>2</v>
      </c>
      <c r="D46" s="372"/>
      <c r="E46" s="375"/>
    </row>
    <row r="47" spans="1:106" x14ac:dyDescent="0.3">
      <c r="A47" s="367"/>
      <c r="B47" s="441" t="s">
        <v>235</v>
      </c>
      <c r="C47" s="441">
        <v>1</v>
      </c>
      <c r="D47" s="372"/>
      <c r="E47" s="375"/>
    </row>
    <row r="48" spans="1:106" x14ac:dyDescent="0.3">
      <c r="A48" s="367"/>
      <c r="B48" s="441" t="s">
        <v>488</v>
      </c>
      <c r="C48" s="441">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2</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1" t="s">
        <v>685</v>
      </c>
      <c r="C53" s="441">
        <v>5</v>
      </c>
      <c r="D53" s="384">
        <f>'9. Inputs-Analysis'!D15</f>
        <v>5.4896988386267581E-2</v>
      </c>
      <c r="E53" s="385">
        <f>IF(D53&gt;11%,5,IF(D53&gt;=8%,4,IF(D53&gt;=6%,3,IF(D53&gt;=4%,2,IF(D53&gt;=2%,1,0)))))</f>
        <v>2</v>
      </c>
    </row>
    <row r="54" spans="1:106" x14ac:dyDescent="0.3">
      <c r="A54" s="386"/>
      <c r="B54" s="441" t="s">
        <v>686</v>
      </c>
      <c r="C54" s="441">
        <v>4</v>
      </c>
      <c r="D54" s="387"/>
      <c r="E54" s="388"/>
    </row>
    <row r="55" spans="1:106" x14ac:dyDescent="0.3">
      <c r="A55" s="386"/>
      <c r="B55" s="441" t="s">
        <v>490</v>
      </c>
      <c r="C55" s="441">
        <v>3</v>
      </c>
      <c r="D55" s="372"/>
      <c r="E55" s="388"/>
    </row>
    <row r="56" spans="1:106" x14ac:dyDescent="0.3">
      <c r="A56" s="386"/>
      <c r="B56" s="441" t="s">
        <v>491</v>
      </c>
      <c r="C56" s="441">
        <v>2</v>
      </c>
      <c r="D56" s="372"/>
      <c r="E56" s="388"/>
    </row>
    <row r="57" spans="1:106" x14ac:dyDescent="0.3">
      <c r="A57" s="376"/>
      <c r="B57" s="441" t="s">
        <v>1007</v>
      </c>
      <c r="C57" s="441">
        <v>1</v>
      </c>
      <c r="D57" s="372"/>
      <c r="E57" s="388"/>
    </row>
    <row r="58" spans="1:106" x14ac:dyDescent="0.3">
      <c r="A58" s="376"/>
      <c r="B58" s="441" t="s">
        <v>646</v>
      </c>
      <c r="C58" s="441">
        <v>0</v>
      </c>
      <c r="D58" s="372"/>
      <c r="E58" s="388"/>
    </row>
    <row r="59" spans="1:106" x14ac:dyDescent="0.3">
      <c r="A59" s="376"/>
      <c r="B59" s="368"/>
      <c r="C59" s="368"/>
      <c r="D59" s="372"/>
      <c r="E59" s="388"/>
    </row>
    <row r="60" spans="1:106" x14ac:dyDescent="0.3">
      <c r="A60" s="376"/>
      <c r="B60" s="368"/>
      <c r="C60" s="368"/>
      <c r="D60" s="372"/>
      <c r="E60" s="388"/>
    </row>
    <row r="61" spans="1:106" x14ac:dyDescent="0.3">
      <c r="A61" s="386"/>
      <c r="B61" s="368"/>
      <c r="C61" s="368"/>
      <c r="D61" s="372"/>
      <c r="E61" s="388"/>
    </row>
    <row r="62" spans="1:106" x14ac:dyDescent="0.3">
      <c r="A62" s="367" t="str">
        <f>'11. Detail Managment Report'!C25</f>
        <v>2. Return on Assets (ROA)</v>
      </c>
      <c r="B62" s="441" t="s">
        <v>467</v>
      </c>
      <c r="C62" s="441">
        <v>3</v>
      </c>
      <c r="D62" s="384">
        <f>'9. Inputs-Analysis'!D18</f>
        <v>1.9426111026367571E-2</v>
      </c>
      <c r="E62" s="212">
        <f>IF(D62&gt;=4.5%,3,IF(D62&gt;=3%,2,IF(D62&gt;=2%,1,0)))</f>
        <v>0</v>
      </c>
    </row>
    <row r="63" spans="1:106" x14ac:dyDescent="0.3">
      <c r="A63" s="386"/>
      <c r="B63" s="441" t="s">
        <v>468</v>
      </c>
      <c r="C63" s="441">
        <v>2</v>
      </c>
      <c r="D63" s="389"/>
      <c r="E63" s="390"/>
    </row>
    <row r="64" spans="1:106" x14ac:dyDescent="0.3">
      <c r="A64" s="386"/>
      <c r="B64" s="441" t="s">
        <v>494</v>
      </c>
      <c r="C64" s="441">
        <v>1</v>
      </c>
      <c r="D64" s="389"/>
      <c r="E64" s="390"/>
    </row>
    <row r="65" spans="1:106" x14ac:dyDescent="0.3">
      <c r="A65" s="386"/>
      <c r="B65" s="441" t="s">
        <v>495</v>
      </c>
      <c r="C65" s="441">
        <v>0</v>
      </c>
      <c r="D65" s="372"/>
      <c r="E65" s="390"/>
    </row>
    <row r="66" spans="1:106" x14ac:dyDescent="0.3">
      <c r="A66" s="386"/>
      <c r="B66" s="368"/>
      <c r="C66" s="368"/>
      <c r="D66" s="372"/>
      <c r="E66" s="390"/>
    </row>
    <row r="67" spans="1:106" x14ac:dyDescent="0.3">
      <c r="A67" s="386"/>
      <c r="B67" s="368"/>
      <c r="C67" s="368"/>
      <c r="D67" s="372"/>
      <c r="E67" s="390"/>
    </row>
    <row r="68" spans="1:106" x14ac:dyDescent="0.3">
      <c r="A68" s="386"/>
      <c r="B68" s="368"/>
      <c r="C68" s="368"/>
      <c r="D68" s="372"/>
      <c r="E68" s="390"/>
    </row>
    <row r="69" spans="1:106" ht="28" x14ac:dyDescent="0.3">
      <c r="A69" s="391" t="str">
        <f>'11. Detail Managment Report'!C26</f>
        <v>3. Operating Profit to Operating Assets (OPOA)</v>
      </c>
      <c r="B69" s="441" t="s">
        <v>722</v>
      </c>
      <c r="C69" s="441">
        <v>2</v>
      </c>
      <c r="D69" s="392">
        <f>'9. Inputs-Analysis'!D21</f>
        <v>4.652054000911502E-2</v>
      </c>
      <c r="E69" s="212">
        <f>IF(D69&gt;=8%,2,IF(D69&gt;=5%,1,0))</f>
        <v>0</v>
      </c>
    </row>
    <row r="70" spans="1:106" x14ac:dyDescent="0.3">
      <c r="A70" s="391"/>
      <c r="B70" s="441" t="s">
        <v>723</v>
      </c>
      <c r="C70" s="441">
        <v>1</v>
      </c>
      <c r="D70" s="372"/>
      <c r="E70" s="390"/>
    </row>
    <row r="71" spans="1:106" x14ac:dyDescent="0.3">
      <c r="A71" s="376"/>
      <c r="B71" s="441" t="s">
        <v>724</v>
      </c>
      <c r="C71" s="441">
        <v>0</v>
      </c>
      <c r="D71" s="372"/>
      <c r="E71" s="390"/>
    </row>
    <row r="72" spans="1:106" x14ac:dyDescent="0.3">
      <c r="A72" s="376"/>
      <c r="B72" s="368"/>
      <c r="C72" s="368"/>
      <c r="D72" s="372"/>
      <c r="E72" s="390"/>
    </row>
    <row r="73" spans="1:106" x14ac:dyDescent="0.3">
      <c r="A73" s="376"/>
      <c r="B73" s="368"/>
      <c r="C73" s="368"/>
      <c r="D73" s="372"/>
      <c r="E73" s="390"/>
    </row>
    <row r="74" spans="1:106" x14ac:dyDescent="0.3">
      <c r="A74" s="376"/>
      <c r="B74" s="368"/>
      <c r="C74" s="368"/>
      <c r="D74" s="372"/>
      <c r="E74" s="390"/>
    </row>
    <row r="75" spans="1:106" s="174" customFormat="1" x14ac:dyDescent="0.3">
      <c r="A75" s="364" t="s">
        <v>444</v>
      </c>
      <c r="B75" s="365"/>
      <c r="C75" s="365">
        <v>15</v>
      </c>
      <c r="D75" s="365"/>
      <c r="E75" s="366">
        <f>E76+E83+E93+E100</f>
        <v>5</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1" t="s">
        <v>425</v>
      </c>
      <c r="C76" s="441">
        <v>3</v>
      </c>
      <c r="D76" s="369">
        <f>'9. Inputs-Analysis'!D24</f>
        <v>2.1640484041893577</v>
      </c>
      <c r="E76" s="370">
        <f>IF(D76&gt;=4,3,IF(D76&gt;=3,2,IF(D76&gt;=1,1,0)))</f>
        <v>1</v>
      </c>
    </row>
    <row r="77" spans="1:106" x14ac:dyDescent="0.3">
      <c r="A77" s="376"/>
      <c r="B77" s="441" t="s">
        <v>725</v>
      </c>
      <c r="C77" s="441">
        <v>2</v>
      </c>
      <c r="D77" s="218"/>
      <c r="E77" s="373"/>
    </row>
    <row r="78" spans="1:106" x14ac:dyDescent="0.3">
      <c r="A78" s="376"/>
      <c r="B78" s="441" t="s">
        <v>653</v>
      </c>
      <c r="C78" s="441">
        <v>1</v>
      </c>
      <c r="D78" s="372"/>
      <c r="E78" s="373"/>
    </row>
    <row r="79" spans="1:106" x14ac:dyDescent="0.3">
      <c r="A79" s="376"/>
      <c r="B79" s="441" t="s">
        <v>629</v>
      </c>
      <c r="C79" s="441">
        <v>0</v>
      </c>
      <c r="D79" s="372"/>
      <c r="E79" s="373"/>
    </row>
    <row r="80" spans="1:106" x14ac:dyDescent="0.3">
      <c r="A80" s="376"/>
      <c r="B80" s="368"/>
      <c r="C80" s="368"/>
      <c r="D80" s="372"/>
      <c r="E80" s="373"/>
    </row>
    <row r="81" spans="1:5" x14ac:dyDescent="0.3">
      <c r="A81" s="376"/>
      <c r="B81" s="368"/>
      <c r="C81" s="368"/>
      <c r="D81" s="372"/>
      <c r="E81" s="373"/>
    </row>
    <row r="82" spans="1:5" x14ac:dyDescent="0.3">
      <c r="A82" s="376"/>
      <c r="B82" s="368"/>
      <c r="C82" s="368"/>
      <c r="D82" s="372"/>
      <c r="E82" s="373"/>
    </row>
    <row r="83" spans="1:5" x14ac:dyDescent="0.3">
      <c r="A83" s="367" t="str">
        <f>'11. Detail Managment Report'!C29</f>
        <v>2. Debt Service Coverage Ratio (DSCR)</v>
      </c>
      <c r="B83" s="368"/>
      <c r="C83" s="368"/>
      <c r="D83" s="369">
        <f>'9. Inputs-Analysis'!D27</f>
        <v>1.4160266339747576</v>
      </c>
      <c r="E83" s="374">
        <f>IF(D83&gt;=4,5,IF(D83&gt;=3,4,IF(D83&gt;=2,3,IF(D83&gt;=1.5,2,IF(D83&gt;=0.5,1,0)))))</f>
        <v>1</v>
      </c>
    </row>
    <row r="84" spans="1:5" x14ac:dyDescent="0.3">
      <c r="A84" s="367"/>
      <c r="B84" s="441" t="s">
        <v>471</v>
      </c>
      <c r="C84" s="441">
        <v>5</v>
      </c>
      <c r="D84" s="372"/>
      <c r="E84" s="375"/>
    </row>
    <row r="85" spans="1:5" x14ac:dyDescent="0.3">
      <c r="A85" s="367"/>
      <c r="B85" s="441" t="s">
        <v>726</v>
      </c>
      <c r="C85" s="441">
        <v>4</v>
      </c>
      <c r="D85" s="372"/>
      <c r="E85" s="375"/>
    </row>
    <row r="86" spans="1:5" x14ac:dyDescent="0.3">
      <c r="A86" s="367"/>
      <c r="B86" s="441" t="s">
        <v>727</v>
      </c>
      <c r="C86" s="441">
        <v>3</v>
      </c>
      <c r="D86" s="372"/>
      <c r="E86" s="375"/>
    </row>
    <row r="87" spans="1:5" x14ac:dyDescent="0.3">
      <c r="A87" s="367"/>
      <c r="B87" s="441" t="s">
        <v>241</v>
      </c>
      <c r="C87" s="441">
        <v>2</v>
      </c>
      <c r="D87" s="372"/>
      <c r="E87" s="375"/>
    </row>
    <row r="88" spans="1:5" x14ac:dyDescent="0.3">
      <c r="A88" s="367"/>
      <c r="B88" s="441" t="s">
        <v>728</v>
      </c>
      <c r="C88" s="441">
        <v>1</v>
      </c>
      <c r="D88" s="372"/>
      <c r="E88" s="375"/>
    </row>
    <row r="89" spans="1:5" x14ac:dyDescent="0.3">
      <c r="A89" s="376"/>
      <c r="B89" s="441" t="s">
        <v>629</v>
      </c>
      <c r="C89" s="441">
        <v>0</v>
      </c>
      <c r="D89" s="372"/>
      <c r="E89" s="375"/>
    </row>
    <row r="90" spans="1:5" x14ac:dyDescent="0.3">
      <c r="A90" s="376"/>
      <c r="B90" s="368"/>
      <c r="C90" s="368"/>
      <c r="D90" s="372"/>
      <c r="E90" s="375"/>
    </row>
    <row r="91" spans="1:5" x14ac:dyDescent="0.3">
      <c r="A91" s="376"/>
      <c r="B91" s="368"/>
      <c r="C91" s="368"/>
      <c r="D91" s="372"/>
      <c r="E91" s="375"/>
    </row>
    <row r="92" spans="1:5" x14ac:dyDescent="0.3">
      <c r="A92" s="376"/>
      <c r="B92" s="368"/>
      <c r="C92" s="368"/>
      <c r="D92" s="372"/>
      <c r="E92" s="375"/>
    </row>
    <row r="93" spans="1:5" ht="28" x14ac:dyDescent="0.3">
      <c r="A93" s="367" t="str">
        <f>'11. Detail Managment Report'!C30</f>
        <v>3. Operating Cashflow to Debt Ratio (CDR)</v>
      </c>
      <c r="B93" s="441" t="s">
        <v>729</v>
      </c>
      <c r="C93" s="442">
        <v>4</v>
      </c>
      <c r="D93" s="393">
        <f>'9. Inputs-Analysis'!D30</f>
        <v>3.3545581292940753E-2</v>
      </c>
      <c r="E93" s="374">
        <f>IF(D93&gt;0.5,4,IF(D93&gt;0.35,3,IF(D93&gt;0.25,2,IF(D93&gt;-0.1,1,0))))</f>
        <v>1</v>
      </c>
    </row>
    <row r="94" spans="1:5" x14ac:dyDescent="0.3">
      <c r="A94" s="376"/>
      <c r="B94" s="441" t="s">
        <v>730</v>
      </c>
      <c r="C94" s="442">
        <v>3</v>
      </c>
      <c r="D94" s="372"/>
      <c r="E94" s="375"/>
    </row>
    <row r="95" spans="1:5" x14ac:dyDescent="0.3">
      <c r="A95" s="376"/>
      <c r="B95" s="441" t="s">
        <v>731</v>
      </c>
      <c r="C95" s="442">
        <v>2</v>
      </c>
      <c r="D95" s="372"/>
      <c r="E95" s="375"/>
    </row>
    <row r="96" spans="1:5" x14ac:dyDescent="0.3">
      <c r="A96" s="376"/>
      <c r="B96" s="441" t="s">
        <v>732</v>
      </c>
      <c r="C96" s="442">
        <v>1</v>
      </c>
      <c r="D96" s="372"/>
      <c r="E96" s="375"/>
    </row>
    <row r="97" spans="1:106" x14ac:dyDescent="0.3">
      <c r="A97" s="376"/>
      <c r="B97" s="441" t="s">
        <v>733</v>
      </c>
      <c r="C97" s="442">
        <v>0</v>
      </c>
      <c r="D97" s="372"/>
      <c r="E97" s="375"/>
    </row>
    <row r="98" spans="1:106" x14ac:dyDescent="0.3">
      <c r="A98" s="376"/>
      <c r="B98" s="368"/>
      <c r="C98" s="368"/>
      <c r="D98" s="372"/>
      <c r="E98" s="375"/>
    </row>
    <row r="99" spans="1:106" x14ac:dyDescent="0.3">
      <c r="A99" s="376"/>
      <c r="B99" s="368"/>
      <c r="C99" s="368"/>
      <c r="D99" s="372"/>
      <c r="E99" s="375"/>
    </row>
    <row r="100" spans="1:106" ht="19.5" customHeight="1" x14ac:dyDescent="0.3">
      <c r="A100" s="367" t="str">
        <f>'11. Detail Managment Report'!C31</f>
        <v>4. Cashflow Coverage Ratio (CCR)</v>
      </c>
      <c r="B100" s="441" t="s">
        <v>734</v>
      </c>
      <c r="C100" s="441">
        <v>3</v>
      </c>
      <c r="D100" s="394">
        <f>'9. Inputs-Analysis'!D33</f>
        <v>0.76522361031669384</v>
      </c>
      <c r="E100" s="374">
        <f>IF(D100&gt;=1.5,3,IF(D100&gt;=0.5,2,IF(D100&gt;-0.1,1,0)))</f>
        <v>2</v>
      </c>
    </row>
    <row r="101" spans="1:106" x14ac:dyDescent="0.3">
      <c r="A101" s="367"/>
      <c r="B101" s="441" t="s">
        <v>735</v>
      </c>
      <c r="C101" s="441">
        <v>2</v>
      </c>
      <c r="D101" s="372"/>
      <c r="E101" s="375"/>
    </row>
    <row r="102" spans="1:106" x14ac:dyDescent="0.3">
      <c r="A102" s="367"/>
      <c r="B102" s="441" t="s">
        <v>736</v>
      </c>
      <c r="C102" s="441">
        <v>0</v>
      </c>
      <c r="D102" s="372"/>
      <c r="E102" s="375"/>
    </row>
    <row r="103" spans="1:106" x14ac:dyDescent="0.3">
      <c r="A103" s="367"/>
      <c r="B103" s="441"/>
      <c r="C103" s="441"/>
      <c r="D103" s="372"/>
      <c r="E103" s="375"/>
    </row>
    <row r="104" spans="1:106" x14ac:dyDescent="0.3">
      <c r="A104" s="367"/>
      <c r="B104" s="368"/>
      <c r="C104" s="368"/>
      <c r="D104" s="372"/>
      <c r="E104" s="375"/>
    </row>
    <row r="105" spans="1:106" x14ac:dyDescent="0.3">
      <c r="A105" s="367"/>
      <c r="B105" s="368"/>
      <c r="C105" s="368"/>
      <c r="D105" s="372"/>
      <c r="E105" s="375"/>
    </row>
    <row r="106" spans="1:106" s="174" customFormat="1" x14ac:dyDescent="0.3">
      <c r="A106" s="364" t="s">
        <v>445</v>
      </c>
      <c r="B106" s="365"/>
      <c r="C106" s="365">
        <v>10</v>
      </c>
      <c r="D106" s="365"/>
      <c r="E106" s="366">
        <f>E107+E115+E122</f>
        <v>4</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1" t="s">
        <v>737</v>
      </c>
      <c r="C107" s="441">
        <v>4</v>
      </c>
      <c r="D107" s="395">
        <f>'9. Inputs-Analysis'!D36</f>
        <v>823.72780049574567</v>
      </c>
      <c r="E107" s="385">
        <f>IF(D107&lt;90,4,IF(D107&lt;120,3,IF(D107&lt;150,2,IF(D107&lt;261,1,0))))</f>
        <v>0</v>
      </c>
    </row>
    <row r="108" spans="1:106" x14ac:dyDescent="0.3">
      <c r="A108" s="376"/>
      <c r="B108" s="441" t="s">
        <v>738</v>
      </c>
      <c r="C108" s="441">
        <v>3</v>
      </c>
      <c r="D108" s="372"/>
      <c r="E108" s="388"/>
    </row>
    <row r="109" spans="1:106" x14ac:dyDescent="0.3">
      <c r="A109" s="376"/>
      <c r="B109" s="441" t="s">
        <v>739</v>
      </c>
      <c r="C109" s="441">
        <v>2</v>
      </c>
      <c r="D109" s="372"/>
      <c r="E109" s="388"/>
    </row>
    <row r="110" spans="1:106" x14ac:dyDescent="0.3">
      <c r="A110" s="376"/>
      <c r="B110" s="441" t="s">
        <v>740</v>
      </c>
      <c r="C110" s="441">
        <v>1</v>
      </c>
      <c r="D110" s="372"/>
      <c r="E110" s="388"/>
    </row>
    <row r="111" spans="1:106" x14ac:dyDescent="0.3">
      <c r="A111" s="376"/>
      <c r="B111" s="441" t="s">
        <v>669</v>
      </c>
      <c r="C111" s="441">
        <v>0</v>
      </c>
      <c r="D111" s="372"/>
      <c r="E111" s="388"/>
    </row>
    <row r="112" spans="1:106" x14ac:dyDescent="0.3">
      <c r="A112" s="376"/>
      <c r="B112" s="368"/>
      <c r="C112" s="368"/>
      <c r="D112" s="372"/>
      <c r="E112" s="388"/>
    </row>
    <row r="113" spans="1:5" x14ac:dyDescent="0.3">
      <c r="A113" s="376"/>
      <c r="B113" s="368"/>
      <c r="C113" s="368"/>
      <c r="D113" s="372"/>
      <c r="E113" s="388"/>
    </row>
    <row r="114" spans="1:5" x14ac:dyDescent="0.3">
      <c r="A114" s="376"/>
      <c r="B114" s="368"/>
      <c r="C114" s="368"/>
      <c r="D114" s="372"/>
      <c r="E114" s="388"/>
    </row>
    <row r="115" spans="1:5" ht="28" x14ac:dyDescent="0.3">
      <c r="A115" s="367" t="str">
        <f>'11. Detail Managment Report'!C34</f>
        <v>2. Trade Debtor Collection Days (TDCD)</v>
      </c>
      <c r="B115" s="441" t="s">
        <v>498</v>
      </c>
      <c r="C115" s="441">
        <v>3</v>
      </c>
      <c r="D115" s="395">
        <f>'9. Inputs-Analysis'!D39</f>
        <v>89.219451744334833</v>
      </c>
      <c r="E115" s="212">
        <f>IF(D115&lt;90,3,IF(D115&lt;120,2,IF(D115&lt;180,1,0)))</f>
        <v>3</v>
      </c>
    </row>
    <row r="116" spans="1:5" x14ac:dyDescent="0.3">
      <c r="A116" s="376"/>
      <c r="B116" s="441" t="s">
        <v>741</v>
      </c>
      <c r="C116" s="441">
        <v>2</v>
      </c>
      <c r="D116" s="372"/>
      <c r="E116" s="390"/>
    </row>
    <row r="117" spans="1:5" x14ac:dyDescent="0.3">
      <c r="A117" s="376"/>
      <c r="B117" s="441" t="s">
        <v>671</v>
      </c>
      <c r="C117" s="441">
        <v>1</v>
      </c>
      <c r="D117" s="372"/>
      <c r="E117" s="390"/>
    </row>
    <row r="118" spans="1:5" x14ac:dyDescent="0.3">
      <c r="A118" s="376"/>
      <c r="B118" s="441" t="s">
        <v>502</v>
      </c>
      <c r="C118" s="441">
        <v>0</v>
      </c>
      <c r="D118" s="372"/>
      <c r="E118" s="390"/>
    </row>
    <row r="119" spans="1:5" x14ac:dyDescent="0.3">
      <c r="A119" s="376"/>
      <c r="B119" s="368"/>
      <c r="C119" s="368"/>
      <c r="D119" s="372"/>
      <c r="E119" s="390"/>
    </row>
    <row r="120" spans="1:5" x14ac:dyDescent="0.3">
      <c r="A120" s="376"/>
      <c r="B120" s="368"/>
      <c r="C120" s="368"/>
      <c r="D120" s="372"/>
      <c r="E120" s="390"/>
    </row>
    <row r="121" spans="1:5" x14ac:dyDescent="0.3">
      <c r="A121" s="376"/>
      <c r="B121" s="368"/>
      <c r="C121" s="368"/>
      <c r="D121" s="372"/>
      <c r="E121" s="390"/>
    </row>
    <row r="122" spans="1:5" x14ac:dyDescent="0.3">
      <c r="A122" s="367" t="str">
        <f>'11. Detail Managment Report'!C35</f>
        <v>3. Asset Turnover (AT)</v>
      </c>
      <c r="B122" s="441" t="s">
        <v>506</v>
      </c>
      <c r="C122" s="441">
        <v>3</v>
      </c>
      <c r="D122" s="384">
        <f>'9. Inputs-Analysis'!D42</f>
        <v>0.35386478561776608</v>
      </c>
      <c r="E122" s="212">
        <f>IF(D122&gt;=100%,3,IF(D122&gt;=50%,2,IF(D122&gt;=30%,1,0)))</f>
        <v>1</v>
      </c>
    </row>
    <row r="123" spans="1:5" x14ac:dyDescent="0.3">
      <c r="A123" s="376"/>
      <c r="B123" s="441" t="s">
        <v>507</v>
      </c>
      <c r="C123" s="441">
        <v>2</v>
      </c>
      <c r="D123" s="372"/>
      <c r="E123" s="390"/>
    </row>
    <row r="124" spans="1:5" x14ac:dyDescent="0.3">
      <c r="A124" s="376"/>
      <c r="B124" s="441" t="s">
        <v>508</v>
      </c>
      <c r="C124" s="441">
        <v>1</v>
      </c>
      <c r="D124" s="372"/>
      <c r="E124" s="390"/>
    </row>
    <row r="125" spans="1:5" x14ac:dyDescent="0.3">
      <c r="A125" s="376"/>
      <c r="B125" s="441" t="s">
        <v>509</v>
      </c>
      <c r="C125" s="441">
        <v>0</v>
      </c>
      <c r="D125" s="372"/>
      <c r="E125" s="390"/>
    </row>
    <row r="126" spans="1:5" x14ac:dyDescent="0.3">
      <c r="A126" s="376"/>
      <c r="B126" s="368"/>
      <c r="C126" s="368"/>
      <c r="D126" s="372"/>
      <c r="E126" s="390"/>
    </row>
    <row r="127" spans="1:5" x14ac:dyDescent="0.3">
      <c r="A127" s="376"/>
      <c r="B127" s="368"/>
      <c r="C127" s="368"/>
      <c r="D127" s="372"/>
      <c r="E127" s="390"/>
    </row>
    <row r="128" spans="1:5" x14ac:dyDescent="0.3">
      <c r="A128" s="376"/>
      <c r="B128" s="368"/>
      <c r="C128" s="368"/>
      <c r="D128" s="372"/>
      <c r="E128" s="390"/>
    </row>
    <row r="129" spans="1:106" s="174" customFormat="1" x14ac:dyDescent="0.3">
      <c r="A129" s="364" t="s">
        <v>446</v>
      </c>
      <c r="B129" s="365"/>
      <c r="C129" s="365">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1" t="s">
        <v>474</v>
      </c>
      <c r="C130" s="441">
        <v>3</v>
      </c>
      <c r="D130" s="384">
        <f>'9. Inputs-Analysis'!D45</f>
        <v>7.4443631180108563E-2</v>
      </c>
      <c r="E130" s="385">
        <f>IF(D130&gt;=10%,3,IF(D130&gt;=3%,2,IF(D130&gt;=2%,1,0)))</f>
        <v>2</v>
      </c>
    </row>
    <row r="131" spans="1:106" x14ac:dyDescent="0.3">
      <c r="A131" s="376"/>
      <c r="B131" s="441" t="s">
        <v>742</v>
      </c>
      <c r="C131" s="441">
        <v>2</v>
      </c>
      <c r="D131" s="372"/>
      <c r="E131" s="388"/>
    </row>
    <row r="132" spans="1:106" x14ac:dyDescent="0.3">
      <c r="A132" s="376"/>
      <c r="B132" s="441" t="s">
        <v>719</v>
      </c>
      <c r="C132" s="441">
        <v>1</v>
      </c>
      <c r="D132" s="372"/>
      <c r="E132" s="388"/>
    </row>
    <row r="133" spans="1:106" x14ac:dyDescent="0.3">
      <c r="A133" s="376"/>
      <c r="B133" s="441" t="s">
        <v>678</v>
      </c>
      <c r="C133" s="441">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441" t="s">
        <v>402</v>
      </c>
      <c r="C137" s="441">
        <v>2</v>
      </c>
      <c r="D137" s="369">
        <f>'9. Inputs-Analysis'!D48</f>
        <v>7.7292884750961464E-3</v>
      </c>
      <c r="E137" s="212">
        <f>IF(D137&lt;0,2,IF(D137&gt;0,0,IF(D137=0,1,0)))</f>
        <v>0</v>
      </c>
    </row>
    <row r="138" spans="1:106" x14ac:dyDescent="0.3">
      <c r="A138" s="376"/>
      <c r="B138" s="441" t="s">
        <v>981</v>
      </c>
      <c r="C138" s="441">
        <v>0</v>
      </c>
      <c r="D138" s="372"/>
      <c r="E138" s="390"/>
    </row>
    <row r="139" spans="1:106" x14ac:dyDescent="0.3">
      <c r="A139" s="376"/>
      <c r="B139" s="368" t="s">
        <v>977</v>
      </c>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21</v>
      </c>
    </row>
    <row r="142" spans="1:106" s="37" customFormat="1" ht="15.75" customHeight="1" thickBot="1" x14ac:dyDescent="0.35">
      <c r="A142" s="396" t="s">
        <v>409</v>
      </c>
      <c r="B142" s="397"/>
      <c r="C142" s="1013">
        <f>E141/C141</f>
        <v>0.35</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3"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933FF"/>
  </sheetPr>
  <dimension ref="A1:DB142"/>
  <sheetViews>
    <sheetView view="pageBreakPreview" topLeftCell="A92" zoomScaleNormal="90" zoomScaleSheetLayoutView="100" zoomScalePageLayoutView="90" workbookViewId="0">
      <selection activeCell="E101" sqref="E101"/>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0.55000000000000004</v>
      </c>
      <c r="U6" s="402">
        <f>1-T6</f>
        <v>0.44999999999999996</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440" t="s">
        <v>229</v>
      </c>
      <c r="C19" s="440">
        <v>7</v>
      </c>
      <c r="D19" s="369">
        <f>'9. Inputs-Analysis'!D4</f>
        <v>3.9252586061418495</v>
      </c>
      <c r="E19" s="370">
        <f>IF(D19&lt;0,0,IF(D19&lt;1,7,IF(D19&lt;1.25,6,IF(D19&lt;1.75,5,IF(D19&lt;2.25,4,IF(D19&lt;3,3,IF(D19&lt;3.5,2,0)))))))</f>
        <v>0</v>
      </c>
    </row>
    <row r="20" spans="1:5" x14ac:dyDescent="0.3">
      <c r="A20" s="371"/>
      <c r="B20" s="440" t="s">
        <v>743</v>
      </c>
      <c r="C20" s="440">
        <v>6</v>
      </c>
      <c r="D20" s="372"/>
      <c r="E20" s="373"/>
    </row>
    <row r="21" spans="1:5" x14ac:dyDescent="0.3">
      <c r="A21" s="371"/>
      <c r="B21" s="440" t="s">
        <v>744</v>
      </c>
      <c r="C21" s="440">
        <v>5</v>
      </c>
      <c r="D21" s="372"/>
      <c r="E21" s="373"/>
    </row>
    <row r="22" spans="1:5" x14ac:dyDescent="0.3">
      <c r="A22" s="371"/>
      <c r="B22" s="440" t="s">
        <v>745</v>
      </c>
      <c r="C22" s="440">
        <v>4</v>
      </c>
      <c r="D22" s="372"/>
      <c r="E22" s="373"/>
    </row>
    <row r="23" spans="1:5" x14ac:dyDescent="0.3">
      <c r="A23" s="371"/>
      <c r="B23" s="440" t="s">
        <v>746</v>
      </c>
      <c r="C23" s="440">
        <v>3</v>
      </c>
      <c r="D23" s="372"/>
      <c r="E23" s="373"/>
    </row>
    <row r="24" spans="1:5" x14ac:dyDescent="0.3">
      <c r="A24" s="371"/>
      <c r="B24" s="440" t="s">
        <v>480</v>
      </c>
      <c r="C24" s="440">
        <v>2</v>
      </c>
      <c r="D24" s="372"/>
      <c r="E24" s="373"/>
    </row>
    <row r="25" spans="1:5" x14ac:dyDescent="0.3">
      <c r="A25" s="371"/>
      <c r="B25" s="440" t="s">
        <v>481</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747</v>
      </c>
      <c r="C29" s="440">
        <v>3</v>
      </c>
      <c r="D29" s="369">
        <f>'9. Inputs-Analysis'!D7</f>
        <v>0.78528910732277912</v>
      </c>
      <c r="E29" s="374">
        <f>IF(D29&lt;0,0,IF(D29&lt;0.5,3,IF(D29&lt;0.75,2,IF(D29&lt;1,1,0))))</f>
        <v>1</v>
      </c>
    </row>
    <row r="30" spans="1:5" x14ac:dyDescent="0.3">
      <c r="A30" s="367"/>
      <c r="B30" s="440" t="s">
        <v>748</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440"/>
      <c r="C33" s="440"/>
      <c r="D33" s="372"/>
      <c r="E33" s="375"/>
    </row>
    <row r="34" spans="1:106" x14ac:dyDescent="0.3">
      <c r="A34" s="371"/>
      <c r="B34" s="440"/>
      <c r="C34" s="440"/>
      <c r="D34" s="372"/>
      <c r="E34" s="375"/>
    </row>
    <row r="35" spans="1:106" x14ac:dyDescent="0.3">
      <c r="A35" s="376"/>
      <c r="B35" s="440"/>
      <c r="C35" s="440"/>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749</v>
      </c>
      <c r="C37" s="440">
        <v>7</v>
      </c>
      <c r="D37" s="369">
        <f>'9. Inputs-Analysis'!D11</f>
        <v>1.040552151554528</v>
      </c>
      <c r="E37" s="370">
        <f>IF(D37&gt;=1.5,7,IF(D37&gt;=1,6,IF(D37&gt;=0.75,5,IF(D37&gt;=0.5,3,IF(D37&gt;=0.35,2,0)))))</f>
        <v>6</v>
      </c>
    </row>
    <row r="38" spans="1:106" x14ac:dyDescent="0.3">
      <c r="A38" s="367"/>
      <c r="B38" s="440" t="s">
        <v>484</v>
      </c>
      <c r="C38" s="440">
        <v>6</v>
      </c>
      <c r="D38" s="379"/>
      <c r="E38" s="373"/>
    </row>
    <row r="39" spans="1:106" x14ac:dyDescent="0.3">
      <c r="A39" s="376"/>
      <c r="B39" s="440" t="s">
        <v>750</v>
      </c>
      <c r="C39" s="440">
        <v>5</v>
      </c>
      <c r="D39" s="372"/>
      <c r="E39" s="373"/>
    </row>
    <row r="40" spans="1:106" x14ac:dyDescent="0.3">
      <c r="A40" s="376"/>
      <c r="B40" s="440" t="s">
        <v>751</v>
      </c>
      <c r="C40" s="440">
        <v>3</v>
      </c>
      <c r="D40" s="372"/>
      <c r="E40" s="373"/>
    </row>
    <row r="41" spans="1:106" x14ac:dyDescent="0.3">
      <c r="A41" s="376"/>
      <c r="B41" s="440" t="s">
        <v>752</v>
      </c>
      <c r="C41" s="440">
        <v>2</v>
      </c>
      <c r="D41" s="372"/>
      <c r="E41" s="373"/>
    </row>
    <row r="42" spans="1:106" x14ac:dyDescent="0.3">
      <c r="A42" s="376"/>
      <c r="B42" s="440" t="s">
        <v>753</v>
      </c>
      <c r="C42" s="440">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40" t="s">
        <v>681</v>
      </c>
      <c r="C45" s="440">
        <v>3</v>
      </c>
      <c r="D45" s="369">
        <f>'9. Inputs-Analysis'!D10</f>
        <v>6.1472340974284764E-3</v>
      </c>
      <c r="E45" s="374">
        <f>IF(D45&gt;=0.05,3,IF(D45&gt;=0.03,2,IF(D45&gt;=0.02,1,0)))</f>
        <v>0</v>
      </c>
    </row>
    <row r="46" spans="1:106" x14ac:dyDescent="0.3">
      <c r="A46" s="367"/>
      <c r="B46" s="440" t="s">
        <v>682</v>
      </c>
      <c r="C46" s="440">
        <v>2</v>
      </c>
      <c r="D46" s="372"/>
      <c r="E46" s="375"/>
    </row>
    <row r="47" spans="1:106" x14ac:dyDescent="0.3">
      <c r="A47" s="367"/>
      <c r="B47" s="440" t="s">
        <v>683</v>
      </c>
      <c r="C47" s="440">
        <v>1</v>
      </c>
      <c r="D47" s="372"/>
      <c r="E47" s="375"/>
    </row>
    <row r="48" spans="1:106" x14ac:dyDescent="0.3">
      <c r="A48" s="367"/>
      <c r="B48" s="440" t="s">
        <v>684</v>
      </c>
      <c r="C48" s="440">
        <v>0</v>
      </c>
      <c r="D48" s="372"/>
      <c r="E48" s="375"/>
    </row>
    <row r="49" spans="1:106" x14ac:dyDescent="0.3">
      <c r="A49" s="367"/>
      <c r="B49" s="368"/>
      <c r="C49" s="368"/>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9</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754</v>
      </c>
      <c r="C53" s="440">
        <v>5</v>
      </c>
      <c r="D53" s="384">
        <f>'9. Inputs-Analysis'!D15</f>
        <v>5.4896988386267581E-2</v>
      </c>
      <c r="E53" s="385">
        <f>IF(D53&gt;=3%,5,IF(D53&gt;=2%,4,IF(D53&gt;=1%,3,IF(D53&gt;=0.5%,2,IF(D53&gt;=0.25%,1,0)))))</f>
        <v>5</v>
      </c>
    </row>
    <row r="54" spans="1:106" x14ac:dyDescent="0.3">
      <c r="A54" s="386"/>
      <c r="B54" s="440" t="s">
        <v>755</v>
      </c>
      <c r="C54" s="440">
        <v>4</v>
      </c>
      <c r="D54" s="387"/>
      <c r="E54" s="388"/>
    </row>
    <row r="55" spans="1:106" x14ac:dyDescent="0.3">
      <c r="A55" s="386"/>
      <c r="B55" s="440" t="s">
        <v>720</v>
      </c>
      <c r="C55" s="440">
        <v>3</v>
      </c>
      <c r="D55" s="372"/>
      <c r="E55" s="388"/>
    </row>
    <row r="56" spans="1:106" x14ac:dyDescent="0.3">
      <c r="A56" s="386"/>
      <c r="B56" s="440" t="s">
        <v>756</v>
      </c>
      <c r="C56" s="440">
        <v>2</v>
      </c>
      <c r="D56" s="372"/>
      <c r="E56" s="388"/>
    </row>
    <row r="57" spans="1:106" x14ac:dyDescent="0.3">
      <c r="A57" s="376"/>
      <c r="B57" s="440" t="s">
        <v>757</v>
      </c>
      <c r="C57" s="440">
        <v>1</v>
      </c>
      <c r="D57" s="372"/>
      <c r="E57" s="388"/>
    </row>
    <row r="58" spans="1:106" x14ac:dyDescent="0.3">
      <c r="A58" s="376"/>
      <c r="B58" s="440" t="s">
        <v>758</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759</v>
      </c>
      <c r="C62" s="440">
        <v>3</v>
      </c>
      <c r="D62" s="384">
        <f>'9. Inputs-Analysis'!D18</f>
        <v>1.9426111026367571E-2</v>
      </c>
      <c r="E62" s="212">
        <f>IF(D62&gt;=1.5%,3,IF(D62&gt;=1%,2,IF(D62&gt;=0.5%,1,0)))</f>
        <v>3</v>
      </c>
    </row>
    <row r="63" spans="1:106" x14ac:dyDescent="0.3">
      <c r="A63" s="386"/>
      <c r="B63" s="440" t="s">
        <v>760</v>
      </c>
      <c r="C63" s="440">
        <v>2</v>
      </c>
      <c r="D63" s="389"/>
      <c r="E63" s="390"/>
    </row>
    <row r="64" spans="1:106" x14ac:dyDescent="0.3">
      <c r="A64" s="386"/>
      <c r="B64" s="440" t="s">
        <v>761</v>
      </c>
      <c r="C64" s="440">
        <v>1</v>
      </c>
      <c r="D64" s="389"/>
      <c r="E64" s="390"/>
    </row>
    <row r="65" spans="1:106" x14ac:dyDescent="0.3">
      <c r="A65" s="386"/>
      <c r="B65" s="440" t="s">
        <v>762</v>
      </c>
      <c r="C65" s="440">
        <v>0</v>
      </c>
      <c r="D65" s="372"/>
      <c r="E65" s="390"/>
    </row>
    <row r="66" spans="1:106" x14ac:dyDescent="0.3">
      <c r="A66" s="386"/>
      <c r="B66" s="440"/>
      <c r="C66" s="440"/>
      <c r="D66" s="372"/>
      <c r="E66" s="390"/>
    </row>
    <row r="67" spans="1:106" x14ac:dyDescent="0.3">
      <c r="A67" s="386"/>
      <c r="B67" s="440"/>
      <c r="C67" s="440"/>
      <c r="D67" s="372"/>
      <c r="E67" s="390"/>
    </row>
    <row r="68" spans="1:106" x14ac:dyDescent="0.3">
      <c r="A68" s="386"/>
      <c r="B68" s="440"/>
      <c r="C68" s="440"/>
      <c r="D68" s="372"/>
      <c r="E68" s="390"/>
    </row>
    <row r="69" spans="1:106" ht="28" x14ac:dyDescent="0.3">
      <c r="A69" s="391" t="str">
        <f>'11. Detail Managment Report'!C26</f>
        <v>3. Operating Profit to Operating Assets (OPOA)</v>
      </c>
      <c r="B69" s="440" t="s">
        <v>690</v>
      </c>
      <c r="C69" s="440">
        <v>2</v>
      </c>
      <c r="D69" s="392">
        <f>'9. Inputs-Analysis'!D21</f>
        <v>4.652054000911502E-2</v>
      </c>
      <c r="E69" s="212">
        <f>IF(D69&gt;6%,2,IF(D69&gt;=2.01%,1,0))</f>
        <v>1</v>
      </c>
    </row>
    <row r="70" spans="1:106" x14ac:dyDescent="0.3">
      <c r="A70" s="391"/>
      <c r="B70" s="440" t="s">
        <v>628</v>
      </c>
      <c r="C70" s="440">
        <v>1</v>
      </c>
      <c r="D70" s="372"/>
      <c r="E70" s="390"/>
    </row>
    <row r="71" spans="1:106" x14ac:dyDescent="0.3">
      <c r="A71" s="376"/>
      <c r="B71" s="440" t="s">
        <v>691</v>
      </c>
      <c r="C71" s="440">
        <v>0</v>
      </c>
      <c r="D71" s="372"/>
      <c r="E71" s="390"/>
    </row>
    <row r="72" spans="1:106" x14ac:dyDescent="0.3">
      <c r="A72" s="376"/>
      <c r="B72" s="440"/>
      <c r="C72" s="440"/>
      <c r="D72" s="372"/>
      <c r="E72" s="390"/>
    </row>
    <row r="73" spans="1:106" x14ac:dyDescent="0.3">
      <c r="A73" s="376"/>
      <c r="B73" s="443"/>
      <c r="C73" s="443">
        <v>15</v>
      </c>
      <c r="D73" s="372"/>
      <c r="E73" s="390"/>
    </row>
    <row r="74" spans="1:106" x14ac:dyDescent="0.3">
      <c r="A74" s="376"/>
      <c r="B74" s="440"/>
      <c r="C74" s="440"/>
      <c r="D74" s="372"/>
      <c r="E74" s="390"/>
    </row>
    <row r="75" spans="1:106" s="174" customFormat="1" x14ac:dyDescent="0.3">
      <c r="A75" s="364" t="s">
        <v>444</v>
      </c>
      <c r="B75" s="440"/>
      <c r="C75" s="440"/>
      <c r="D75" s="365"/>
      <c r="E75" s="366">
        <f>E76+E83+E93+E100</f>
        <v>11</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692</v>
      </c>
      <c r="C76" s="440">
        <v>3</v>
      </c>
      <c r="D76" s="369">
        <f>'9. Inputs-Analysis'!D24</f>
        <v>2.1640484041893577</v>
      </c>
      <c r="E76" s="370">
        <f>IF(D76&gt;2,3,IF(D76&gt;=1.5,2,IF(D76&gt;1,1,0)))</f>
        <v>3</v>
      </c>
    </row>
    <row r="77" spans="1:106" x14ac:dyDescent="0.3">
      <c r="A77" s="376"/>
      <c r="B77" s="440" t="s">
        <v>693</v>
      </c>
      <c r="C77" s="440">
        <v>2</v>
      </c>
      <c r="D77" s="218"/>
      <c r="E77" s="373"/>
    </row>
    <row r="78" spans="1:106" x14ac:dyDescent="0.3">
      <c r="A78" s="376"/>
      <c r="B78" s="440" t="s">
        <v>694</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IF(D83&gt;=1.5,5,IF(D83&gt;=1,4,IF(D83&gt;=0.75,3,IF(D83&gt;=0.5,2,0))))</f>
        <v>4</v>
      </c>
    </row>
    <row r="84" spans="1:5" x14ac:dyDescent="0.3">
      <c r="A84" s="367"/>
      <c r="B84" s="440" t="s">
        <v>695</v>
      </c>
      <c r="C84" s="440">
        <v>5</v>
      </c>
      <c r="D84" s="372"/>
      <c r="E84" s="375"/>
    </row>
    <row r="85" spans="1:5" x14ac:dyDescent="0.3">
      <c r="A85" s="367"/>
      <c r="B85" s="440" t="s">
        <v>696</v>
      </c>
      <c r="C85" s="440">
        <v>4</v>
      </c>
      <c r="D85" s="372"/>
      <c r="E85" s="375"/>
    </row>
    <row r="86" spans="1:5" x14ac:dyDescent="0.3">
      <c r="A86" s="367"/>
      <c r="B86" s="440" t="s">
        <v>697</v>
      </c>
      <c r="C86" s="440">
        <v>3</v>
      </c>
      <c r="D86" s="372"/>
      <c r="E86" s="375"/>
    </row>
    <row r="87" spans="1:5" x14ac:dyDescent="0.3">
      <c r="A87" s="367"/>
      <c r="B87" s="440" t="s">
        <v>698</v>
      </c>
      <c r="C87" s="440">
        <v>2</v>
      </c>
      <c r="D87" s="372"/>
      <c r="E87" s="375"/>
    </row>
    <row r="88" spans="1:5" x14ac:dyDescent="0.3">
      <c r="A88" s="367"/>
      <c r="B88" s="440" t="s">
        <v>699</v>
      </c>
      <c r="C88" s="440">
        <v>0</v>
      </c>
      <c r="D88" s="372"/>
      <c r="E88" s="375"/>
    </row>
    <row r="89" spans="1:5" x14ac:dyDescent="0.3">
      <c r="A89" s="376"/>
      <c r="B89" s="440"/>
      <c r="C89" s="440"/>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700</v>
      </c>
      <c r="C93" s="440">
        <v>4</v>
      </c>
      <c r="D93" s="369">
        <f>'9. Inputs-Analysis'!D30</f>
        <v>3.3545581292940753E-2</v>
      </c>
      <c r="E93" s="374">
        <f>IF(D93&gt;0.1,4,IF(D93&gt;0.06,3,IF(D93&gt;0.02,2,IF(D93&gt;-0.1,1,0))))</f>
        <v>2</v>
      </c>
    </row>
    <row r="94" spans="1:5" x14ac:dyDescent="0.3">
      <c r="A94" s="376"/>
      <c r="B94" s="440" t="s">
        <v>701</v>
      </c>
      <c r="C94" s="440">
        <v>3</v>
      </c>
      <c r="D94" s="372"/>
      <c r="E94" s="375"/>
    </row>
    <row r="95" spans="1:5" x14ac:dyDescent="0.3">
      <c r="A95" s="376"/>
      <c r="B95" s="440" t="s">
        <v>702</v>
      </c>
      <c r="C95" s="440">
        <v>2</v>
      </c>
      <c r="D95" s="372"/>
      <c r="E95" s="375"/>
    </row>
    <row r="96" spans="1:5" x14ac:dyDescent="0.3">
      <c r="A96" s="376"/>
      <c r="B96" s="440" t="s">
        <v>997</v>
      </c>
      <c r="C96" s="440">
        <v>1</v>
      </c>
      <c r="D96" s="372"/>
      <c r="E96" s="375"/>
    </row>
    <row r="97" spans="1:106" x14ac:dyDescent="0.3">
      <c r="A97" s="376"/>
      <c r="B97" s="440" t="s">
        <v>704</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IF(D100&gt;=1,3,IF(D100&gt;=0.5,2,IF(D100&gt;=-0.05,1,0)))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3"/>
      <c r="C104" s="443">
        <v>10</v>
      </c>
      <c r="D104" s="372"/>
      <c r="E104" s="375"/>
    </row>
    <row r="105" spans="1:106" x14ac:dyDescent="0.3">
      <c r="A105" s="367"/>
      <c r="B105" s="440"/>
      <c r="C105" s="440"/>
      <c r="D105" s="372"/>
      <c r="E105" s="375"/>
    </row>
    <row r="106" spans="1:106" s="174" customFormat="1" x14ac:dyDescent="0.3">
      <c r="A106" s="364" t="s">
        <v>445</v>
      </c>
      <c r="B106" s="440"/>
      <c r="C106" s="440"/>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709</v>
      </c>
      <c r="C107" s="440">
        <v>4</v>
      </c>
      <c r="D107" s="395">
        <f>'9. Inputs-Analysis'!D36</f>
        <v>823.72780049574567</v>
      </c>
      <c r="E107" s="385">
        <f>IF(D107&lt;180,4,IF(D107&lt;300,3,IF(D107&lt;400,2,IF(D107&lt;480,1,0))))</f>
        <v>0</v>
      </c>
    </row>
    <row r="108" spans="1:106" x14ac:dyDescent="0.3">
      <c r="A108" s="376"/>
      <c r="B108" s="440" t="s">
        <v>710</v>
      </c>
      <c r="C108" s="440">
        <v>3</v>
      </c>
      <c r="D108" s="372"/>
      <c r="E108" s="388" t="s">
        <v>630</v>
      </c>
    </row>
    <row r="109" spans="1:106" x14ac:dyDescent="0.3">
      <c r="A109" s="376"/>
      <c r="B109" s="440" t="s">
        <v>711</v>
      </c>
      <c r="C109" s="440">
        <v>2</v>
      </c>
      <c r="D109" s="372"/>
      <c r="E109" s="388"/>
    </row>
    <row r="110" spans="1:106" x14ac:dyDescent="0.3">
      <c r="A110" s="376"/>
      <c r="B110" s="440" t="s">
        <v>712</v>
      </c>
      <c r="C110" s="440">
        <v>1</v>
      </c>
      <c r="D110" s="372"/>
      <c r="E110" s="388"/>
    </row>
    <row r="111" spans="1:106" x14ac:dyDescent="0.3">
      <c r="A111" s="376"/>
      <c r="B111" s="440" t="s">
        <v>713</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763</v>
      </c>
      <c r="C115" s="440">
        <v>3</v>
      </c>
      <c r="D115" s="395">
        <f>'9. Inputs-Analysis'!D39</f>
        <v>89.219451744334833</v>
      </c>
      <c r="E115" s="212">
        <f>IF(D115&lt;50,3,IF(D115&lt;60,2,IF(D115&lt;90,1,0)))</f>
        <v>1</v>
      </c>
    </row>
    <row r="116" spans="1:5" x14ac:dyDescent="0.3">
      <c r="A116" s="376"/>
      <c r="B116" s="440" t="s">
        <v>764</v>
      </c>
      <c r="C116" s="440">
        <v>2</v>
      </c>
      <c r="D116" s="372"/>
      <c r="E116" s="390"/>
    </row>
    <row r="117" spans="1:5" x14ac:dyDescent="0.3">
      <c r="A117" s="376"/>
      <c r="B117" s="440" t="s">
        <v>671</v>
      </c>
      <c r="C117" s="440">
        <v>1</v>
      </c>
      <c r="D117" s="372"/>
      <c r="E117" s="390"/>
    </row>
    <row r="118" spans="1:5" x14ac:dyDescent="0.3">
      <c r="A118" s="376"/>
      <c r="B118" s="440" t="s">
        <v>502</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t="s">
        <v>765</v>
      </c>
      <c r="C121" s="440">
        <v>3</v>
      </c>
      <c r="D121" s="372"/>
      <c r="E121" s="390"/>
    </row>
    <row r="122" spans="1:5" x14ac:dyDescent="0.3">
      <c r="A122" s="367" t="str">
        <f>'11. Detail Managment Report'!C35</f>
        <v>3. Asset Turnover (AT)</v>
      </c>
      <c r="B122" s="440" t="s">
        <v>766</v>
      </c>
      <c r="C122" s="440">
        <v>2</v>
      </c>
      <c r="D122" s="384">
        <f>'9. Inputs-Analysis'!D42</f>
        <v>0.35386478561776608</v>
      </c>
      <c r="E122" s="212">
        <f>IF(D122&gt;50%,3,IF(D122&gt;=20%,2,IF(D122&gt;=10%,1,0)))</f>
        <v>2</v>
      </c>
    </row>
    <row r="123" spans="1:5" x14ac:dyDescent="0.3">
      <c r="A123" s="376"/>
      <c r="B123" s="440" t="s">
        <v>767</v>
      </c>
      <c r="C123" s="440">
        <v>1</v>
      </c>
      <c r="D123" s="372"/>
      <c r="E123" s="390"/>
    </row>
    <row r="124" spans="1:5" x14ac:dyDescent="0.3">
      <c r="A124" s="376"/>
      <c r="B124" s="440" t="s">
        <v>768</v>
      </c>
      <c r="C124" s="440">
        <v>0</v>
      </c>
      <c r="D124" s="372"/>
      <c r="E124" s="390"/>
    </row>
    <row r="125" spans="1:5" x14ac:dyDescent="0.3">
      <c r="A125" s="376"/>
      <c r="B125" s="440"/>
      <c r="C125" s="440"/>
      <c r="D125" s="372"/>
      <c r="E125" s="390"/>
    </row>
    <row r="126" spans="1:5" x14ac:dyDescent="0.3">
      <c r="A126" s="376"/>
      <c r="B126" s="440"/>
      <c r="C126" s="440"/>
      <c r="D126" s="372"/>
      <c r="E126" s="390"/>
    </row>
    <row r="127" spans="1:5" x14ac:dyDescent="0.3">
      <c r="A127" s="376"/>
      <c r="B127" s="443"/>
      <c r="C127" s="443">
        <v>5</v>
      </c>
      <c r="D127" s="372"/>
      <c r="E127" s="390"/>
    </row>
    <row r="128" spans="1:5" x14ac:dyDescent="0.3">
      <c r="A128" s="376"/>
      <c r="B128" s="440"/>
      <c r="C128" s="440"/>
      <c r="D128" s="372"/>
      <c r="E128" s="390"/>
    </row>
    <row r="129" spans="1:106" s="174" customFormat="1" x14ac:dyDescent="0.3">
      <c r="A129" s="364" t="s">
        <v>446</v>
      </c>
      <c r="B129" s="440"/>
      <c r="C129" s="440"/>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718</v>
      </c>
      <c r="C130" s="440">
        <v>3</v>
      </c>
      <c r="D130" s="384">
        <f>'9. Inputs-Analysis'!D45</f>
        <v>7.4443631180108563E-2</v>
      </c>
      <c r="E130" s="385">
        <f>IF(D130&gt;3%,3,IF(D130&gt;2%,2,IF(D130&gt;1%,1,0)))</f>
        <v>3</v>
      </c>
    </row>
    <row r="131" spans="1:106" x14ac:dyDescent="0.3">
      <c r="A131" s="376"/>
      <c r="B131" s="440" t="s">
        <v>719</v>
      </c>
      <c r="C131" s="440">
        <v>2</v>
      </c>
      <c r="D131" s="372"/>
      <c r="E131" s="388"/>
    </row>
    <row r="132" spans="1:106" x14ac:dyDescent="0.3">
      <c r="A132" s="376"/>
      <c r="B132" s="440" t="s">
        <v>720</v>
      </c>
      <c r="C132" s="440">
        <v>1</v>
      </c>
      <c r="D132" s="372"/>
      <c r="E132" s="388"/>
    </row>
    <row r="133" spans="1:106" x14ac:dyDescent="0.3">
      <c r="A133" s="376"/>
      <c r="B133" s="440" t="s">
        <v>721</v>
      </c>
      <c r="C133" s="440">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440" t="s">
        <v>980</v>
      </c>
      <c r="C137" s="440">
        <v>2</v>
      </c>
      <c r="D137" s="369">
        <f>'9. Inputs-Analysis'!D48</f>
        <v>7.7292884750961464E-3</v>
      </c>
      <c r="E137" s="212">
        <f>IF(D137&lt;0,2,IF(D137&gt;0,0,IF(D137=0,1,0)))</f>
        <v>0</v>
      </c>
    </row>
    <row r="138" spans="1:106" x14ac:dyDescent="0.3">
      <c r="A138" s="376"/>
      <c r="B138" s="440" t="s">
        <v>979</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v>60</v>
      </c>
      <c r="D141" s="400"/>
      <c r="E141" s="401">
        <f>E129+E106+E75+E52+E36+E18</f>
        <v>33</v>
      </c>
    </row>
    <row r="142" spans="1:106" s="37" customFormat="1" ht="15.75" customHeight="1" thickBot="1" x14ac:dyDescent="0.35">
      <c r="A142" s="396" t="s">
        <v>409</v>
      </c>
      <c r="B142" s="397"/>
      <c r="C142" s="1013">
        <f>E141/C141</f>
        <v>0.55000000000000004</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2"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933FF"/>
  </sheetPr>
  <dimension ref="A1:DB142"/>
  <sheetViews>
    <sheetView view="pageBreakPreview" topLeftCell="A89"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0.41666666666666669</v>
      </c>
      <c r="U6" s="402">
        <f>1-T6</f>
        <v>0.58333333333333326</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44" t="s">
        <v>229</v>
      </c>
      <c r="C19" s="444">
        <v>7</v>
      </c>
      <c r="D19" s="369">
        <f>'9. Inputs-Analysis'!D4</f>
        <v>3.9252586061418495</v>
      </c>
      <c r="E19" s="370">
        <f>IF(D19&lt;0,0,IF(D19&lt;1,7,IF(D19&lt;1.5,6,IF(D19&lt;2,5,IF(D19&lt;2.5,4,IF(D19&lt;3,3,IF(D19&lt;4,2,0)))))))</f>
        <v>2</v>
      </c>
    </row>
    <row r="20" spans="1:5" x14ac:dyDescent="0.3">
      <c r="A20" s="371"/>
      <c r="B20" s="444" t="s">
        <v>476</v>
      </c>
      <c r="C20" s="444">
        <v>6</v>
      </c>
      <c r="D20" s="372"/>
      <c r="E20" s="373"/>
    </row>
    <row r="21" spans="1:5" x14ac:dyDescent="0.3">
      <c r="A21" s="371"/>
      <c r="B21" s="444" t="s">
        <v>477</v>
      </c>
      <c r="C21" s="444">
        <v>5</v>
      </c>
      <c r="D21" s="372"/>
      <c r="E21" s="373"/>
    </row>
    <row r="22" spans="1:5" x14ac:dyDescent="0.3">
      <c r="A22" s="371"/>
      <c r="B22" s="444" t="s">
        <v>478</v>
      </c>
      <c r="C22" s="444">
        <v>4</v>
      </c>
      <c r="D22" s="372"/>
      <c r="E22" s="373"/>
    </row>
    <row r="23" spans="1:5" x14ac:dyDescent="0.3">
      <c r="A23" s="371"/>
      <c r="B23" s="444" t="s">
        <v>479</v>
      </c>
      <c r="C23" s="444">
        <v>3</v>
      </c>
      <c r="D23" s="372"/>
      <c r="E23" s="373"/>
    </row>
    <row r="24" spans="1:5" x14ac:dyDescent="0.3">
      <c r="A24" s="371"/>
      <c r="B24" s="444" t="s">
        <v>480</v>
      </c>
      <c r="C24" s="444">
        <v>2</v>
      </c>
      <c r="D24" s="372"/>
      <c r="E24" s="373"/>
    </row>
    <row r="25" spans="1:5" x14ac:dyDescent="0.3">
      <c r="A25" s="371"/>
      <c r="B25" s="444" t="s">
        <v>481</v>
      </c>
      <c r="C25" s="444">
        <v>0</v>
      </c>
      <c r="D25" s="372"/>
      <c r="E25" s="373"/>
    </row>
    <row r="26" spans="1:5" x14ac:dyDescent="0.3">
      <c r="A26" s="371"/>
      <c r="B26" s="444"/>
      <c r="C26" s="444"/>
      <c r="D26" s="372"/>
      <c r="E26" s="373"/>
    </row>
    <row r="27" spans="1:5" x14ac:dyDescent="0.3">
      <c r="A27" s="371"/>
      <c r="B27" s="444"/>
      <c r="C27" s="444"/>
      <c r="D27" s="372"/>
      <c r="E27" s="373"/>
    </row>
    <row r="28" spans="1:5" x14ac:dyDescent="0.3">
      <c r="A28" s="371"/>
      <c r="B28" s="444"/>
      <c r="C28" s="444"/>
      <c r="D28" s="372"/>
      <c r="E28" s="373"/>
    </row>
    <row r="29" spans="1:5" x14ac:dyDescent="0.3">
      <c r="A29" s="367" t="str">
        <f>'11. Detail Managment Report'!C19</f>
        <v>2. Financial Debt to Total Assets (DTA)</v>
      </c>
      <c r="B29" s="440" t="s">
        <v>679</v>
      </c>
      <c r="C29" s="440">
        <v>3</v>
      </c>
      <c r="D29" s="369">
        <f>'9. Inputs-Analysis'!D7</f>
        <v>0.78528910732277912</v>
      </c>
      <c r="E29" s="374">
        <f>IF(D29&lt;0,0,IF(D29&lt;0.45,3,IF(D29&lt;0.75,2,IF(D29&lt;1,1,0))))</f>
        <v>1</v>
      </c>
    </row>
    <row r="30" spans="1:5" x14ac:dyDescent="0.3">
      <c r="A30" s="367"/>
      <c r="B30" s="440" t="s">
        <v>680</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444"/>
      <c r="C33" s="444"/>
      <c r="D33" s="372"/>
      <c r="E33" s="375"/>
    </row>
    <row r="34" spans="1:106" x14ac:dyDescent="0.3">
      <c r="A34" s="371"/>
      <c r="B34" s="444"/>
      <c r="C34" s="444"/>
      <c r="D34" s="372"/>
      <c r="E34" s="375"/>
    </row>
    <row r="35" spans="1:106" x14ac:dyDescent="0.3">
      <c r="A35" s="376"/>
      <c r="B35" s="444"/>
      <c r="C35" s="444"/>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5" t="s">
        <v>465</v>
      </c>
      <c r="C37" s="445">
        <v>7</v>
      </c>
      <c r="D37" s="369">
        <f>'9. Inputs-Analysis'!D11</f>
        <v>1.040552151554528</v>
      </c>
      <c r="E37" s="370">
        <f>IF(D37&gt;2,7,IF(D37&gt;=1.51,6,IF(D37&gt;=1.01,5,IF(D37&gt;=0.65,2,IF(D37&gt;=0.5,1,0)))))</f>
        <v>5</v>
      </c>
    </row>
    <row r="38" spans="1:106" x14ac:dyDescent="0.3">
      <c r="A38" s="367"/>
      <c r="B38" s="445" t="s">
        <v>466</v>
      </c>
      <c r="C38" s="445">
        <v>6</v>
      </c>
      <c r="D38" s="379"/>
      <c r="E38" s="373"/>
    </row>
    <row r="39" spans="1:106" x14ac:dyDescent="0.3">
      <c r="A39" s="376"/>
      <c r="B39" s="445" t="s">
        <v>484</v>
      </c>
      <c r="C39" s="445">
        <v>5</v>
      </c>
      <c r="D39" s="372"/>
      <c r="E39" s="373"/>
    </row>
    <row r="40" spans="1:106" x14ac:dyDescent="0.3">
      <c r="A40" s="376"/>
      <c r="B40" s="445" t="s">
        <v>769</v>
      </c>
      <c r="C40" s="445">
        <v>2</v>
      </c>
      <c r="D40" s="372"/>
      <c r="E40" s="373"/>
    </row>
    <row r="41" spans="1:106" x14ac:dyDescent="0.3">
      <c r="A41" s="376"/>
      <c r="B41" s="445" t="s">
        <v>770</v>
      </c>
      <c r="C41" s="445">
        <v>1</v>
      </c>
      <c r="D41" s="372"/>
      <c r="E41" s="373"/>
    </row>
    <row r="42" spans="1:106" x14ac:dyDescent="0.3">
      <c r="A42" s="376"/>
      <c r="B42" s="445" t="s">
        <v>486</v>
      </c>
      <c r="C42" s="445">
        <v>0</v>
      </c>
      <c r="D42" s="372"/>
      <c r="E42" s="373"/>
    </row>
    <row r="43" spans="1:106" x14ac:dyDescent="0.3">
      <c r="A43" s="376"/>
      <c r="B43" s="445"/>
      <c r="C43" s="445"/>
      <c r="D43" s="372"/>
      <c r="E43" s="373"/>
    </row>
    <row r="44" spans="1:106" x14ac:dyDescent="0.3">
      <c r="A44" s="376"/>
      <c r="D44" s="372"/>
      <c r="E44" s="373"/>
    </row>
    <row r="45" spans="1:106" x14ac:dyDescent="0.3">
      <c r="A45" s="367" t="str">
        <f>'11. Detail Managment Report'!C22</f>
        <v>2. Cash Ratio (Cash)</v>
      </c>
      <c r="B45" s="444" t="s">
        <v>487</v>
      </c>
      <c r="C45" s="444">
        <v>3</v>
      </c>
      <c r="D45" s="369">
        <f>'9. Inputs-Analysis'!D10</f>
        <v>6.1472340974284764E-3</v>
      </c>
      <c r="E45" s="374">
        <f>IF(D45&gt;0.2,3,IF(D45&gt;0.1,2,IF(D45&gt;=0.03,2,IF(D45&gt;=0.01,1,0))))</f>
        <v>0</v>
      </c>
    </row>
    <row r="46" spans="1:106" x14ac:dyDescent="0.3">
      <c r="A46" s="367"/>
      <c r="B46" s="444" t="s">
        <v>234</v>
      </c>
      <c r="C46" s="444">
        <v>2</v>
      </c>
      <c r="D46" s="372"/>
      <c r="E46" s="375"/>
    </row>
    <row r="47" spans="1:106" x14ac:dyDescent="0.3">
      <c r="A47" s="367"/>
      <c r="B47" s="444" t="s">
        <v>235</v>
      </c>
      <c r="C47" s="444">
        <v>1</v>
      </c>
      <c r="D47" s="372"/>
      <c r="E47" s="375"/>
    </row>
    <row r="48" spans="1:106" x14ac:dyDescent="0.3">
      <c r="A48" s="367"/>
      <c r="B48" s="444" t="s">
        <v>488</v>
      </c>
      <c r="C48" s="444">
        <v>0</v>
      </c>
      <c r="D48" s="372"/>
      <c r="E48" s="375"/>
    </row>
    <row r="49" spans="1:106" x14ac:dyDescent="0.3">
      <c r="A49" s="367"/>
      <c r="D49" s="372"/>
      <c r="E49" s="375"/>
    </row>
    <row r="50" spans="1:106" x14ac:dyDescent="0.3">
      <c r="A50" s="367"/>
      <c r="B50" s="368"/>
      <c r="C50" s="368"/>
      <c r="D50" s="372"/>
      <c r="E50" s="375"/>
    </row>
    <row r="51" spans="1:106" x14ac:dyDescent="0.3">
      <c r="A51" s="367"/>
      <c r="B51" s="380"/>
      <c r="C51" s="368"/>
      <c r="D51" s="372"/>
      <c r="E51" s="375"/>
    </row>
    <row r="52" spans="1:106" s="174" customFormat="1" ht="15" customHeight="1" x14ac:dyDescent="0.3">
      <c r="A52" s="381" t="s">
        <v>443</v>
      </c>
      <c r="B52" s="382"/>
      <c r="C52" s="382">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5" t="s">
        <v>675</v>
      </c>
      <c r="C53" s="445">
        <v>5</v>
      </c>
      <c r="D53" s="384">
        <f>'9. Inputs-Analysis'!D15</f>
        <v>5.4896988386267581E-2</v>
      </c>
      <c r="E53" s="385">
        <f>IF(D53&gt;8%,5,IF(D53&gt;=6.01%,4,IF(D53&gt;=4.01%,3,IF(D53&gt;=3.01%,2,IF(D53&gt;=2.01%,1,0)))))</f>
        <v>3</v>
      </c>
    </row>
    <row r="54" spans="1:106" x14ac:dyDescent="0.3">
      <c r="A54" s="386"/>
      <c r="B54" s="445" t="s">
        <v>490</v>
      </c>
      <c r="C54" s="445">
        <v>4</v>
      </c>
      <c r="D54" s="387"/>
      <c r="E54" s="388"/>
    </row>
    <row r="55" spans="1:106" x14ac:dyDescent="0.3">
      <c r="A55" s="386"/>
      <c r="B55" s="445" t="s">
        <v>491</v>
      </c>
      <c r="C55" s="445">
        <v>3</v>
      </c>
      <c r="D55" s="372"/>
      <c r="E55" s="388"/>
    </row>
    <row r="56" spans="1:106" x14ac:dyDescent="0.3">
      <c r="A56" s="386"/>
      <c r="B56" s="445" t="s">
        <v>771</v>
      </c>
      <c r="C56" s="445">
        <v>2</v>
      </c>
      <c r="D56" s="372"/>
      <c r="E56" s="388"/>
    </row>
    <row r="57" spans="1:106" x14ac:dyDescent="0.3">
      <c r="A57" s="376"/>
      <c r="B57" s="445" t="s">
        <v>494</v>
      </c>
      <c r="C57" s="445">
        <v>1</v>
      </c>
      <c r="D57" s="372"/>
      <c r="E57" s="388"/>
    </row>
    <row r="58" spans="1:106" x14ac:dyDescent="0.3">
      <c r="A58" s="376"/>
      <c r="B58" s="445" t="s">
        <v>493</v>
      </c>
      <c r="C58" s="445">
        <v>0</v>
      </c>
      <c r="D58" s="372"/>
      <c r="E58" s="388"/>
    </row>
    <row r="59" spans="1:106" x14ac:dyDescent="0.3">
      <c r="A59" s="376"/>
      <c r="B59" s="444"/>
      <c r="C59" s="444"/>
      <c r="D59" s="372"/>
      <c r="E59" s="388"/>
    </row>
    <row r="60" spans="1:106" x14ac:dyDescent="0.3">
      <c r="A60" s="376"/>
      <c r="B60" s="444"/>
      <c r="C60" s="444"/>
      <c r="D60" s="372"/>
      <c r="E60" s="388"/>
    </row>
    <row r="61" spans="1:106" x14ac:dyDescent="0.3">
      <c r="A61" s="386"/>
      <c r="B61" s="444"/>
      <c r="C61" s="444"/>
      <c r="D61" s="372"/>
      <c r="E61" s="388"/>
    </row>
    <row r="62" spans="1:106" x14ac:dyDescent="0.3">
      <c r="A62" s="367" t="str">
        <f>'11. Detail Managment Report'!C25</f>
        <v>2. Return on Assets (ROA)</v>
      </c>
      <c r="B62" s="445" t="s">
        <v>772</v>
      </c>
      <c r="C62" s="445">
        <v>3</v>
      </c>
      <c r="D62" s="384">
        <f>'9. Inputs-Analysis'!D18</f>
        <v>1.9426111026367571E-2</v>
      </c>
      <c r="E62" s="212">
        <f>IF(D62&gt;5%,3,IF(D62&gt;=3.01%,2,IF(D62&gt;=1%,1,0)))</f>
        <v>1</v>
      </c>
    </row>
    <row r="63" spans="1:106" x14ac:dyDescent="0.3">
      <c r="A63" s="386"/>
      <c r="B63" s="445" t="s">
        <v>773</v>
      </c>
      <c r="C63" s="445">
        <v>2</v>
      </c>
      <c r="D63" s="389"/>
      <c r="E63" s="390"/>
    </row>
    <row r="64" spans="1:106" x14ac:dyDescent="0.3">
      <c r="A64" s="386"/>
      <c r="B64" s="445" t="s">
        <v>774</v>
      </c>
      <c r="C64" s="445">
        <v>1</v>
      </c>
      <c r="D64" s="389"/>
      <c r="E64" s="390"/>
    </row>
    <row r="65" spans="1:106" x14ac:dyDescent="0.3">
      <c r="A65" s="386"/>
      <c r="B65" s="445" t="s">
        <v>775</v>
      </c>
      <c r="C65" s="445">
        <v>0</v>
      </c>
      <c r="D65" s="372"/>
      <c r="E65" s="390"/>
    </row>
    <row r="66" spans="1:106" x14ac:dyDescent="0.3">
      <c r="A66" s="386"/>
      <c r="B66" s="444"/>
      <c r="C66" s="444"/>
      <c r="D66" s="372"/>
      <c r="E66" s="390"/>
    </row>
    <row r="67" spans="1:106" x14ac:dyDescent="0.3">
      <c r="A67" s="386"/>
      <c r="B67" s="444"/>
      <c r="C67" s="444"/>
      <c r="D67" s="372"/>
      <c r="E67" s="390"/>
    </row>
    <row r="68" spans="1:106" x14ac:dyDescent="0.3">
      <c r="A68" s="386"/>
      <c r="B68" s="444"/>
      <c r="C68" s="444"/>
      <c r="D68" s="372"/>
      <c r="E68" s="390"/>
    </row>
    <row r="69" spans="1:106" ht="28" x14ac:dyDescent="0.3">
      <c r="A69" s="391" t="str">
        <f>'11. Detail Managment Report'!C26</f>
        <v>3. Operating Profit to Operating Assets (OPOA)</v>
      </c>
      <c r="B69" s="445" t="s">
        <v>776</v>
      </c>
      <c r="C69" s="445">
        <v>2</v>
      </c>
      <c r="D69" s="392">
        <f>'9. Inputs-Analysis'!D21</f>
        <v>4.652054000911502E-2</v>
      </c>
      <c r="E69" s="212">
        <f>IF(D69&gt;=10%,2,IF(D69&gt;=5%,1,0))</f>
        <v>0</v>
      </c>
    </row>
    <row r="70" spans="1:106" x14ac:dyDescent="0.3">
      <c r="A70" s="391"/>
      <c r="B70" s="445" t="s">
        <v>777</v>
      </c>
      <c r="C70" s="445">
        <v>1</v>
      </c>
      <c r="D70" s="372"/>
      <c r="E70" s="390"/>
    </row>
    <row r="71" spans="1:106" x14ac:dyDescent="0.3">
      <c r="A71" s="376"/>
      <c r="B71" s="445" t="s">
        <v>724</v>
      </c>
      <c r="C71" s="445">
        <v>0</v>
      </c>
      <c r="D71" s="372"/>
      <c r="E71" s="390"/>
    </row>
    <row r="72" spans="1:106" x14ac:dyDescent="0.3">
      <c r="A72" s="376"/>
      <c r="B72" s="444"/>
      <c r="C72" s="444"/>
      <c r="D72" s="372"/>
      <c r="E72" s="390"/>
    </row>
    <row r="73" spans="1:106" x14ac:dyDescent="0.3">
      <c r="A73" s="376"/>
      <c r="B73" s="444"/>
      <c r="C73" s="444"/>
      <c r="D73" s="372"/>
      <c r="E73" s="390"/>
    </row>
    <row r="74" spans="1:106" x14ac:dyDescent="0.3">
      <c r="A74" s="376"/>
      <c r="B74" s="444"/>
      <c r="C74" s="444"/>
      <c r="D74" s="372"/>
      <c r="E74" s="390"/>
    </row>
    <row r="75" spans="1:106" s="174" customFormat="1" x14ac:dyDescent="0.3">
      <c r="A75" s="364" t="s">
        <v>444</v>
      </c>
      <c r="B75" s="446"/>
      <c r="C75" s="446">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778</v>
      </c>
      <c r="C76" s="440">
        <v>3</v>
      </c>
      <c r="D76" s="369">
        <f>'9. Inputs-Analysis'!D24</f>
        <v>2.1640484041893577</v>
      </c>
      <c r="E76" s="370">
        <f>IF(D76&gt;3,3,IF(D76&gt;=2.01,2,IF(D76&gt;=1.01,1,0)))</f>
        <v>2</v>
      </c>
    </row>
    <row r="77" spans="1:106" x14ac:dyDescent="0.3">
      <c r="A77" s="376"/>
      <c r="B77" s="440" t="s">
        <v>779</v>
      </c>
      <c r="C77" s="440">
        <v>2</v>
      </c>
      <c r="D77" s="218"/>
      <c r="E77" s="373"/>
    </row>
    <row r="78" spans="1:106" x14ac:dyDescent="0.3">
      <c r="A78" s="376"/>
      <c r="B78" s="440" t="s">
        <v>780</v>
      </c>
      <c r="C78" s="440">
        <v>1</v>
      </c>
      <c r="D78" s="372"/>
      <c r="E78" s="373"/>
    </row>
    <row r="79" spans="1:106" x14ac:dyDescent="0.3">
      <c r="A79" s="376"/>
      <c r="B79" s="440" t="s">
        <v>629</v>
      </c>
      <c r="C79" s="440">
        <v>0</v>
      </c>
      <c r="D79" s="372"/>
      <c r="E79" s="373"/>
    </row>
    <row r="80" spans="1:106" x14ac:dyDescent="0.3">
      <c r="A80" s="376"/>
      <c r="B80" s="444"/>
      <c r="C80" s="444"/>
      <c r="D80" s="372"/>
      <c r="E80" s="373"/>
    </row>
    <row r="81" spans="1:5" x14ac:dyDescent="0.3">
      <c r="A81" s="376"/>
      <c r="B81" s="444"/>
      <c r="C81" s="444"/>
      <c r="D81" s="372"/>
      <c r="E81" s="373"/>
    </row>
    <row r="82" spans="1:5" x14ac:dyDescent="0.3">
      <c r="A82" s="376"/>
      <c r="B82" s="444"/>
      <c r="C82" s="444"/>
      <c r="D82" s="372"/>
      <c r="E82" s="373"/>
    </row>
    <row r="83" spans="1:5" x14ac:dyDescent="0.3">
      <c r="A83" s="367" t="str">
        <f>'11. Detail Managment Report'!C29</f>
        <v>2. Debt Service Coverage Ratio (DSCR)</v>
      </c>
      <c r="B83" s="444"/>
      <c r="C83" s="444"/>
      <c r="D83" s="369">
        <f>'9. Inputs-Analysis'!D27</f>
        <v>1.4160266339747576</v>
      </c>
      <c r="E83" s="374">
        <f>IF(D83&gt;2.5,5,IF(D83&gt;=2,4,IF(D83&gt;=1.5,3,IF(D83&gt;=1.25,2,IF(D83&gt;=0.05,1,0)))))</f>
        <v>2</v>
      </c>
    </row>
    <row r="84" spans="1:5" x14ac:dyDescent="0.3">
      <c r="A84" s="367"/>
      <c r="B84" s="440" t="s">
        <v>781</v>
      </c>
      <c r="C84" s="440">
        <v>5</v>
      </c>
      <c r="D84" s="372"/>
      <c r="E84" s="375"/>
    </row>
    <row r="85" spans="1:5" x14ac:dyDescent="0.3">
      <c r="A85" s="367"/>
      <c r="B85" s="440" t="s">
        <v>782</v>
      </c>
      <c r="C85" s="440">
        <v>4</v>
      </c>
      <c r="D85" s="372"/>
      <c r="E85" s="375"/>
    </row>
    <row r="86" spans="1:5" x14ac:dyDescent="0.3">
      <c r="A86" s="367"/>
      <c r="B86" s="440" t="s">
        <v>783</v>
      </c>
      <c r="C86" s="440">
        <v>3</v>
      </c>
      <c r="D86" s="372"/>
      <c r="E86" s="375"/>
    </row>
    <row r="87" spans="1:5" x14ac:dyDescent="0.3">
      <c r="A87" s="367"/>
      <c r="B87" s="440" t="s">
        <v>784</v>
      </c>
      <c r="C87" s="440">
        <v>2</v>
      </c>
      <c r="D87" s="372"/>
      <c r="E87" s="375"/>
    </row>
    <row r="88" spans="1:5" x14ac:dyDescent="0.3">
      <c r="A88" s="367"/>
      <c r="B88" s="440" t="s">
        <v>785</v>
      </c>
      <c r="C88" s="440">
        <v>1</v>
      </c>
      <c r="D88" s="372"/>
      <c r="E88" s="375"/>
    </row>
    <row r="89" spans="1:5" x14ac:dyDescent="0.3">
      <c r="A89" s="376"/>
      <c r="B89" s="440" t="s">
        <v>629</v>
      </c>
      <c r="C89" s="440">
        <v>0</v>
      </c>
      <c r="D89" s="372"/>
      <c r="E89" s="375"/>
    </row>
    <row r="90" spans="1:5" x14ac:dyDescent="0.3">
      <c r="A90" s="376"/>
      <c r="B90" s="444"/>
      <c r="C90" s="444"/>
      <c r="D90" s="372"/>
      <c r="E90" s="375"/>
    </row>
    <row r="91" spans="1:5" x14ac:dyDescent="0.3">
      <c r="A91" s="376"/>
      <c r="B91" s="444"/>
      <c r="C91" s="444"/>
      <c r="D91" s="372"/>
      <c r="E91" s="375"/>
    </row>
    <row r="92" spans="1:5" x14ac:dyDescent="0.3">
      <c r="A92" s="376"/>
      <c r="B92" s="444"/>
      <c r="C92" s="444"/>
      <c r="D92" s="372"/>
      <c r="E92" s="375"/>
    </row>
    <row r="93" spans="1:5" ht="28" x14ac:dyDescent="0.3">
      <c r="A93" s="367" t="str">
        <f>'11. Detail Managment Report'!C30</f>
        <v>3. Operating Cashflow to Debt Ratio (CDR)</v>
      </c>
      <c r="B93" s="440" t="s">
        <v>786</v>
      </c>
      <c r="C93" s="440">
        <v>4</v>
      </c>
      <c r="D93" s="393">
        <f>'9. Inputs-Analysis'!D30</f>
        <v>3.3545581292940753E-2</v>
      </c>
      <c r="E93" s="374">
        <f>IF(D93&gt;0.25,4,IF(D93&gt;0.15,3,IF(D93&gt;0.1,2,IF(D93&gt;-0.1,1,0))))</f>
        <v>1</v>
      </c>
    </row>
    <row r="94" spans="1:5" x14ac:dyDescent="0.3">
      <c r="A94" s="376"/>
      <c r="B94" s="440" t="s">
        <v>787</v>
      </c>
      <c r="C94" s="440">
        <v>3</v>
      </c>
      <c r="D94" s="372"/>
      <c r="E94" s="375"/>
    </row>
    <row r="95" spans="1:5" x14ac:dyDescent="0.3">
      <c r="A95" s="376"/>
      <c r="B95" s="440" t="s">
        <v>788</v>
      </c>
      <c r="C95" s="440">
        <v>2</v>
      </c>
      <c r="D95" s="372"/>
      <c r="E95" s="375"/>
    </row>
    <row r="96" spans="1:5" x14ac:dyDescent="0.3">
      <c r="A96" s="376"/>
      <c r="B96" s="440" t="s">
        <v>789</v>
      </c>
      <c r="C96" s="440">
        <v>1</v>
      </c>
      <c r="D96" s="372"/>
      <c r="E96" s="375"/>
    </row>
    <row r="97" spans="1:106" x14ac:dyDescent="0.3">
      <c r="A97" s="376"/>
      <c r="B97" s="440" t="s">
        <v>790</v>
      </c>
      <c r="C97" s="440">
        <v>0</v>
      </c>
      <c r="D97" s="372"/>
      <c r="E97" s="375"/>
    </row>
    <row r="98" spans="1:106" x14ac:dyDescent="0.3">
      <c r="A98" s="376"/>
      <c r="B98" s="444"/>
      <c r="C98" s="444"/>
      <c r="D98" s="372"/>
      <c r="E98" s="375"/>
    </row>
    <row r="99" spans="1:106" x14ac:dyDescent="0.3">
      <c r="A99" s="376"/>
      <c r="B99" s="444"/>
      <c r="C99" s="444"/>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IF(D100&gt;=1,3,IF(D100&gt;=0.5,2,IF(D100&gt;=-0.15,1,0)))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4"/>
      <c r="C104" s="444"/>
      <c r="D104" s="372"/>
      <c r="E104" s="375"/>
    </row>
    <row r="105" spans="1:106" x14ac:dyDescent="0.3">
      <c r="A105" s="367"/>
      <c r="B105" s="444"/>
      <c r="C105" s="444"/>
      <c r="D105" s="372"/>
      <c r="E105" s="375"/>
    </row>
    <row r="106" spans="1:106" s="174" customFormat="1" x14ac:dyDescent="0.3">
      <c r="A106" s="364" t="s">
        <v>445</v>
      </c>
      <c r="B106" s="446"/>
      <c r="C106" s="446">
        <v>10</v>
      </c>
      <c r="D106" s="365"/>
      <c r="E106" s="366">
        <f>E107+E115+E122</f>
        <v>4</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5" t="s">
        <v>737</v>
      </c>
      <c r="C107" s="445">
        <v>4</v>
      </c>
      <c r="D107" s="395">
        <f>'9. Inputs-Analysis'!D36</f>
        <v>823.72780049574567</v>
      </c>
      <c r="E107" s="385">
        <f>IF(D107&lt;90,4,IF(D107&lt;120,3,IF(D107&lt;150,2,IF(D107&lt;180,1,0))))</f>
        <v>0</v>
      </c>
    </row>
    <row r="108" spans="1:106" x14ac:dyDescent="0.3">
      <c r="A108" s="376"/>
      <c r="B108" s="445" t="s">
        <v>791</v>
      </c>
      <c r="C108" s="445">
        <v>3</v>
      </c>
      <c r="D108" s="372"/>
      <c r="E108" s="388"/>
    </row>
    <row r="109" spans="1:106" x14ac:dyDescent="0.3">
      <c r="A109" s="376"/>
      <c r="B109" s="445" t="s">
        <v>792</v>
      </c>
      <c r="C109" s="445">
        <v>2</v>
      </c>
      <c r="D109" s="372"/>
      <c r="E109" s="388"/>
    </row>
    <row r="110" spans="1:106" x14ac:dyDescent="0.3">
      <c r="A110" s="376"/>
      <c r="B110" s="445" t="s">
        <v>740</v>
      </c>
      <c r="C110" s="445">
        <v>1</v>
      </c>
      <c r="D110" s="372"/>
      <c r="E110" s="388"/>
    </row>
    <row r="111" spans="1:106" x14ac:dyDescent="0.3">
      <c r="A111" s="376"/>
      <c r="B111" s="445" t="s">
        <v>669</v>
      </c>
      <c r="C111" s="445">
        <v>0</v>
      </c>
      <c r="D111" s="372"/>
      <c r="E111" s="388"/>
    </row>
    <row r="112" spans="1:106" x14ac:dyDescent="0.3">
      <c r="A112" s="376"/>
      <c r="B112" s="445"/>
      <c r="C112" s="445"/>
      <c r="D112" s="372"/>
      <c r="E112" s="388"/>
    </row>
    <row r="113" spans="1:5" x14ac:dyDescent="0.3">
      <c r="A113" s="376"/>
      <c r="B113" s="445"/>
      <c r="C113" s="445"/>
      <c r="D113" s="372"/>
      <c r="E113" s="388"/>
    </row>
    <row r="114" spans="1:5" x14ac:dyDescent="0.3">
      <c r="A114" s="376"/>
      <c r="B114" s="445"/>
      <c r="C114" s="445"/>
      <c r="D114" s="372"/>
      <c r="E114" s="388"/>
    </row>
    <row r="115" spans="1:5" ht="28" x14ac:dyDescent="0.3">
      <c r="A115" s="367" t="str">
        <f>'11. Detail Managment Report'!C34</f>
        <v>2. Trade Debtor Collection Days (TDCD)</v>
      </c>
      <c r="B115" s="440" t="s">
        <v>670</v>
      </c>
      <c r="C115" s="440">
        <v>3</v>
      </c>
      <c r="D115" s="395">
        <f>'9. Inputs-Analysis'!D39</f>
        <v>89.219451744334833</v>
      </c>
      <c r="E115" s="212">
        <f>IF(D115&lt;90,3,IF(D115&lt;120,2,IF(D115&lt;180,1,0)))</f>
        <v>3</v>
      </c>
    </row>
    <row r="116" spans="1:5" x14ac:dyDescent="0.3">
      <c r="A116" s="376"/>
      <c r="B116" s="440" t="s">
        <v>249</v>
      </c>
      <c r="C116" s="440">
        <v>2</v>
      </c>
      <c r="D116" s="372"/>
      <c r="E116" s="390"/>
    </row>
    <row r="117" spans="1:5" x14ac:dyDescent="0.3">
      <c r="A117" s="376"/>
      <c r="B117" s="440" t="s">
        <v>671</v>
      </c>
      <c r="C117" s="440">
        <v>1</v>
      </c>
      <c r="D117" s="372"/>
      <c r="E117" s="390"/>
    </row>
    <row r="118" spans="1:5" x14ac:dyDescent="0.3">
      <c r="A118" s="376"/>
      <c r="B118" s="440" t="s">
        <v>502</v>
      </c>
      <c r="C118" s="440">
        <v>0</v>
      </c>
      <c r="D118" s="372"/>
      <c r="E118" s="390"/>
    </row>
    <row r="119" spans="1:5" x14ac:dyDescent="0.3">
      <c r="A119" s="376"/>
      <c r="B119" s="444"/>
      <c r="C119" s="444"/>
      <c r="D119" s="372"/>
      <c r="E119" s="390"/>
    </row>
    <row r="120" spans="1:5" x14ac:dyDescent="0.3">
      <c r="A120" s="376"/>
      <c r="B120" s="444"/>
      <c r="C120" s="444"/>
      <c r="D120" s="372"/>
      <c r="E120" s="390"/>
    </row>
    <row r="121" spans="1:5" x14ac:dyDescent="0.3">
      <c r="A121" s="376"/>
      <c r="B121" s="444"/>
      <c r="C121" s="444"/>
      <c r="D121" s="372"/>
      <c r="E121" s="390"/>
    </row>
    <row r="122" spans="1:5" x14ac:dyDescent="0.3">
      <c r="A122" s="367" t="str">
        <f>'11. Detail Managment Report'!C35</f>
        <v>3. Asset Turnover (AT)</v>
      </c>
      <c r="B122" s="444" t="s">
        <v>506</v>
      </c>
      <c r="C122" s="444">
        <v>3</v>
      </c>
      <c r="D122" s="384">
        <f>'9. Inputs-Analysis'!D42</f>
        <v>0.35386478561776608</v>
      </c>
      <c r="E122" s="212">
        <f>IF(D122&gt;=100%,3,IF(D122&gt;=50%,2,IF(D122&gt;=30%,1,0)))</f>
        <v>1</v>
      </c>
    </row>
    <row r="123" spans="1:5" x14ac:dyDescent="0.3">
      <c r="A123" s="376"/>
      <c r="B123" s="444" t="s">
        <v>507</v>
      </c>
      <c r="C123" s="444">
        <v>2</v>
      </c>
      <c r="D123" s="372"/>
      <c r="E123" s="390"/>
    </row>
    <row r="124" spans="1:5" x14ac:dyDescent="0.3">
      <c r="A124" s="376"/>
      <c r="B124" s="444" t="s">
        <v>508</v>
      </c>
      <c r="C124" s="444">
        <v>1</v>
      </c>
      <c r="D124" s="372"/>
      <c r="E124" s="390"/>
    </row>
    <row r="125" spans="1:5" x14ac:dyDescent="0.3">
      <c r="A125" s="376"/>
      <c r="B125" s="444" t="s">
        <v>509</v>
      </c>
      <c r="C125" s="444">
        <v>0</v>
      </c>
      <c r="D125" s="372"/>
      <c r="E125" s="390"/>
    </row>
    <row r="126" spans="1:5" x14ac:dyDescent="0.3">
      <c r="A126" s="376"/>
      <c r="B126" s="444"/>
      <c r="C126" s="444"/>
      <c r="D126" s="372"/>
      <c r="E126" s="390"/>
    </row>
    <row r="127" spans="1:5" x14ac:dyDescent="0.3">
      <c r="A127" s="376"/>
      <c r="B127" s="444"/>
      <c r="C127" s="444"/>
      <c r="D127" s="372"/>
      <c r="E127" s="390"/>
    </row>
    <row r="128" spans="1:5" x14ac:dyDescent="0.3">
      <c r="A128" s="376"/>
      <c r="B128" s="444"/>
      <c r="C128" s="444"/>
      <c r="D128" s="372"/>
      <c r="E128" s="390"/>
    </row>
    <row r="129" spans="1:106" s="174" customFormat="1" x14ac:dyDescent="0.3">
      <c r="A129" s="364" t="s">
        <v>446</v>
      </c>
      <c r="B129" s="446"/>
      <c r="C129" s="446">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793</v>
      </c>
      <c r="C130" s="440">
        <v>3</v>
      </c>
      <c r="D130" s="384">
        <f>'9. Inputs-Analysis'!D45</f>
        <v>7.4443631180108563E-2</v>
      </c>
      <c r="E130" s="385">
        <f>IF(D130&gt;8%,3,IF(D130&gt;=4%,2,IF(D130&gt;=2%,1,0)))</f>
        <v>2</v>
      </c>
    </row>
    <row r="131" spans="1:106" x14ac:dyDescent="0.3">
      <c r="A131" s="376"/>
      <c r="B131" s="440" t="s">
        <v>676</v>
      </c>
      <c r="C131" s="440">
        <v>2</v>
      </c>
      <c r="D131" s="372"/>
      <c r="E131" s="388"/>
    </row>
    <row r="132" spans="1:106" x14ac:dyDescent="0.3">
      <c r="A132" s="376"/>
      <c r="B132" s="440" t="s">
        <v>677</v>
      </c>
      <c r="C132" s="440">
        <v>1</v>
      </c>
      <c r="D132" s="372"/>
      <c r="E132" s="388"/>
    </row>
    <row r="133" spans="1:106" x14ac:dyDescent="0.3">
      <c r="A133" s="376"/>
      <c r="B133" s="440" t="s">
        <v>678</v>
      </c>
      <c r="C133" s="440">
        <v>0</v>
      </c>
      <c r="D133" s="372"/>
      <c r="E133" s="388"/>
    </row>
    <row r="134" spans="1:106" x14ac:dyDescent="0.3">
      <c r="A134" s="376"/>
      <c r="B134" s="444"/>
      <c r="C134" s="444"/>
      <c r="D134" s="372"/>
      <c r="E134" s="388"/>
    </row>
    <row r="135" spans="1:106" x14ac:dyDescent="0.3">
      <c r="A135" s="376"/>
      <c r="B135" s="444"/>
      <c r="C135" s="444"/>
      <c r="D135" s="372"/>
      <c r="E135" s="388"/>
    </row>
    <row r="136" spans="1:106" x14ac:dyDescent="0.3">
      <c r="A136" s="376"/>
      <c r="B136" s="444"/>
      <c r="C136" s="444"/>
      <c r="D136" s="372"/>
      <c r="E136" s="388"/>
    </row>
    <row r="137" spans="1:106" x14ac:dyDescent="0.3">
      <c r="A137" s="367" t="str">
        <f>'11. Detail Managment Report'!C38</f>
        <v>2. Cashflow based accrual ratio (CAR)</v>
      </c>
      <c r="B137" s="444" t="s">
        <v>402</v>
      </c>
      <c r="C137" s="444">
        <v>2</v>
      </c>
      <c r="D137" s="369">
        <f>'9. Inputs-Analysis'!D48</f>
        <v>7.7292884750961464E-3</v>
      </c>
      <c r="E137" s="212">
        <f>IF(D137&lt;0,2,IF(D137&gt;0,0,IF(D137=0,1,0)))</f>
        <v>0</v>
      </c>
    </row>
    <row r="138" spans="1:106" x14ac:dyDescent="0.3">
      <c r="A138" s="376"/>
      <c r="B138" s="444" t="s">
        <v>401</v>
      </c>
      <c r="C138" s="444">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25</v>
      </c>
    </row>
    <row r="142" spans="1:106" s="37" customFormat="1" ht="15.75" customHeight="1" thickBot="1" x14ac:dyDescent="0.35">
      <c r="A142" s="396" t="s">
        <v>409</v>
      </c>
      <c r="B142" s="397"/>
      <c r="C142" s="1013">
        <f>E141/C141</f>
        <v>0.41666666666666669</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1"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933FF"/>
  </sheetPr>
  <dimension ref="A1:DB142"/>
  <sheetViews>
    <sheetView view="pageBreakPreview" topLeftCell="A92"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0.43333333333333335</v>
      </c>
      <c r="U6" s="402">
        <f>1-T6</f>
        <v>0.56666666666666665</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40" t="s">
        <v>794</v>
      </c>
      <c r="C19" s="440">
        <v>7</v>
      </c>
      <c r="D19" s="369">
        <f>'9. Inputs-Analysis'!D4</f>
        <v>3.9252586061418495</v>
      </c>
      <c r="E19" s="370">
        <f>IF(D19&lt;0,0,IF(D19&lt;2,7,IF(D19&lt;2.5,6,IF(D19&lt;2.75,5,IF(D19&lt;3,4,IF(D19&lt;3.5,3,IF(D19&lt;4,2,0)))))))</f>
        <v>2</v>
      </c>
    </row>
    <row r="20" spans="1:5" x14ac:dyDescent="0.3">
      <c r="A20" s="371"/>
      <c r="B20" s="440" t="s">
        <v>795</v>
      </c>
      <c r="C20" s="440">
        <v>6</v>
      </c>
      <c r="D20" s="372"/>
      <c r="E20" s="373"/>
    </row>
    <row r="21" spans="1:5" x14ac:dyDescent="0.3">
      <c r="A21" s="371"/>
      <c r="B21" s="440" t="s">
        <v>796</v>
      </c>
      <c r="C21" s="440">
        <v>5</v>
      </c>
      <c r="D21" s="372"/>
      <c r="E21" s="373"/>
    </row>
    <row r="22" spans="1:5" x14ac:dyDescent="0.3">
      <c r="A22" s="371"/>
      <c r="B22" s="440" t="s">
        <v>797</v>
      </c>
      <c r="C22" s="440">
        <v>4</v>
      </c>
      <c r="D22" s="372"/>
      <c r="E22" s="373"/>
    </row>
    <row r="23" spans="1:5" x14ac:dyDescent="0.3">
      <c r="A23" s="371"/>
      <c r="B23" s="440" t="s">
        <v>798</v>
      </c>
      <c r="C23" s="440">
        <v>3</v>
      </c>
      <c r="D23" s="372"/>
      <c r="E23" s="373"/>
    </row>
    <row r="24" spans="1:5" x14ac:dyDescent="0.3">
      <c r="A24" s="371"/>
      <c r="B24" s="440" t="s">
        <v>799</v>
      </c>
      <c r="C24" s="440">
        <v>2</v>
      </c>
      <c r="D24" s="372"/>
      <c r="E24" s="373"/>
    </row>
    <row r="25" spans="1:5" x14ac:dyDescent="0.3">
      <c r="A25" s="371"/>
      <c r="B25" s="440" t="s">
        <v>800</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801</v>
      </c>
      <c r="C29" s="440">
        <v>3</v>
      </c>
      <c r="D29" s="369">
        <f>'9. Inputs-Analysis'!D7</f>
        <v>0.78528910732277912</v>
      </c>
      <c r="E29" s="374">
        <f>IF(D29&lt;0,0,IF(D29&lt;0.6,3,IF(D29&lt;0.75,2,IF(D29&lt;1,1,0))))</f>
        <v>1</v>
      </c>
    </row>
    <row r="30" spans="1:5" x14ac:dyDescent="0.3">
      <c r="A30" s="367"/>
      <c r="B30" s="440" t="s">
        <v>802</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749</v>
      </c>
      <c r="C37" s="440">
        <v>7</v>
      </c>
      <c r="D37" s="369">
        <f>'9. Inputs-Analysis'!D11</f>
        <v>1.040552151554528</v>
      </c>
      <c r="E37" s="370">
        <f>IF(D37&gt;1.5,7,IF(D37&lt;=1,6,IF(D37&gt;=0.75,5,IF(D37&gt;=0.5,3,IF(D37&gt;0.35,2,0)))))</f>
        <v>5</v>
      </c>
    </row>
    <row r="38" spans="1:106" x14ac:dyDescent="0.3">
      <c r="A38" s="367"/>
      <c r="B38" s="440" t="s">
        <v>484</v>
      </c>
      <c r="C38" s="440">
        <v>6</v>
      </c>
      <c r="D38" s="379"/>
      <c r="E38" s="373"/>
    </row>
    <row r="39" spans="1:106" x14ac:dyDescent="0.3">
      <c r="A39" s="376"/>
      <c r="B39" s="440" t="s">
        <v>750</v>
      </c>
      <c r="C39" s="440">
        <v>5</v>
      </c>
      <c r="D39" s="372"/>
      <c r="E39" s="373"/>
    </row>
    <row r="40" spans="1:106" x14ac:dyDescent="0.3">
      <c r="A40" s="376"/>
      <c r="B40" s="440" t="s">
        <v>751</v>
      </c>
      <c r="C40" s="440">
        <v>3</v>
      </c>
      <c r="D40" s="372"/>
      <c r="E40" s="373"/>
    </row>
    <row r="41" spans="1:106" x14ac:dyDescent="0.3">
      <c r="A41" s="376"/>
      <c r="B41" s="440" t="s">
        <v>752</v>
      </c>
      <c r="C41" s="440">
        <v>2</v>
      </c>
      <c r="D41" s="372"/>
      <c r="E41" s="373"/>
    </row>
    <row r="42" spans="1:106" x14ac:dyDescent="0.3">
      <c r="A42" s="376"/>
      <c r="B42" s="440" t="s">
        <v>753</v>
      </c>
      <c r="C42" s="440">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40" t="s">
        <v>803</v>
      </c>
      <c r="C45" s="440">
        <v>3</v>
      </c>
      <c r="D45" s="369">
        <f>'9. Inputs-Analysis'!D10</f>
        <v>6.1472340974284764E-3</v>
      </c>
      <c r="E45" s="374">
        <f>IF(D45&gt;=0.3,3,IF(D45&gt;=0.1,2,IF(D45&gt;=0.05,1,0)))</f>
        <v>0</v>
      </c>
    </row>
    <row r="46" spans="1:106" x14ac:dyDescent="0.3">
      <c r="A46" s="367"/>
      <c r="B46" s="440" t="s">
        <v>804</v>
      </c>
      <c r="C46" s="440">
        <v>2</v>
      </c>
      <c r="D46" s="372"/>
      <c r="E46" s="375"/>
    </row>
    <row r="47" spans="1:106" x14ac:dyDescent="0.3">
      <c r="A47" s="367"/>
      <c r="B47" s="440" t="s">
        <v>235</v>
      </c>
      <c r="C47" s="440">
        <v>1</v>
      </c>
      <c r="D47" s="372"/>
      <c r="E47" s="375"/>
    </row>
    <row r="48" spans="1:106" x14ac:dyDescent="0.3">
      <c r="A48" s="367"/>
      <c r="B48" s="440" t="s">
        <v>488</v>
      </c>
      <c r="C48" s="440">
        <v>0</v>
      </c>
      <c r="D48" s="372"/>
      <c r="E48" s="375"/>
    </row>
    <row r="49" spans="1:106" x14ac:dyDescent="0.3">
      <c r="A49" s="367"/>
      <c r="B49" s="447"/>
      <c r="C49" s="440"/>
      <c r="D49" s="372"/>
      <c r="E49" s="375"/>
    </row>
    <row r="50" spans="1:106" x14ac:dyDescent="0.3">
      <c r="A50" s="367"/>
      <c r="B50" s="443"/>
      <c r="C50" s="443">
        <v>10</v>
      </c>
      <c r="D50" s="372"/>
      <c r="E50" s="375"/>
    </row>
    <row r="51" spans="1:106" x14ac:dyDescent="0.3">
      <c r="A51" s="367"/>
      <c r="B51" s="440"/>
      <c r="C51" s="440"/>
      <c r="D51" s="372"/>
      <c r="E51" s="375"/>
    </row>
    <row r="52" spans="1:106" s="174" customFormat="1" ht="15" customHeight="1" x14ac:dyDescent="0.3">
      <c r="A52" s="381" t="s">
        <v>443</v>
      </c>
      <c r="B52" s="440"/>
      <c r="C52" s="440"/>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685</v>
      </c>
      <c r="C53" s="440">
        <v>5</v>
      </c>
      <c r="D53" s="384">
        <f>'9. Inputs-Analysis'!D15</f>
        <v>5.4896988386267581E-2</v>
      </c>
      <c r="E53" s="385">
        <f>IF(D53&gt;10%,5,IF(D53&gt;=8.01%,4,IF(D53&gt;=6.01%,3,IF(D53&gt;=4.01%,2,IF(D53&gt;=2.01%,1,0)))))</f>
        <v>2</v>
      </c>
    </row>
    <row r="54" spans="1:106" x14ac:dyDescent="0.3">
      <c r="A54" s="386"/>
      <c r="B54" s="440" t="s">
        <v>686</v>
      </c>
      <c r="C54" s="440">
        <v>4</v>
      </c>
      <c r="D54" s="387"/>
      <c r="E54" s="388"/>
    </row>
    <row r="55" spans="1:106" x14ac:dyDescent="0.3">
      <c r="A55" s="386"/>
      <c r="B55" s="440" t="s">
        <v>490</v>
      </c>
      <c r="C55" s="440">
        <v>3</v>
      </c>
      <c r="D55" s="372"/>
      <c r="E55" s="388"/>
    </row>
    <row r="56" spans="1:106" x14ac:dyDescent="0.3">
      <c r="A56" s="386"/>
      <c r="B56" s="440" t="s">
        <v>491</v>
      </c>
      <c r="C56" s="440">
        <v>2</v>
      </c>
      <c r="D56" s="372"/>
      <c r="E56" s="388"/>
    </row>
    <row r="57" spans="1:106" x14ac:dyDescent="0.3">
      <c r="A57" s="376"/>
      <c r="B57" s="440" t="s">
        <v>492</v>
      </c>
      <c r="C57" s="440">
        <v>1</v>
      </c>
      <c r="D57" s="372"/>
      <c r="E57" s="388"/>
    </row>
    <row r="58" spans="1:106" x14ac:dyDescent="0.3">
      <c r="A58" s="376"/>
      <c r="B58" s="440" t="s">
        <v>493</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467</v>
      </c>
      <c r="C62" s="440">
        <v>3</v>
      </c>
      <c r="D62" s="384">
        <f>'9. Inputs-Analysis'!D18</f>
        <v>1.9426111026367571E-2</v>
      </c>
      <c r="E62" s="212">
        <f>IF(D62&gt;=4.5%,3,IF(D62&gt;=3%,2,IF(D62&gt;=2%,1,0)))</f>
        <v>0</v>
      </c>
    </row>
    <row r="63" spans="1:106" x14ac:dyDescent="0.3">
      <c r="A63" s="386"/>
      <c r="B63" s="440" t="s">
        <v>468</v>
      </c>
      <c r="C63" s="440">
        <v>2</v>
      </c>
      <c r="D63" s="389"/>
      <c r="E63" s="390"/>
    </row>
    <row r="64" spans="1:106" x14ac:dyDescent="0.3">
      <c r="A64" s="386"/>
      <c r="B64" s="440" t="s">
        <v>494</v>
      </c>
      <c r="C64" s="440">
        <v>1</v>
      </c>
      <c r="D64" s="389"/>
      <c r="E64" s="390"/>
    </row>
    <row r="65" spans="1:106" x14ac:dyDescent="0.3">
      <c r="A65" s="386"/>
      <c r="B65" s="440" t="s">
        <v>495</v>
      </c>
      <c r="C65" s="440">
        <v>0</v>
      </c>
      <c r="D65" s="372"/>
      <c r="E65" s="390"/>
    </row>
    <row r="66" spans="1:106" x14ac:dyDescent="0.3">
      <c r="A66" s="386"/>
      <c r="B66" s="440"/>
      <c r="C66" s="440"/>
      <c r="D66" s="372"/>
      <c r="E66" s="390"/>
    </row>
    <row r="67" spans="1:106" ht="14.5" x14ac:dyDescent="0.35">
      <c r="A67" s="386"/>
      <c r="B67" s="448"/>
      <c r="C67" s="448"/>
      <c r="D67" s="372"/>
      <c r="E67" s="390"/>
    </row>
    <row r="68" spans="1:106" ht="14.5" x14ac:dyDescent="0.35">
      <c r="A68" s="386"/>
      <c r="B68" s="448"/>
      <c r="C68" s="448"/>
      <c r="D68" s="372"/>
      <c r="E68" s="390"/>
    </row>
    <row r="69" spans="1:106" ht="28" x14ac:dyDescent="0.3">
      <c r="A69" s="391" t="str">
        <f>'11. Detail Managment Report'!C26</f>
        <v>3. Operating Profit to Operating Assets (OPOA)</v>
      </c>
      <c r="B69" s="440" t="s">
        <v>805</v>
      </c>
      <c r="C69" s="440">
        <v>2</v>
      </c>
      <c r="D69" s="392">
        <f>'9. Inputs-Analysis'!D21</f>
        <v>4.652054000911502E-2</v>
      </c>
      <c r="E69" s="212">
        <f>IF(D69&gt;4%,2,IF(D69&gt;=2.01%,1,0))</f>
        <v>2</v>
      </c>
    </row>
    <row r="70" spans="1:106" x14ac:dyDescent="0.3">
      <c r="A70" s="391"/>
      <c r="B70" s="440" t="s">
        <v>677</v>
      </c>
      <c r="C70" s="440">
        <v>1</v>
      </c>
      <c r="D70" s="372"/>
      <c r="E70" s="390"/>
    </row>
    <row r="71" spans="1:106" x14ac:dyDescent="0.3">
      <c r="A71" s="376"/>
      <c r="B71" s="440" t="s">
        <v>691</v>
      </c>
      <c r="C71" s="440">
        <v>0</v>
      </c>
      <c r="D71" s="372"/>
      <c r="E71" s="390"/>
    </row>
    <row r="72" spans="1:106" x14ac:dyDescent="0.3">
      <c r="A72" s="376"/>
      <c r="B72" s="440"/>
      <c r="C72" s="440"/>
      <c r="D72" s="372"/>
      <c r="E72" s="390"/>
    </row>
    <row r="73" spans="1:106" x14ac:dyDescent="0.3">
      <c r="A73" s="376"/>
      <c r="B73" s="443"/>
      <c r="C73" s="443">
        <v>15</v>
      </c>
      <c r="D73" s="372"/>
      <c r="E73" s="390"/>
    </row>
    <row r="74" spans="1:106" x14ac:dyDescent="0.3">
      <c r="A74" s="376"/>
      <c r="B74" s="440"/>
      <c r="C74" s="440"/>
      <c r="D74" s="372"/>
      <c r="E74" s="390"/>
    </row>
    <row r="75" spans="1:106" s="174" customFormat="1" x14ac:dyDescent="0.3">
      <c r="A75" s="364" t="s">
        <v>444</v>
      </c>
      <c r="B75" s="440"/>
      <c r="C75" s="440"/>
      <c r="D75" s="365"/>
      <c r="E75" s="366">
        <f>E76+E83+E93+E100</f>
        <v>8</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778</v>
      </c>
      <c r="C76" s="440">
        <v>3</v>
      </c>
      <c r="D76" s="369">
        <f>'9. Inputs-Analysis'!D24</f>
        <v>2.1640484041893577</v>
      </c>
      <c r="E76" s="370">
        <f>IF(D76&gt;3,3,IF(D76&gt;=2.01,2,IF(D76&gt;=1.01,1,0)))</f>
        <v>2</v>
      </c>
    </row>
    <row r="77" spans="1:106" x14ac:dyDescent="0.3">
      <c r="A77" s="376"/>
      <c r="B77" s="440" t="s">
        <v>779</v>
      </c>
      <c r="C77" s="440">
        <v>2</v>
      </c>
      <c r="D77" s="218"/>
      <c r="E77" s="373"/>
    </row>
    <row r="78" spans="1:106" x14ac:dyDescent="0.3">
      <c r="A78" s="376"/>
      <c r="B78" s="440" t="s">
        <v>780</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IF(D83&gt;2.5,5,IF(D83&gt;=2,4,IF(D83&gt;=1.5,3,IF(D83&gt;=1.25,2,IF(D83&gt;=1.01,1,0)))))</f>
        <v>2</v>
      </c>
    </row>
    <row r="84" spans="1:5" x14ac:dyDescent="0.3">
      <c r="A84" s="367"/>
      <c r="B84" s="440" t="s">
        <v>781</v>
      </c>
      <c r="C84" s="440">
        <v>5</v>
      </c>
      <c r="D84" s="372"/>
      <c r="E84" s="375"/>
    </row>
    <row r="85" spans="1:5" x14ac:dyDescent="0.3">
      <c r="A85" s="367"/>
      <c r="B85" s="440" t="s">
        <v>782</v>
      </c>
      <c r="C85" s="440">
        <v>4</v>
      </c>
      <c r="D85" s="372"/>
      <c r="E85" s="375"/>
    </row>
    <row r="86" spans="1:5" x14ac:dyDescent="0.3">
      <c r="A86" s="367"/>
      <c r="B86" s="440" t="s">
        <v>783</v>
      </c>
      <c r="C86" s="440">
        <v>3</v>
      </c>
      <c r="D86" s="372"/>
      <c r="E86" s="375"/>
    </row>
    <row r="87" spans="1:5" x14ac:dyDescent="0.3">
      <c r="A87" s="367"/>
      <c r="B87" s="440" t="s">
        <v>784</v>
      </c>
      <c r="C87" s="440">
        <v>2</v>
      </c>
      <c r="D87" s="372"/>
      <c r="E87" s="375"/>
    </row>
    <row r="88" spans="1:5" x14ac:dyDescent="0.3">
      <c r="A88" s="367"/>
      <c r="B88" s="440" t="s">
        <v>785</v>
      </c>
      <c r="C88" s="440">
        <v>1</v>
      </c>
      <c r="D88" s="372"/>
      <c r="E88" s="375"/>
    </row>
    <row r="89" spans="1:5" x14ac:dyDescent="0.3">
      <c r="A89" s="376"/>
      <c r="B89" s="440" t="s">
        <v>629</v>
      </c>
      <c r="C89" s="440">
        <v>0</v>
      </c>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700</v>
      </c>
      <c r="C93" s="440">
        <v>4</v>
      </c>
      <c r="D93" s="393">
        <f>'9. Inputs-Analysis'!D30</f>
        <v>3.3545581292940753E-2</v>
      </c>
      <c r="E93" s="374">
        <f>IF(D93&gt;0.1,4,IF(D93&gt;=0.06,3,IF(D93&gt;=0.02,2,IF(D93&gt;=-0.1,1,0))))</f>
        <v>2</v>
      </c>
    </row>
    <row r="94" spans="1:5" x14ac:dyDescent="0.3">
      <c r="A94" s="376"/>
      <c r="B94" s="440" t="s">
        <v>701</v>
      </c>
      <c r="C94" s="440">
        <v>3</v>
      </c>
      <c r="D94" s="372"/>
      <c r="E94" s="375"/>
    </row>
    <row r="95" spans="1:5" x14ac:dyDescent="0.3">
      <c r="A95" s="376"/>
      <c r="B95" s="440" t="s">
        <v>702</v>
      </c>
      <c r="C95" s="440">
        <v>2</v>
      </c>
      <c r="D95" s="372"/>
      <c r="E95" s="375"/>
    </row>
    <row r="96" spans="1:5" x14ac:dyDescent="0.3">
      <c r="A96" s="376"/>
      <c r="B96" s="440" t="s">
        <v>703</v>
      </c>
      <c r="C96" s="440">
        <v>1</v>
      </c>
      <c r="D96" s="372"/>
      <c r="E96" s="375"/>
    </row>
    <row r="97" spans="1:106" x14ac:dyDescent="0.3">
      <c r="A97" s="376"/>
      <c r="B97" s="440" t="s">
        <v>704</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IF(D100&gt;1,3,IF(D100&gt;=0.5,2,IF(D100&gt;=-0.25,1,0)))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3"/>
      <c r="C104" s="443">
        <v>10</v>
      </c>
      <c r="D104" s="372"/>
      <c r="E104" s="375"/>
    </row>
    <row r="105" spans="1:106" x14ac:dyDescent="0.3">
      <c r="A105" s="367"/>
      <c r="B105" s="440"/>
      <c r="C105" s="440"/>
      <c r="D105" s="372"/>
      <c r="E105" s="375"/>
    </row>
    <row r="106" spans="1:106" s="174" customFormat="1" x14ac:dyDescent="0.3">
      <c r="A106" s="364" t="s">
        <v>445</v>
      </c>
      <c r="B106" s="440"/>
      <c r="C106" s="440"/>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806</v>
      </c>
      <c r="C107" s="440">
        <v>4</v>
      </c>
      <c r="D107" s="395">
        <f>'9. Inputs-Analysis'!D36</f>
        <v>823.72780049574567</v>
      </c>
      <c r="E107" s="385">
        <f>IF(D107&lt;60,4,IF(D107&lt;89,3,IF(D107&lt;120,2,IF(D107&lt;150,1,0))))</f>
        <v>0</v>
      </c>
    </row>
    <row r="108" spans="1:106" x14ac:dyDescent="0.3">
      <c r="A108" s="376"/>
      <c r="B108" s="440" t="s">
        <v>807</v>
      </c>
      <c r="C108" s="440">
        <v>3</v>
      </c>
      <c r="D108" s="372"/>
      <c r="E108" s="388"/>
    </row>
    <row r="109" spans="1:106" x14ac:dyDescent="0.3">
      <c r="A109" s="376"/>
      <c r="B109" s="440" t="s">
        <v>791</v>
      </c>
      <c r="C109" s="440">
        <v>2</v>
      </c>
      <c r="D109" s="372"/>
      <c r="E109" s="388"/>
    </row>
    <row r="110" spans="1:106" x14ac:dyDescent="0.3">
      <c r="A110" s="376"/>
      <c r="B110" s="440" t="s">
        <v>808</v>
      </c>
      <c r="C110" s="440">
        <v>1</v>
      </c>
      <c r="D110" s="372"/>
      <c r="E110" s="388"/>
    </row>
    <row r="111" spans="1:106" x14ac:dyDescent="0.3">
      <c r="A111" s="376"/>
      <c r="B111" s="440" t="s">
        <v>717</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670</v>
      </c>
      <c r="C115" s="440">
        <v>3</v>
      </c>
      <c r="D115" s="395">
        <f>'9. Inputs-Analysis'!D39</f>
        <v>89.219451744334833</v>
      </c>
      <c r="E115" s="212">
        <f>IF(D115&lt;45,3,IF(D115&lt;60,2,IF(D115&lt;90,1,0)))</f>
        <v>1</v>
      </c>
    </row>
    <row r="116" spans="1:5" x14ac:dyDescent="0.3">
      <c r="A116" s="376"/>
      <c r="B116" s="440" t="s">
        <v>249</v>
      </c>
      <c r="C116" s="440">
        <v>2</v>
      </c>
      <c r="D116" s="372"/>
      <c r="E116" s="390"/>
    </row>
    <row r="117" spans="1:5" x14ac:dyDescent="0.3">
      <c r="A117" s="376"/>
      <c r="B117" s="440" t="s">
        <v>671</v>
      </c>
      <c r="C117" s="440">
        <v>1</v>
      </c>
      <c r="D117" s="372"/>
      <c r="E117" s="390"/>
    </row>
    <row r="118" spans="1:5" x14ac:dyDescent="0.3">
      <c r="A118" s="376"/>
      <c r="B118" s="440" t="s">
        <v>502</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t="s">
        <v>765</v>
      </c>
      <c r="C121" s="440">
        <v>3</v>
      </c>
      <c r="D121" s="372"/>
      <c r="E121" s="390"/>
    </row>
    <row r="122" spans="1:5" x14ac:dyDescent="0.3">
      <c r="A122" s="367" t="str">
        <f>'11. Detail Managment Report'!C35</f>
        <v>3. Asset Turnover (AT)</v>
      </c>
      <c r="B122" s="440" t="s">
        <v>766</v>
      </c>
      <c r="C122" s="440">
        <v>2</v>
      </c>
      <c r="D122" s="384">
        <f>'9. Inputs-Analysis'!D42</f>
        <v>0.35386478561776608</v>
      </c>
      <c r="E122" s="212">
        <f>IF(D122&gt;50%,3,IF(D122&gt;=20%,2,IF(D122&gt;=10%,1,0)))</f>
        <v>2</v>
      </c>
    </row>
    <row r="123" spans="1:5" x14ac:dyDescent="0.3">
      <c r="A123" s="376"/>
      <c r="B123" s="440" t="s">
        <v>767</v>
      </c>
      <c r="C123" s="440">
        <v>1</v>
      </c>
      <c r="D123" s="372"/>
      <c r="E123" s="390"/>
    </row>
    <row r="124" spans="1:5" x14ac:dyDescent="0.3">
      <c r="A124" s="376"/>
      <c r="B124" s="440" t="s">
        <v>768</v>
      </c>
      <c r="C124" s="440">
        <v>0</v>
      </c>
      <c r="D124" s="372"/>
      <c r="E124" s="390"/>
    </row>
    <row r="125" spans="1:5" x14ac:dyDescent="0.3">
      <c r="A125" s="376"/>
      <c r="B125" s="440"/>
      <c r="C125" s="440"/>
      <c r="D125" s="372"/>
      <c r="E125" s="390"/>
    </row>
    <row r="126" spans="1:5" x14ac:dyDescent="0.3">
      <c r="A126" s="376"/>
      <c r="B126" s="440"/>
      <c r="C126" s="440"/>
      <c r="D126" s="372"/>
      <c r="E126" s="390"/>
    </row>
    <row r="127" spans="1:5" x14ac:dyDescent="0.3">
      <c r="A127" s="376"/>
      <c r="B127" s="443"/>
      <c r="C127" s="443">
        <v>5</v>
      </c>
      <c r="D127" s="372"/>
      <c r="E127" s="390"/>
    </row>
    <row r="128" spans="1:5" x14ac:dyDescent="0.3">
      <c r="A128" s="376"/>
      <c r="B128" s="440"/>
      <c r="C128" s="440"/>
      <c r="D128" s="372"/>
      <c r="E128" s="390"/>
    </row>
    <row r="129" spans="1:106" s="174" customFormat="1" x14ac:dyDescent="0.3">
      <c r="A129" s="364" t="s">
        <v>446</v>
      </c>
      <c r="B129" s="440"/>
      <c r="C129" s="440"/>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718</v>
      </c>
      <c r="C130" s="440">
        <v>3</v>
      </c>
      <c r="D130" s="384">
        <f>'9. Inputs-Analysis'!D45</f>
        <v>7.4443631180108563E-2</v>
      </c>
      <c r="E130" s="385">
        <f>IF(D130&gt;3%,3,IF(D130&gt;=2%,2,IF(D130&gt;=1%,1,0)))</f>
        <v>3</v>
      </c>
    </row>
    <row r="131" spans="1:106" x14ac:dyDescent="0.3">
      <c r="A131" s="376"/>
      <c r="B131" s="440" t="s">
        <v>719</v>
      </c>
      <c r="C131" s="440">
        <v>2</v>
      </c>
      <c r="D131" s="372"/>
      <c r="E131" s="388"/>
    </row>
    <row r="132" spans="1:106" x14ac:dyDescent="0.3">
      <c r="A132" s="376"/>
      <c r="B132" s="440" t="s">
        <v>720</v>
      </c>
      <c r="C132" s="440">
        <v>1</v>
      </c>
      <c r="D132" s="372"/>
      <c r="E132" s="388"/>
    </row>
    <row r="133" spans="1:106" x14ac:dyDescent="0.3">
      <c r="A133" s="376"/>
      <c r="B133" s="440" t="s">
        <v>721</v>
      </c>
      <c r="C133" s="440">
        <v>0</v>
      </c>
      <c r="D133" s="372"/>
      <c r="E133" s="388"/>
    </row>
    <row r="134" spans="1:106" x14ac:dyDescent="0.3">
      <c r="A134" s="376"/>
      <c r="B134" s="368"/>
      <c r="C134" s="368"/>
      <c r="D134" s="372"/>
      <c r="E134" s="388"/>
    </row>
    <row r="135" spans="1:106" x14ac:dyDescent="0.3">
      <c r="A135" s="376"/>
      <c r="B135" s="368"/>
      <c r="C135" s="368"/>
      <c r="D135" s="372"/>
      <c r="E135" s="388"/>
    </row>
    <row r="136" spans="1:106" x14ac:dyDescent="0.3">
      <c r="A136" s="376"/>
      <c r="B136" s="368"/>
      <c r="C136" s="368"/>
      <c r="D136" s="372"/>
      <c r="E136" s="388"/>
    </row>
    <row r="137" spans="1:106" x14ac:dyDescent="0.3">
      <c r="A137" s="367" t="str">
        <f>'11. Detail Managment Report'!C38</f>
        <v>2. Cashflow based accrual ratio (CAR)</v>
      </c>
      <c r="B137" s="440" t="s">
        <v>980</v>
      </c>
      <c r="C137" s="440">
        <v>2</v>
      </c>
      <c r="D137" s="369">
        <f>'9. Inputs-Analysis'!D48</f>
        <v>7.7292884750961464E-3</v>
      </c>
      <c r="E137" s="212">
        <f>IF(D137&lt;0,2,IF(D137&gt;0,0,IF(D137=0,1,0)))</f>
        <v>0</v>
      </c>
    </row>
    <row r="138" spans="1:106" x14ac:dyDescent="0.3">
      <c r="A138" s="376"/>
      <c r="B138" s="440" t="s">
        <v>979</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v>60</v>
      </c>
      <c r="D141" s="400"/>
      <c r="E141" s="401">
        <f>E129+E106+E75+E52+E36+E18</f>
        <v>26</v>
      </c>
    </row>
    <row r="142" spans="1:106" s="37" customFormat="1" ht="15.75" customHeight="1" thickBot="1" x14ac:dyDescent="0.35">
      <c r="A142" s="396" t="s">
        <v>409</v>
      </c>
      <c r="B142" s="397"/>
      <c r="C142" s="1013">
        <f>E141/C141</f>
        <v>0.43333333333333335</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10"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933FF"/>
  </sheetPr>
  <dimension ref="A1:DB142"/>
  <sheetViews>
    <sheetView view="pageBreakPreview" topLeftCell="A83"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0.41666666666666669</v>
      </c>
      <c r="U6" s="402">
        <f>1-T6</f>
        <v>0.58333333333333326</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40" t="s">
        <v>631</v>
      </c>
      <c r="C19" s="440">
        <v>7</v>
      </c>
      <c r="D19" s="369">
        <f>'9. Inputs-Analysis'!D4</f>
        <v>3.9252586061418495</v>
      </c>
      <c r="E19" s="370">
        <f>IF(D19&lt;0,0,IF(D19&lt;0.75,7,IF(D19&lt;1,6,IF(D19&lt;1.25,5,IF(D19&lt;1.5,4,IF(D19&lt;3,3,IF(D19&lt;4,2,0)))))))</f>
        <v>2</v>
      </c>
    </row>
    <row r="20" spans="1:5" x14ac:dyDescent="0.3">
      <c r="A20" s="371"/>
      <c r="B20" s="440" t="s">
        <v>809</v>
      </c>
      <c r="C20" s="440">
        <v>6</v>
      </c>
      <c r="D20" s="372"/>
      <c r="E20" s="373"/>
    </row>
    <row r="21" spans="1:5" x14ac:dyDescent="0.3">
      <c r="A21" s="371"/>
      <c r="B21" s="440" t="s">
        <v>633</v>
      </c>
      <c r="C21" s="440">
        <v>5</v>
      </c>
      <c r="D21" s="372"/>
      <c r="E21" s="373"/>
    </row>
    <row r="22" spans="1:5" x14ac:dyDescent="0.3">
      <c r="A22" s="371"/>
      <c r="B22" s="440" t="s">
        <v>810</v>
      </c>
      <c r="C22" s="440">
        <v>4</v>
      </c>
      <c r="D22" s="372"/>
      <c r="E22" s="373"/>
    </row>
    <row r="23" spans="1:5" x14ac:dyDescent="0.3">
      <c r="A23" s="371"/>
      <c r="B23" s="440" t="s">
        <v>811</v>
      </c>
      <c r="C23" s="440">
        <v>3</v>
      </c>
      <c r="D23" s="372"/>
      <c r="E23" s="373"/>
    </row>
    <row r="24" spans="1:5" x14ac:dyDescent="0.3">
      <c r="A24" s="371"/>
      <c r="B24" s="440" t="s">
        <v>635</v>
      </c>
      <c r="C24" s="440">
        <v>2</v>
      </c>
      <c r="D24" s="372"/>
      <c r="E24" s="373"/>
    </row>
    <row r="25" spans="1:5" x14ac:dyDescent="0.3">
      <c r="A25" s="371"/>
      <c r="B25" s="440" t="s">
        <v>636</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679</v>
      </c>
      <c r="C29" s="440">
        <v>3</v>
      </c>
      <c r="D29" s="369">
        <f>'9. Inputs-Analysis'!D7</f>
        <v>0.78528910732277912</v>
      </c>
      <c r="E29" s="374">
        <f>IF(D29&lt;0,0,IF(D29&lt;0.45,3,IF(D29&lt;0.75,2,IF(D29&lt;1,1,0))))</f>
        <v>1</v>
      </c>
    </row>
    <row r="30" spans="1:5" x14ac:dyDescent="0.3">
      <c r="A30" s="367"/>
      <c r="B30" s="440" t="s">
        <v>680</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749</v>
      </c>
      <c r="C37" s="440">
        <v>7</v>
      </c>
      <c r="D37" s="369">
        <f>'9. Inputs-Analysis'!D11</f>
        <v>1.040552151554528</v>
      </c>
      <c r="E37" s="370">
        <f>IF(D37&gt;1.5,7,IF(D37&gt;=1.01,6,IF(D37&gt;=0.75,5,IF(D37&gt;=0.51,3,IF(D37&gt;=0.35,2,0)))))</f>
        <v>6</v>
      </c>
    </row>
    <row r="38" spans="1:106" x14ac:dyDescent="0.3">
      <c r="A38" s="367"/>
      <c r="B38" s="440" t="s">
        <v>484</v>
      </c>
      <c r="C38" s="440">
        <v>6</v>
      </c>
      <c r="D38" s="379"/>
      <c r="E38" s="373"/>
    </row>
    <row r="39" spans="1:106" x14ac:dyDescent="0.3">
      <c r="A39" s="376"/>
      <c r="B39" s="440" t="s">
        <v>750</v>
      </c>
      <c r="C39" s="440">
        <v>5</v>
      </c>
      <c r="D39" s="372"/>
      <c r="E39" s="373"/>
    </row>
    <row r="40" spans="1:106" x14ac:dyDescent="0.3">
      <c r="A40" s="376"/>
      <c r="B40" s="440" t="s">
        <v>751</v>
      </c>
      <c r="C40" s="440">
        <v>3</v>
      </c>
      <c r="D40" s="372"/>
      <c r="E40" s="373"/>
    </row>
    <row r="41" spans="1:106" x14ac:dyDescent="0.3">
      <c r="A41" s="376"/>
      <c r="B41" s="440" t="s">
        <v>752</v>
      </c>
      <c r="C41" s="440">
        <v>2</v>
      </c>
      <c r="D41" s="372"/>
      <c r="E41" s="373"/>
    </row>
    <row r="42" spans="1:106" x14ac:dyDescent="0.3">
      <c r="A42" s="376"/>
      <c r="B42" s="440" t="s">
        <v>753</v>
      </c>
      <c r="C42" s="440">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40" t="s">
        <v>812</v>
      </c>
      <c r="C45" s="440">
        <v>3</v>
      </c>
      <c r="D45" s="369">
        <f>'9. Inputs-Analysis'!D10</f>
        <v>6.1472340974284764E-3</v>
      </c>
      <c r="E45" s="374">
        <f>IF(D45&gt;=0.1,3,IF(D45&gt;=0.05,2,IF(D45&gt;=0.03,1,0)))</f>
        <v>0</v>
      </c>
    </row>
    <row r="46" spans="1:106" x14ac:dyDescent="0.3">
      <c r="A46" s="367"/>
      <c r="B46" s="440" t="s">
        <v>813</v>
      </c>
      <c r="C46" s="440">
        <v>2</v>
      </c>
      <c r="D46" s="372"/>
      <c r="E46" s="375"/>
    </row>
    <row r="47" spans="1:106" x14ac:dyDescent="0.3">
      <c r="A47" s="367"/>
      <c r="B47" s="440" t="s">
        <v>814</v>
      </c>
      <c r="C47" s="440">
        <v>1</v>
      </c>
      <c r="D47" s="372"/>
      <c r="E47" s="375"/>
    </row>
    <row r="48" spans="1:106" x14ac:dyDescent="0.3">
      <c r="A48" s="367"/>
      <c r="B48" s="440" t="s">
        <v>815</v>
      </c>
      <c r="C48" s="440">
        <v>0</v>
      </c>
      <c r="D48" s="372"/>
      <c r="E48" s="375"/>
    </row>
    <row r="49" spans="1:106" x14ac:dyDescent="0.3">
      <c r="A49" s="367"/>
      <c r="B49" s="440"/>
      <c r="C49" s="440"/>
      <c r="D49" s="372"/>
      <c r="E49" s="375"/>
    </row>
    <row r="50" spans="1:106" x14ac:dyDescent="0.3">
      <c r="A50" s="367"/>
      <c r="B50" s="440"/>
      <c r="C50" s="440"/>
      <c r="D50" s="372"/>
      <c r="E50" s="375"/>
    </row>
    <row r="51" spans="1:106" x14ac:dyDescent="0.3">
      <c r="A51" s="367"/>
      <c r="B51" s="447"/>
      <c r="C51" s="440"/>
      <c r="D51" s="372"/>
      <c r="E51" s="375"/>
    </row>
    <row r="52" spans="1:106" s="174" customFormat="1" ht="15" customHeight="1" x14ac:dyDescent="0.3">
      <c r="A52" s="381" t="s">
        <v>443</v>
      </c>
      <c r="B52" s="443"/>
      <c r="C52" s="443">
        <v>10</v>
      </c>
      <c r="D52" s="382"/>
      <c r="E52" s="383">
        <f>E53+E62+E69</f>
        <v>5</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816</v>
      </c>
      <c r="C53" s="440">
        <v>5</v>
      </c>
      <c r="D53" s="384">
        <f>'9. Inputs-Analysis'!D15</f>
        <v>5.4896988386267581E-2</v>
      </c>
      <c r="E53" s="385">
        <f>IF(D53&gt;6%,5,IF(D53&gt;=5%,4,IF(D53&gt;=4%,3,IF(D53&gt;=3%,2,IF(D53&gt;=1%,1,0)))))</f>
        <v>4</v>
      </c>
    </row>
    <row r="54" spans="1:106" x14ac:dyDescent="0.3">
      <c r="A54" s="386"/>
      <c r="B54" s="440" t="s">
        <v>817</v>
      </c>
      <c r="C54" s="440">
        <v>4</v>
      </c>
      <c r="D54" s="387"/>
      <c r="E54" s="388"/>
    </row>
    <row r="55" spans="1:106" x14ac:dyDescent="0.3">
      <c r="A55" s="386"/>
      <c r="B55" s="440" t="s">
        <v>818</v>
      </c>
      <c r="C55" s="440">
        <v>3</v>
      </c>
      <c r="D55" s="372"/>
      <c r="E55" s="388"/>
    </row>
    <row r="56" spans="1:106" x14ac:dyDescent="0.3">
      <c r="A56" s="386"/>
      <c r="B56" s="440" t="s">
        <v>819</v>
      </c>
      <c r="C56" s="440">
        <v>2</v>
      </c>
      <c r="D56" s="372"/>
      <c r="E56" s="388"/>
    </row>
    <row r="57" spans="1:106" x14ac:dyDescent="0.3">
      <c r="A57" s="376"/>
      <c r="B57" s="440" t="s">
        <v>820</v>
      </c>
      <c r="C57" s="440">
        <v>1</v>
      </c>
      <c r="D57" s="372"/>
      <c r="E57" s="388"/>
    </row>
    <row r="58" spans="1:106" x14ac:dyDescent="0.3">
      <c r="A58" s="376"/>
      <c r="B58" s="440" t="s">
        <v>646</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821</v>
      </c>
      <c r="C62" s="440">
        <v>3</v>
      </c>
      <c r="D62" s="384">
        <f>'9. Inputs-Analysis'!D18</f>
        <v>1.9426111026367571E-2</v>
      </c>
      <c r="E62" s="212">
        <f>IF(D62&gt;6%,3,IF(D62&gt;=3%,2,IF(D62&gt;=1%,1,0)))</f>
        <v>1</v>
      </c>
    </row>
    <row r="63" spans="1:106" x14ac:dyDescent="0.3">
      <c r="A63" s="386"/>
      <c r="B63" s="440" t="s">
        <v>822</v>
      </c>
      <c r="C63" s="440">
        <v>2</v>
      </c>
      <c r="D63" s="389"/>
      <c r="E63" s="390"/>
    </row>
    <row r="64" spans="1:106" x14ac:dyDescent="0.3">
      <c r="A64" s="386"/>
      <c r="B64" s="440" t="s">
        <v>494</v>
      </c>
      <c r="C64" s="440">
        <v>1</v>
      </c>
      <c r="D64" s="389"/>
      <c r="E64" s="390"/>
    </row>
    <row r="65" spans="1:106" x14ac:dyDescent="0.3">
      <c r="A65" s="386"/>
      <c r="B65" s="440" t="s">
        <v>495</v>
      </c>
      <c r="C65" s="440">
        <v>0</v>
      </c>
      <c r="D65" s="372"/>
      <c r="E65" s="390"/>
    </row>
    <row r="66" spans="1:106" x14ac:dyDescent="0.3">
      <c r="A66" s="386"/>
      <c r="B66" s="440"/>
      <c r="C66" s="440"/>
      <c r="D66" s="372"/>
      <c r="E66" s="390"/>
    </row>
    <row r="67" spans="1:106" x14ac:dyDescent="0.3">
      <c r="A67" s="386"/>
      <c r="B67" s="440"/>
      <c r="C67" s="440"/>
      <c r="D67" s="372"/>
      <c r="E67" s="390"/>
    </row>
    <row r="68" spans="1:106" x14ac:dyDescent="0.3">
      <c r="A68" s="386"/>
      <c r="B68" s="440"/>
      <c r="C68" s="440"/>
      <c r="D68" s="372"/>
      <c r="E68" s="390"/>
    </row>
    <row r="69" spans="1:106" ht="28" x14ac:dyDescent="0.3">
      <c r="A69" s="391" t="str">
        <f>'11. Detail Managment Report'!C26</f>
        <v>3. Operating Profit to Operating Assets (OPOA)</v>
      </c>
      <c r="B69" s="440" t="s">
        <v>722</v>
      </c>
      <c r="C69" s="440">
        <v>2</v>
      </c>
      <c r="D69" s="392">
        <f>'9. Inputs-Analysis'!D21</f>
        <v>4.652054000911502E-2</v>
      </c>
      <c r="E69" s="212">
        <f>IF(D69&gt;=8%,2,IF(D69&gt;=5%,1,0))</f>
        <v>0</v>
      </c>
    </row>
    <row r="70" spans="1:106" x14ac:dyDescent="0.3">
      <c r="A70" s="391"/>
      <c r="B70" s="440" t="s">
        <v>723</v>
      </c>
      <c r="C70" s="440">
        <v>1</v>
      </c>
      <c r="D70" s="372"/>
      <c r="E70" s="390"/>
    </row>
    <row r="71" spans="1:106" x14ac:dyDescent="0.3">
      <c r="A71" s="376"/>
      <c r="B71" s="440" t="s">
        <v>724</v>
      </c>
      <c r="C71" s="440">
        <v>0</v>
      </c>
      <c r="D71" s="372"/>
      <c r="E71" s="390"/>
    </row>
    <row r="72" spans="1:106" x14ac:dyDescent="0.3">
      <c r="A72" s="376"/>
      <c r="B72" s="440"/>
      <c r="C72" s="440"/>
      <c r="D72" s="372"/>
      <c r="E72" s="390"/>
    </row>
    <row r="73" spans="1:106" x14ac:dyDescent="0.3">
      <c r="A73" s="376"/>
      <c r="B73" s="440"/>
      <c r="C73" s="440"/>
      <c r="D73" s="372"/>
      <c r="E73" s="390"/>
    </row>
    <row r="74" spans="1:106" x14ac:dyDescent="0.3">
      <c r="A74" s="376"/>
      <c r="B74" s="440"/>
      <c r="C74" s="440"/>
      <c r="D74" s="372"/>
      <c r="E74" s="390"/>
    </row>
    <row r="75" spans="1:106" s="174" customFormat="1" x14ac:dyDescent="0.3">
      <c r="A75" s="364" t="s">
        <v>444</v>
      </c>
      <c r="B75" s="443"/>
      <c r="C75" s="443">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778</v>
      </c>
      <c r="C76" s="440">
        <v>3</v>
      </c>
      <c r="D76" s="369">
        <f>'9. Inputs-Analysis'!D24</f>
        <v>2.1640484041893577</v>
      </c>
      <c r="E76" s="370">
        <f>IF(D76&gt;3,3,IF(D76&gt;2,2,IF(D76&gt;1,1,0)))</f>
        <v>2</v>
      </c>
    </row>
    <row r="77" spans="1:106" x14ac:dyDescent="0.3">
      <c r="A77" s="376"/>
      <c r="B77" s="440" t="s">
        <v>779</v>
      </c>
      <c r="C77" s="440">
        <v>2</v>
      </c>
      <c r="D77" s="218"/>
      <c r="E77" s="373"/>
    </row>
    <row r="78" spans="1:106" x14ac:dyDescent="0.3">
      <c r="A78" s="376"/>
      <c r="B78" s="440" t="s">
        <v>780</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IF(D83&gt;2.5,5,IF(D83&gt;=2,4,IF(D83&gt;=1.5,3,IF(D83&gt;=1.25,2,IF(D83&gt;=0.5,1,0)))))</f>
        <v>2</v>
      </c>
    </row>
    <row r="84" spans="1:5" x14ac:dyDescent="0.3">
      <c r="A84" s="367"/>
      <c r="B84" s="440" t="s">
        <v>781</v>
      </c>
      <c r="C84" s="440">
        <v>5</v>
      </c>
      <c r="D84" s="372"/>
      <c r="E84" s="375"/>
    </row>
    <row r="85" spans="1:5" x14ac:dyDescent="0.3">
      <c r="A85" s="367"/>
      <c r="B85" s="440" t="s">
        <v>782</v>
      </c>
      <c r="C85" s="440">
        <v>4</v>
      </c>
      <c r="D85" s="372"/>
      <c r="E85" s="375"/>
    </row>
    <row r="86" spans="1:5" x14ac:dyDescent="0.3">
      <c r="A86" s="367"/>
      <c r="B86" s="440" t="s">
        <v>783</v>
      </c>
      <c r="C86" s="440">
        <v>3</v>
      </c>
      <c r="D86" s="372"/>
      <c r="E86" s="375"/>
    </row>
    <row r="87" spans="1:5" x14ac:dyDescent="0.3">
      <c r="A87" s="367"/>
      <c r="B87" s="440" t="s">
        <v>784</v>
      </c>
      <c r="C87" s="440">
        <v>2</v>
      </c>
      <c r="D87" s="372"/>
      <c r="E87" s="375"/>
    </row>
    <row r="88" spans="1:5" x14ac:dyDescent="0.3">
      <c r="A88" s="367"/>
      <c r="B88" s="440" t="s">
        <v>785</v>
      </c>
      <c r="C88" s="440">
        <v>1</v>
      </c>
      <c r="D88" s="372"/>
      <c r="E88" s="375"/>
    </row>
    <row r="89" spans="1:5" x14ac:dyDescent="0.3">
      <c r="A89" s="376"/>
      <c r="B89" s="440" t="s">
        <v>629</v>
      </c>
      <c r="C89" s="440">
        <v>0</v>
      </c>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786</v>
      </c>
      <c r="C93" s="440">
        <v>4</v>
      </c>
      <c r="D93" s="393">
        <f>'9. Inputs-Analysis'!D30</f>
        <v>3.3545581292940753E-2</v>
      </c>
      <c r="E93" s="374">
        <f>IF(D93&gt;0.25,4,IF(D93&gt;0.15,3,IF(D93&gt;0.1,2,IF(D93&gt;-0.1,1,0))))</f>
        <v>1</v>
      </c>
    </row>
    <row r="94" spans="1:5" x14ac:dyDescent="0.3">
      <c r="A94" s="376"/>
      <c r="B94" s="440" t="s">
        <v>787</v>
      </c>
      <c r="C94" s="440">
        <v>3</v>
      </c>
      <c r="D94" s="372"/>
      <c r="E94" s="375"/>
    </row>
    <row r="95" spans="1:5" x14ac:dyDescent="0.3">
      <c r="A95" s="376"/>
      <c r="B95" s="440" t="s">
        <v>788</v>
      </c>
      <c r="C95" s="440">
        <v>2</v>
      </c>
      <c r="D95" s="372"/>
      <c r="E95" s="375"/>
    </row>
    <row r="96" spans="1:5" x14ac:dyDescent="0.3">
      <c r="A96" s="376"/>
      <c r="B96" s="440" t="s">
        <v>789</v>
      </c>
      <c r="C96" s="440">
        <v>1</v>
      </c>
      <c r="D96" s="372"/>
      <c r="E96" s="375"/>
    </row>
    <row r="97" spans="1:106" x14ac:dyDescent="0.3">
      <c r="A97" s="376"/>
      <c r="B97" s="440" t="s">
        <v>790</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734</v>
      </c>
      <c r="C100" s="440">
        <v>3</v>
      </c>
      <c r="D100" s="394">
        <f>'9. Inputs-Analysis'!D33</f>
        <v>0.76522361031669384</v>
      </c>
      <c r="E100" s="374">
        <f>IF(D100&gt;1.5,3,IF(D100&gt;=0.35,2,IF(D100&gt;-0.15,1,0)))</f>
        <v>2</v>
      </c>
    </row>
    <row r="101" spans="1:106" x14ac:dyDescent="0.3">
      <c r="A101" s="367"/>
      <c r="B101" s="440" t="s">
        <v>735</v>
      </c>
      <c r="C101" s="440">
        <v>2</v>
      </c>
      <c r="D101" s="372"/>
      <c r="E101" s="375"/>
    </row>
    <row r="102" spans="1:106" x14ac:dyDescent="0.3">
      <c r="A102" s="367"/>
      <c r="B102" s="440" t="s">
        <v>736</v>
      </c>
      <c r="C102" s="440">
        <v>0</v>
      </c>
      <c r="D102" s="372"/>
      <c r="E102" s="375"/>
    </row>
    <row r="103" spans="1:106" x14ac:dyDescent="0.3">
      <c r="A103" s="367"/>
      <c r="B103" s="440"/>
      <c r="C103" s="440"/>
      <c r="D103" s="372"/>
      <c r="E103" s="375"/>
    </row>
    <row r="104" spans="1:106" x14ac:dyDescent="0.3">
      <c r="A104" s="367"/>
      <c r="B104" s="440"/>
      <c r="C104" s="440"/>
      <c r="D104" s="372"/>
      <c r="E104" s="375"/>
    </row>
    <row r="105" spans="1:106" x14ac:dyDescent="0.3">
      <c r="A105" s="367"/>
      <c r="B105" s="440"/>
      <c r="C105" s="440"/>
      <c r="D105" s="372"/>
      <c r="E105" s="375"/>
    </row>
    <row r="106" spans="1:106" s="174" customFormat="1" x14ac:dyDescent="0.3">
      <c r="A106" s="364" t="s">
        <v>445</v>
      </c>
      <c r="B106" s="443"/>
      <c r="C106" s="443">
        <v>10</v>
      </c>
      <c r="D106" s="365"/>
      <c r="E106" s="366">
        <f>E107+E115+E122</f>
        <v>2</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737</v>
      </c>
      <c r="C107" s="440">
        <v>4</v>
      </c>
      <c r="D107" s="395">
        <f>'9. Inputs-Analysis'!D36</f>
        <v>823.72780049574567</v>
      </c>
      <c r="E107" s="385">
        <f>IF(D107&lt;90,4,IF(D107&lt;100,3,IF(D107&lt;180,2,IF(D107&lt;250,1,0))))</f>
        <v>0</v>
      </c>
    </row>
    <row r="108" spans="1:106" x14ac:dyDescent="0.3">
      <c r="A108" s="376"/>
      <c r="B108" s="440" t="s">
        <v>823</v>
      </c>
      <c r="C108" s="440">
        <v>3</v>
      </c>
      <c r="D108" s="372"/>
      <c r="E108" s="388"/>
    </row>
    <row r="109" spans="1:106" x14ac:dyDescent="0.3">
      <c r="A109" s="376"/>
      <c r="B109" s="440" t="s">
        <v>824</v>
      </c>
      <c r="C109" s="440">
        <v>2</v>
      </c>
      <c r="D109" s="372"/>
      <c r="E109" s="388"/>
    </row>
    <row r="110" spans="1:106" x14ac:dyDescent="0.3">
      <c r="A110" s="376"/>
      <c r="B110" s="440" t="s">
        <v>825</v>
      </c>
      <c r="C110" s="440">
        <v>1</v>
      </c>
      <c r="D110" s="372"/>
      <c r="E110" s="388"/>
    </row>
    <row r="111" spans="1:106" x14ac:dyDescent="0.3">
      <c r="A111" s="376"/>
      <c r="B111" s="440" t="s">
        <v>669</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670</v>
      </c>
      <c r="C115" s="440">
        <v>3</v>
      </c>
      <c r="D115" s="395">
        <f>'9. Inputs-Analysis'!D39</f>
        <v>89.219451744334833</v>
      </c>
      <c r="E115" s="212">
        <f>IF(D115&lt;45,3,IF(D115&lt;60,2,IF(D115&lt;90,1,0)))</f>
        <v>1</v>
      </c>
    </row>
    <row r="116" spans="1:5" x14ac:dyDescent="0.3">
      <c r="A116" s="376"/>
      <c r="B116" s="440" t="s">
        <v>249</v>
      </c>
      <c r="C116" s="440">
        <v>2</v>
      </c>
      <c r="D116" s="372"/>
      <c r="E116" s="390"/>
    </row>
    <row r="117" spans="1:5" x14ac:dyDescent="0.3">
      <c r="A117" s="376"/>
      <c r="B117" s="440" t="s">
        <v>671</v>
      </c>
      <c r="C117" s="440">
        <v>1</v>
      </c>
      <c r="D117" s="372"/>
      <c r="E117" s="390"/>
    </row>
    <row r="118" spans="1:5" x14ac:dyDescent="0.3">
      <c r="A118" s="376"/>
      <c r="B118" s="440" t="s">
        <v>502</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c r="C121" s="440"/>
      <c r="D121" s="372"/>
      <c r="E121" s="390"/>
    </row>
    <row r="122" spans="1:5" x14ac:dyDescent="0.3">
      <c r="A122" s="367" t="str">
        <f>'11. Detail Managment Report'!C35</f>
        <v>3. Asset Turnover (AT)</v>
      </c>
      <c r="B122" s="440" t="s">
        <v>506</v>
      </c>
      <c r="C122" s="440">
        <v>3</v>
      </c>
      <c r="D122" s="384">
        <f>'9. Inputs-Analysis'!D42</f>
        <v>0.35386478561776608</v>
      </c>
      <c r="E122" s="212">
        <f>IF(D122&gt;100%,3,IF(D122&gt;=50%,2,IF(D122&gt;=30%,1,0)))</f>
        <v>1</v>
      </c>
    </row>
    <row r="123" spans="1:5" x14ac:dyDescent="0.3">
      <c r="A123" s="376"/>
      <c r="B123" s="440" t="s">
        <v>507</v>
      </c>
      <c r="C123" s="440">
        <v>2</v>
      </c>
      <c r="D123" s="372"/>
      <c r="E123" s="390"/>
    </row>
    <row r="124" spans="1:5" x14ac:dyDescent="0.3">
      <c r="A124" s="376"/>
      <c r="B124" s="440" t="s">
        <v>508</v>
      </c>
      <c r="C124" s="440">
        <v>1</v>
      </c>
      <c r="D124" s="372"/>
      <c r="E124" s="390"/>
    </row>
    <row r="125" spans="1:5" x14ac:dyDescent="0.3">
      <c r="A125" s="376"/>
      <c r="B125" s="440" t="s">
        <v>509</v>
      </c>
      <c r="C125" s="440">
        <v>0</v>
      </c>
      <c r="D125" s="372"/>
      <c r="E125" s="390"/>
    </row>
    <row r="126" spans="1:5" x14ac:dyDescent="0.3">
      <c r="A126" s="376"/>
      <c r="B126" s="440"/>
      <c r="C126" s="440"/>
      <c r="D126" s="372"/>
      <c r="E126" s="390"/>
    </row>
    <row r="127" spans="1:5" x14ac:dyDescent="0.3">
      <c r="A127" s="376"/>
      <c r="B127" s="440"/>
      <c r="C127" s="440"/>
      <c r="D127" s="372"/>
      <c r="E127" s="390"/>
    </row>
    <row r="128" spans="1:5" x14ac:dyDescent="0.3">
      <c r="A128" s="376"/>
      <c r="B128" s="440"/>
      <c r="C128" s="440"/>
      <c r="D128" s="372"/>
      <c r="E128" s="390"/>
    </row>
    <row r="129" spans="1:106" s="174" customFormat="1" x14ac:dyDescent="0.3">
      <c r="A129" s="364" t="s">
        <v>446</v>
      </c>
      <c r="B129" s="443"/>
      <c r="C129" s="443">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793</v>
      </c>
      <c r="C130" s="440">
        <v>3</v>
      </c>
      <c r="D130" s="384">
        <f>'9. Inputs-Analysis'!D45</f>
        <v>7.4443631180108563E-2</v>
      </c>
      <c r="E130" s="385">
        <f>IF(D130&gt;8%,3,IF(D130&gt;4%,2,IF(D130&gt;2%,1,0)))</f>
        <v>2</v>
      </c>
    </row>
    <row r="131" spans="1:106" x14ac:dyDescent="0.3">
      <c r="A131" s="376"/>
      <c r="B131" s="440" t="s">
        <v>676</v>
      </c>
      <c r="C131" s="440">
        <v>2</v>
      </c>
      <c r="D131" s="372"/>
      <c r="E131" s="388"/>
    </row>
    <row r="132" spans="1:106" x14ac:dyDescent="0.3">
      <c r="A132" s="376"/>
      <c r="B132" s="440" t="s">
        <v>677</v>
      </c>
      <c r="C132" s="440">
        <v>1</v>
      </c>
      <c r="D132" s="372"/>
      <c r="E132" s="388"/>
    </row>
    <row r="133" spans="1:106" x14ac:dyDescent="0.3">
      <c r="A133" s="376"/>
      <c r="B133" s="440" t="s">
        <v>678</v>
      </c>
      <c r="C133" s="440">
        <v>0</v>
      </c>
      <c r="D133" s="372"/>
      <c r="E133" s="388"/>
    </row>
    <row r="134" spans="1:106" x14ac:dyDescent="0.3">
      <c r="A134" s="376"/>
      <c r="B134" s="440"/>
      <c r="C134" s="440"/>
      <c r="D134" s="372"/>
      <c r="E134" s="388"/>
    </row>
    <row r="135" spans="1:106" x14ac:dyDescent="0.3">
      <c r="A135" s="376"/>
      <c r="B135" s="440"/>
      <c r="C135" s="440"/>
      <c r="D135" s="372"/>
      <c r="E135" s="388"/>
    </row>
    <row r="136" spans="1:106" x14ac:dyDescent="0.3">
      <c r="A136" s="376"/>
      <c r="B136" s="440"/>
      <c r="C136" s="440"/>
      <c r="D136" s="372"/>
      <c r="E136" s="388"/>
    </row>
    <row r="137" spans="1:106" x14ac:dyDescent="0.3">
      <c r="A137" s="367" t="str">
        <f>'11. Detail Managment Report'!C38</f>
        <v>2. Cashflow based accrual ratio (CAR)</v>
      </c>
      <c r="B137" s="440" t="s">
        <v>402</v>
      </c>
      <c r="C137" s="440">
        <v>2</v>
      </c>
      <c r="D137" s="369">
        <f>'9. Inputs-Analysis'!D48</f>
        <v>7.7292884750961464E-3</v>
      </c>
      <c r="E137" s="212">
        <f>IF(D137&lt;0,2,IF(D137&gt;0,0,IF(D137=0,1,0)))</f>
        <v>0</v>
      </c>
    </row>
    <row r="138" spans="1:106" x14ac:dyDescent="0.3">
      <c r="A138" s="376"/>
      <c r="B138" s="440" t="s">
        <v>978</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25</v>
      </c>
    </row>
    <row r="142" spans="1:106" s="37" customFormat="1" ht="15.75" customHeight="1" thickBot="1" x14ac:dyDescent="0.35">
      <c r="A142" s="396" t="s">
        <v>409</v>
      </c>
      <c r="B142" s="397"/>
      <c r="C142" s="1013">
        <f>E141/C141</f>
        <v>0.41666666666666669</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9"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933FF"/>
  </sheetPr>
  <dimension ref="A1:DB142"/>
  <sheetViews>
    <sheetView view="pageBreakPreview" topLeftCell="A86" zoomScaleNormal="90" zoomScaleSheetLayoutView="100" zoomScalePageLayoutView="90" workbookViewId="0">
      <selection activeCell="E116" sqref="E116"/>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0.38333333333333336</v>
      </c>
      <c r="U6" s="402">
        <f>1-T6</f>
        <v>0.6166666666666667</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3</v>
      </c>
    </row>
    <row r="19" spans="1:5" ht="28" x14ac:dyDescent="0.3">
      <c r="A19" s="367" t="str">
        <f>'11. Detail Managment Report'!C18</f>
        <v>1. Financial Debt to Tangible Net Worth (DTN)</v>
      </c>
      <c r="B19" s="440" t="s">
        <v>826</v>
      </c>
      <c r="C19" s="440">
        <v>7</v>
      </c>
      <c r="D19" s="369">
        <f>'9. Inputs-Analysis'!D4</f>
        <v>3.9252586061418495</v>
      </c>
      <c r="E19" s="370">
        <f>IF(D19&lt;0,0,IF(D19&lt;0.7,7,IF(D19&lt;1,6,IF(D19&lt;1.25,5,IF(D19&lt;1.5,4,IF(D19&lt;2,3,IF(D19&lt;4,2,0)))))))</f>
        <v>2</v>
      </c>
    </row>
    <row r="20" spans="1:5" x14ac:dyDescent="0.3">
      <c r="A20" s="371"/>
      <c r="B20" s="440" t="s">
        <v>827</v>
      </c>
      <c r="C20" s="440">
        <v>6</v>
      </c>
      <c r="D20" s="372"/>
      <c r="E20" s="373"/>
    </row>
    <row r="21" spans="1:5" x14ac:dyDescent="0.3">
      <c r="A21" s="371"/>
      <c r="B21" s="440" t="s">
        <v>828</v>
      </c>
      <c r="C21" s="440">
        <v>5</v>
      </c>
      <c r="D21" s="372"/>
      <c r="E21" s="373"/>
    </row>
    <row r="22" spans="1:5" x14ac:dyDescent="0.3">
      <c r="A22" s="371"/>
      <c r="B22" s="440" t="s">
        <v>829</v>
      </c>
      <c r="C22" s="440">
        <v>4</v>
      </c>
      <c r="D22" s="372"/>
      <c r="E22" s="373"/>
    </row>
    <row r="23" spans="1:5" x14ac:dyDescent="0.3">
      <c r="A23" s="371"/>
      <c r="B23" s="440" t="s">
        <v>830</v>
      </c>
      <c r="C23" s="440">
        <v>3</v>
      </c>
      <c r="D23" s="372"/>
      <c r="E23" s="373"/>
    </row>
    <row r="24" spans="1:5" x14ac:dyDescent="0.3">
      <c r="A24" s="371"/>
      <c r="B24" s="440" t="s">
        <v>831</v>
      </c>
      <c r="C24" s="440">
        <v>2</v>
      </c>
      <c r="D24" s="372"/>
      <c r="E24" s="373"/>
    </row>
    <row r="25" spans="1:5" x14ac:dyDescent="0.3">
      <c r="A25" s="371"/>
      <c r="B25" s="440" t="s">
        <v>832</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637</v>
      </c>
      <c r="C29" s="440">
        <v>3</v>
      </c>
      <c r="D29" s="369">
        <f>'9. Inputs-Analysis'!D7</f>
        <v>0.78528910732277912</v>
      </c>
      <c r="E29" s="374">
        <f>IF(D29&lt;0,0,IF(D29&lt;0.35,3,IF(D29&lt;=0.74,2,IF(D29&lt;=0.99,1,0))))</f>
        <v>1</v>
      </c>
    </row>
    <row r="30" spans="1:5" x14ac:dyDescent="0.3">
      <c r="A30" s="367"/>
      <c r="B30" s="440" t="s">
        <v>638</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465</v>
      </c>
      <c r="C37" s="440">
        <v>7</v>
      </c>
      <c r="D37" s="369">
        <f>'9. Inputs-Analysis'!D11</f>
        <v>1.040552151554528</v>
      </c>
      <c r="E37" s="370">
        <f>IF(D37&gt;2,7,IF(D37&gt;=1.51,6,IF(D37&gt;=1.01,5,IF(D37&gt;=0.51,2,0))))</f>
        <v>5</v>
      </c>
    </row>
    <row r="38" spans="1:106" x14ac:dyDescent="0.3">
      <c r="A38" s="367"/>
      <c r="B38" s="440" t="s">
        <v>466</v>
      </c>
      <c r="C38" s="440">
        <v>6</v>
      </c>
      <c r="D38" s="379"/>
      <c r="E38" s="373"/>
    </row>
    <row r="39" spans="1:106" x14ac:dyDescent="0.3">
      <c r="A39" s="376"/>
      <c r="B39" s="440" t="s">
        <v>484</v>
      </c>
      <c r="C39" s="440">
        <v>5</v>
      </c>
      <c r="D39" s="372"/>
      <c r="E39" s="373"/>
    </row>
    <row r="40" spans="1:106" x14ac:dyDescent="0.3">
      <c r="A40" s="376"/>
      <c r="B40" s="440" t="s">
        <v>485</v>
      </c>
      <c r="C40" s="440">
        <v>2</v>
      </c>
      <c r="D40" s="372"/>
      <c r="E40" s="373"/>
    </row>
    <row r="41" spans="1:106" x14ac:dyDescent="0.3">
      <c r="A41" s="376"/>
      <c r="B41" s="376"/>
      <c r="C41" s="376"/>
      <c r="D41" s="372"/>
      <c r="E41" s="373"/>
    </row>
    <row r="42" spans="1:106" x14ac:dyDescent="0.3">
      <c r="A42" s="376"/>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440" t="s">
        <v>487</v>
      </c>
      <c r="C45" s="440">
        <v>3</v>
      </c>
      <c r="D45" s="369">
        <f>'9. Inputs-Analysis'!D10</f>
        <v>6.1472340974284764E-3</v>
      </c>
      <c r="E45" s="374">
        <f>IF(D45&gt;=0.2,3,IF(D45&gt;=0.1,2,IF(D45&gt;=0.02,1,0)))</f>
        <v>0</v>
      </c>
    </row>
    <row r="46" spans="1:106" x14ac:dyDescent="0.3">
      <c r="A46" s="367"/>
      <c r="B46" s="440" t="s">
        <v>234</v>
      </c>
      <c r="C46" s="440">
        <v>2</v>
      </c>
      <c r="D46" s="372"/>
      <c r="E46" s="375"/>
    </row>
    <row r="47" spans="1:106" x14ac:dyDescent="0.3">
      <c r="A47" s="367"/>
      <c r="B47" s="440" t="s">
        <v>235</v>
      </c>
      <c r="C47" s="440">
        <v>1</v>
      </c>
      <c r="D47" s="372"/>
      <c r="E47" s="375"/>
    </row>
    <row r="48" spans="1:106" x14ac:dyDescent="0.3">
      <c r="A48" s="367"/>
      <c r="B48" s="440" t="s">
        <v>488</v>
      </c>
      <c r="C48" s="440">
        <v>0</v>
      </c>
      <c r="D48" s="372"/>
      <c r="E48" s="375"/>
    </row>
    <row r="49" spans="1:106" x14ac:dyDescent="0.3">
      <c r="A49" s="367"/>
      <c r="B49" s="440"/>
      <c r="C49" s="440"/>
      <c r="D49" s="372"/>
      <c r="E49" s="375"/>
    </row>
    <row r="50" spans="1:106" x14ac:dyDescent="0.3">
      <c r="A50" s="367"/>
      <c r="B50" s="440"/>
      <c r="C50" s="440"/>
      <c r="D50" s="372"/>
      <c r="E50" s="375"/>
    </row>
    <row r="51" spans="1:106" x14ac:dyDescent="0.3">
      <c r="A51" s="367"/>
      <c r="B51" s="447"/>
      <c r="C51" s="440"/>
      <c r="D51" s="372"/>
      <c r="E51" s="375"/>
    </row>
    <row r="52" spans="1:106" s="174" customFormat="1" ht="15" customHeight="1" x14ac:dyDescent="0.3">
      <c r="A52" s="381" t="s">
        <v>443</v>
      </c>
      <c r="B52" s="443"/>
      <c r="C52" s="443">
        <v>10</v>
      </c>
      <c r="D52" s="382"/>
      <c r="E52" s="383">
        <f>E53+E62+E69</f>
        <v>4</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833</v>
      </c>
      <c r="C53" s="440">
        <v>5</v>
      </c>
      <c r="D53" s="384">
        <f>'9. Inputs-Analysis'!D15</f>
        <v>5.4896988386267581E-2</v>
      </c>
      <c r="E53" s="385">
        <f>IF(D53&gt;7%,5,IF(D53&gt;=5.5%,4,IF(D53&gt;=4%,3,IF(D53&gt;=2.5%,2,IF(D53&gt;=1%,1,0)))))</f>
        <v>3</v>
      </c>
    </row>
    <row r="54" spans="1:106" x14ac:dyDescent="0.3">
      <c r="A54" s="386"/>
      <c r="B54" s="440" t="s">
        <v>834</v>
      </c>
      <c r="C54" s="440">
        <v>4</v>
      </c>
      <c r="D54" s="387"/>
      <c r="E54" s="388"/>
    </row>
    <row r="55" spans="1:106" x14ac:dyDescent="0.3">
      <c r="A55" s="386"/>
      <c r="B55" s="440" t="s">
        <v>835</v>
      </c>
      <c r="C55" s="440">
        <v>3</v>
      </c>
      <c r="D55" s="372"/>
      <c r="E55" s="388"/>
    </row>
    <row r="56" spans="1:106" x14ac:dyDescent="0.3">
      <c r="A56" s="386"/>
      <c r="B56" s="440" t="s">
        <v>836</v>
      </c>
      <c r="C56" s="440">
        <v>2</v>
      </c>
      <c r="D56" s="372"/>
      <c r="E56" s="388"/>
    </row>
    <row r="57" spans="1:106" x14ac:dyDescent="0.3">
      <c r="A57" s="376"/>
      <c r="B57" s="440" t="s">
        <v>837</v>
      </c>
      <c r="C57" s="440">
        <v>1</v>
      </c>
      <c r="D57" s="372"/>
      <c r="E57" s="388"/>
    </row>
    <row r="58" spans="1:106" x14ac:dyDescent="0.3">
      <c r="A58" s="376"/>
      <c r="B58" s="440" t="s">
        <v>646</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772</v>
      </c>
      <c r="C62" s="440">
        <v>3</v>
      </c>
      <c r="D62" s="384">
        <f>'9. Inputs-Analysis'!D18</f>
        <v>1.9426111026367571E-2</v>
      </c>
      <c r="E62" s="212">
        <f>IF(D62&gt;5%,3,IF(D62&gt;=3.5%,2,IF(D62&gt;=1.01%,1,0)))</f>
        <v>1</v>
      </c>
    </row>
    <row r="63" spans="1:106" x14ac:dyDescent="0.3">
      <c r="A63" s="386"/>
      <c r="B63" s="440" t="s">
        <v>838</v>
      </c>
      <c r="C63" s="440">
        <v>2</v>
      </c>
      <c r="D63" s="389"/>
      <c r="E63" s="390"/>
    </row>
    <row r="64" spans="1:106" x14ac:dyDescent="0.3">
      <c r="A64" s="386"/>
      <c r="B64" s="440" t="s">
        <v>839</v>
      </c>
      <c r="C64" s="440">
        <v>1</v>
      </c>
      <c r="D64" s="389"/>
      <c r="E64" s="390"/>
    </row>
    <row r="65" spans="1:106" x14ac:dyDescent="0.3">
      <c r="A65" s="386"/>
      <c r="B65" s="440" t="s">
        <v>495</v>
      </c>
      <c r="C65" s="440">
        <v>0</v>
      </c>
      <c r="D65" s="372"/>
      <c r="E65" s="390"/>
    </row>
    <row r="66" spans="1:106" x14ac:dyDescent="0.3">
      <c r="A66" s="386"/>
      <c r="B66" s="440"/>
      <c r="C66" s="440"/>
      <c r="D66" s="372"/>
      <c r="E66" s="390"/>
    </row>
    <row r="67" spans="1:106" x14ac:dyDescent="0.3">
      <c r="A67" s="386"/>
      <c r="B67" s="440"/>
      <c r="C67" s="440"/>
      <c r="D67" s="372"/>
      <c r="E67" s="390"/>
    </row>
    <row r="68" spans="1:106" x14ac:dyDescent="0.3">
      <c r="A68" s="386"/>
      <c r="B68" s="440"/>
      <c r="C68" s="440"/>
      <c r="D68" s="372"/>
      <c r="E68" s="390"/>
    </row>
    <row r="69" spans="1:106" ht="28" x14ac:dyDescent="0.3">
      <c r="A69" s="391" t="str">
        <f>'11. Detail Managment Report'!C26</f>
        <v>3. Operating Profit to Operating Assets (OPOA)</v>
      </c>
      <c r="B69" s="440" t="s">
        <v>722</v>
      </c>
      <c r="C69" s="440">
        <v>2</v>
      </c>
      <c r="D69" s="392">
        <f>'9. Inputs-Analysis'!D21</f>
        <v>4.652054000911502E-2</v>
      </c>
      <c r="E69" s="212">
        <f>IF(D69&gt;10%,2,IF(D69&gt;5%,1,0))</f>
        <v>0</v>
      </c>
    </row>
    <row r="70" spans="1:106" x14ac:dyDescent="0.3">
      <c r="A70" s="391"/>
      <c r="B70" s="440" t="s">
        <v>723</v>
      </c>
      <c r="C70" s="440">
        <v>1</v>
      </c>
      <c r="D70" s="372"/>
      <c r="E70" s="390"/>
    </row>
    <row r="71" spans="1:106" x14ac:dyDescent="0.3">
      <c r="A71" s="376"/>
      <c r="B71" s="440" t="s">
        <v>724</v>
      </c>
      <c r="C71" s="440">
        <v>0</v>
      </c>
      <c r="D71" s="372"/>
      <c r="E71" s="390"/>
    </row>
    <row r="72" spans="1:106" x14ac:dyDescent="0.3">
      <c r="A72" s="376"/>
      <c r="B72" s="440"/>
      <c r="C72" s="440"/>
      <c r="D72" s="372"/>
      <c r="E72" s="390"/>
    </row>
    <row r="73" spans="1:106" x14ac:dyDescent="0.3">
      <c r="A73" s="376"/>
      <c r="B73" s="440"/>
      <c r="C73" s="440"/>
      <c r="D73" s="372"/>
      <c r="E73" s="390"/>
    </row>
    <row r="74" spans="1:106" x14ac:dyDescent="0.3">
      <c r="A74" s="376"/>
      <c r="B74" s="440"/>
      <c r="C74" s="440"/>
      <c r="D74" s="372"/>
      <c r="E74" s="390"/>
    </row>
    <row r="75" spans="1:106" s="174" customFormat="1" x14ac:dyDescent="0.3">
      <c r="A75" s="364" t="s">
        <v>444</v>
      </c>
      <c r="B75" s="443"/>
      <c r="C75" s="443">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778</v>
      </c>
      <c r="C76" s="440">
        <v>3</v>
      </c>
      <c r="D76" s="369">
        <f>'9. Inputs-Analysis'!D24</f>
        <v>2.1640484041893577</v>
      </c>
      <c r="E76" s="370">
        <f>IF(D76&gt;3,3,IF(D76&gt;=2,2,IF(D76&gt;=1.01,1,0)))</f>
        <v>2</v>
      </c>
    </row>
    <row r="77" spans="1:106" x14ac:dyDescent="0.3">
      <c r="A77" s="376"/>
      <c r="B77" s="440" t="s">
        <v>840</v>
      </c>
      <c r="C77" s="440">
        <v>2</v>
      </c>
      <c r="D77" s="218"/>
      <c r="E77" s="373"/>
    </row>
    <row r="78" spans="1:106" x14ac:dyDescent="0.3">
      <c r="A78" s="376"/>
      <c r="B78" s="440" t="s">
        <v>841</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IF(D83&gt;2.5,5,IF(D83&gt;=2,4,IF(D83&gt;=1.5,3,IF(D83&gt;=1.25,2,IF(D83&gt;=0.05,1,0)))))</f>
        <v>2</v>
      </c>
    </row>
    <row r="84" spans="1:5" x14ac:dyDescent="0.3">
      <c r="A84" s="367"/>
      <c r="B84" s="440" t="s">
        <v>781</v>
      </c>
      <c r="C84" s="440">
        <v>5</v>
      </c>
      <c r="D84" s="372"/>
      <c r="E84" s="375"/>
    </row>
    <row r="85" spans="1:5" x14ac:dyDescent="0.3">
      <c r="A85" s="367"/>
      <c r="B85" s="440" t="s">
        <v>782</v>
      </c>
      <c r="C85" s="440">
        <v>4</v>
      </c>
      <c r="D85" s="372"/>
      <c r="E85" s="375"/>
    </row>
    <row r="86" spans="1:5" x14ac:dyDescent="0.3">
      <c r="A86" s="367"/>
      <c r="B86" s="440" t="s">
        <v>783</v>
      </c>
      <c r="C86" s="440">
        <v>3</v>
      </c>
      <c r="D86" s="372"/>
      <c r="E86" s="375"/>
    </row>
    <row r="87" spans="1:5" x14ac:dyDescent="0.3">
      <c r="A87" s="367"/>
      <c r="B87" s="440" t="s">
        <v>784</v>
      </c>
      <c r="C87" s="440">
        <v>2</v>
      </c>
      <c r="D87" s="372"/>
      <c r="E87" s="375"/>
    </row>
    <row r="88" spans="1:5" x14ac:dyDescent="0.3">
      <c r="A88" s="367"/>
      <c r="B88" s="440" t="s">
        <v>785</v>
      </c>
      <c r="C88" s="440">
        <v>1</v>
      </c>
      <c r="D88" s="372"/>
      <c r="E88" s="375"/>
    </row>
    <row r="89" spans="1:5" x14ac:dyDescent="0.3">
      <c r="A89" s="376"/>
      <c r="B89" s="440" t="s">
        <v>629</v>
      </c>
      <c r="C89" s="440">
        <v>0</v>
      </c>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842</v>
      </c>
      <c r="C93" s="440">
        <v>4</v>
      </c>
      <c r="D93" s="393">
        <f>'9. Inputs-Analysis'!D30</f>
        <v>3.3545581292940753E-2</v>
      </c>
      <c r="E93" s="374">
        <f>IF(D93&gt;0.2,4,IF(D93&gt;=0.1,3,IF(D93&gt;=0.05,2,IF(D93&gt;=0.025,1,0))))</f>
        <v>1</v>
      </c>
    </row>
    <row r="94" spans="1:5" x14ac:dyDescent="0.3">
      <c r="A94" s="376"/>
      <c r="B94" s="440" t="s">
        <v>843</v>
      </c>
      <c r="C94" s="440">
        <v>3</v>
      </c>
      <c r="D94" s="372"/>
      <c r="E94" s="375"/>
    </row>
    <row r="95" spans="1:5" x14ac:dyDescent="0.3">
      <c r="A95" s="376"/>
      <c r="B95" s="440" t="s">
        <v>844</v>
      </c>
      <c r="C95" s="440">
        <v>2</v>
      </c>
      <c r="D95" s="372"/>
      <c r="E95" s="375"/>
    </row>
    <row r="96" spans="1:5" x14ac:dyDescent="0.3">
      <c r="A96" s="376"/>
      <c r="B96" s="440" t="s">
        <v>845</v>
      </c>
      <c r="C96" s="440">
        <v>1</v>
      </c>
      <c r="D96" s="372"/>
      <c r="E96" s="375"/>
    </row>
    <row r="97" spans="1:106" x14ac:dyDescent="0.3">
      <c r="A97" s="376"/>
      <c r="B97" s="440" t="s">
        <v>733</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IF(D100&gt;1,3,IF(D100&gt;=0.5,2,IF(D100&gt;=0.25,1,0)))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0"/>
      <c r="C104" s="440"/>
      <c r="D104" s="372"/>
      <c r="E104" s="375"/>
    </row>
    <row r="105" spans="1:106" x14ac:dyDescent="0.3">
      <c r="A105" s="367"/>
      <c r="B105" s="440"/>
      <c r="C105" s="440"/>
      <c r="D105" s="372"/>
      <c r="E105" s="375"/>
    </row>
    <row r="106" spans="1:106" s="174" customFormat="1" x14ac:dyDescent="0.3">
      <c r="A106" s="364" t="s">
        <v>445</v>
      </c>
      <c r="B106" s="443"/>
      <c r="C106" s="443">
        <v>10</v>
      </c>
      <c r="D106" s="365"/>
      <c r="E106" s="366">
        <f>E107+E115+E122</f>
        <v>3</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737</v>
      </c>
      <c r="C107" s="440">
        <v>4</v>
      </c>
      <c r="D107" s="395">
        <f>'9. Inputs-Analysis'!D36</f>
        <v>823.72780049574567</v>
      </c>
      <c r="E107" s="385">
        <f>IF(D107&lt;90,4,IF(D107&lt;100,3,IF(D107&lt;180,2,IF(D107&lt;250,1,0))))</f>
        <v>0</v>
      </c>
    </row>
    <row r="108" spans="1:106" x14ac:dyDescent="0.3">
      <c r="A108" s="376"/>
      <c r="B108" s="440" t="s">
        <v>823</v>
      </c>
      <c r="C108" s="440">
        <v>3</v>
      </c>
      <c r="D108" s="372"/>
      <c r="E108" s="388"/>
    </row>
    <row r="109" spans="1:106" x14ac:dyDescent="0.3">
      <c r="A109" s="376"/>
      <c r="B109" s="440" t="s">
        <v>824</v>
      </c>
      <c r="C109" s="440">
        <v>2</v>
      </c>
      <c r="D109" s="372"/>
      <c r="E109" s="388"/>
    </row>
    <row r="110" spans="1:106" x14ac:dyDescent="0.3">
      <c r="A110" s="376"/>
      <c r="B110" s="440" t="s">
        <v>825</v>
      </c>
      <c r="C110" s="440">
        <v>1</v>
      </c>
      <c r="D110" s="372"/>
      <c r="E110" s="388"/>
    </row>
    <row r="111" spans="1:106" x14ac:dyDescent="0.3">
      <c r="A111" s="376"/>
      <c r="B111" s="440" t="s">
        <v>669</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498</v>
      </c>
      <c r="C115" s="440">
        <v>3</v>
      </c>
      <c r="D115" s="395">
        <f>'9. Inputs-Analysis'!D39</f>
        <v>89.219451744334833</v>
      </c>
      <c r="E115" s="212">
        <f>IF(D115&lt;90,3,IF(D115&lt;120,2,IF(D115&lt;180,1,0)))</f>
        <v>3</v>
      </c>
    </row>
    <row r="116" spans="1:5" x14ac:dyDescent="0.3">
      <c r="A116" s="376"/>
      <c r="B116" s="440" t="s">
        <v>503</v>
      </c>
      <c r="C116" s="440">
        <v>2</v>
      </c>
      <c r="D116" s="372"/>
      <c r="E116" s="390"/>
    </row>
    <row r="117" spans="1:5" x14ac:dyDescent="0.3">
      <c r="A117" s="376"/>
      <c r="B117" s="440" t="s">
        <v>504</v>
      </c>
      <c r="C117" s="440">
        <v>1</v>
      </c>
      <c r="D117" s="372"/>
      <c r="E117" s="390"/>
    </row>
    <row r="118" spans="1:5" x14ac:dyDescent="0.3">
      <c r="A118" s="376"/>
      <c r="B118" s="440" t="s">
        <v>505</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c r="C121" s="440"/>
      <c r="D121" s="372"/>
      <c r="E121" s="390"/>
    </row>
    <row r="122" spans="1:5" x14ac:dyDescent="0.3">
      <c r="A122" s="367" t="str">
        <f>'11. Detail Managment Report'!C35</f>
        <v>3. Asset Turnover (AT)</v>
      </c>
      <c r="B122" s="440" t="s">
        <v>846</v>
      </c>
      <c r="C122" s="440">
        <v>3</v>
      </c>
      <c r="D122" s="384">
        <f>'9. Inputs-Analysis'!D42</f>
        <v>0.35386478561776608</v>
      </c>
      <c r="E122" s="212">
        <f>IF(D122&gt;200%,3,IF(D122&gt;=150%,2,IF(D122&gt;=75%,1,0)))</f>
        <v>0</v>
      </c>
    </row>
    <row r="123" spans="1:5" x14ac:dyDescent="0.3">
      <c r="A123" s="376"/>
      <c r="B123" s="440" t="s">
        <v>847</v>
      </c>
      <c r="C123" s="440">
        <v>2</v>
      </c>
      <c r="D123" s="372"/>
      <c r="E123" s="390"/>
    </row>
    <row r="124" spans="1:5" x14ac:dyDescent="0.3">
      <c r="A124" s="376"/>
      <c r="B124" s="440" t="s">
        <v>848</v>
      </c>
      <c r="C124" s="440">
        <v>1</v>
      </c>
      <c r="D124" s="372"/>
      <c r="E124" s="390"/>
    </row>
    <row r="125" spans="1:5" x14ac:dyDescent="0.3">
      <c r="A125" s="376"/>
      <c r="B125" s="440" t="s">
        <v>849</v>
      </c>
      <c r="C125" s="440">
        <v>0</v>
      </c>
      <c r="D125" s="372"/>
      <c r="E125" s="390"/>
    </row>
    <row r="126" spans="1:5" x14ac:dyDescent="0.3">
      <c r="A126" s="376"/>
      <c r="B126" s="440"/>
      <c r="C126" s="440"/>
      <c r="D126" s="372"/>
      <c r="E126" s="390"/>
    </row>
    <row r="127" spans="1:5" x14ac:dyDescent="0.3">
      <c r="A127" s="376"/>
      <c r="B127" s="440"/>
      <c r="C127" s="440"/>
      <c r="D127" s="372"/>
      <c r="E127" s="390"/>
    </row>
    <row r="128" spans="1:5" x14ac:dyDescent="0.3">
      <c r="A128" s="376"/>
      <c r="B128" s="440"/>
      <c r="C128" s="440"/>
      <c r="D128" s="372"/>
      <c r="E128" s="390"/>
    </row>
    <row r="129" spans="1:106" s="174" customFormat="1" x14ac:dyDescent="0.3">
      <c r="A129" s="364" t="s">
        <v>446</v>
      </c>
      <c r="B129" s="443"/>
      <c r="C129" s="443">
        <v>5</v>
      </c>
      <c r="D129" s="365"/>
      <c r="E129" s="366">
        <f>E130+E137</f>
        <v>1</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793</v>
      </c>
      <c r="C130" s="440">
        <v>3</v>
      </c>
      <c r="D130" s="384">
        <f>'9. Inputs-Analysis'!D45</f>
        <v>7.4443631180108563E-2</v>
      </c>
      <c r="E130" s="385">
        <f>IF(D130&gt;8%,3,IF(D130&gt;=4,2,IF(D130&gt;=2%,1,0)))</f>
        <v>1</v>
      </c>
    </row>
    <row r="131" spans="1:106" x14ac:dyDescent="0.3">
      <c r="A131" s="376"/>
      <c r="B131" s="440" t="s">
        <v>676</v>
      </c>
      <c r="C131" s="440">
        <v>2</v>
      </c>
      <c r="D131" s="372"/>
      <c r="E131" s="388"/>
    </row>
    <row r="132" spans="1:106" x14ac:dyDescent="0.3">
      <c r="A132" s="376"/>
      <c r="B132" s="440" t="s">
        <v>677</v>
      </c>
      <c r="C132" s="440">
        <v>1</v>
      </c>
      <c r="D132" s="372"/>
      <c r="E132" s="388"/>
    </row>
    <row r="133" spans="1:106" x14ac:dyDescent="0.3">
      <c r="A133" s="376"/>
      <c r="B133" s="440" t="s">
        <v>678</v>
      </c>
      <c r="C133" s="440">
        <v>0</v>
      </c>
      <c r="D133" s="372"/>
      <c r="E133" s="388"/>
    </row>
    <row r="134" spans="1:106" x14ac:dyDescent="0.3">
      <c r="A134" s="376"/>
      <c r="B134" s="440"/>
      <c r="C134" s="440"/>
      <c r="D134" s="372"/>
      <c r="E134" s="388"/>
    </row>
    <row r="135" spans="1:106" x14ac:dyDescent="0.3">
      <c r="A135" s="376"/>
      <c r="B135" s="440"/>
      <c r="C135" s="440"/>
      <c r="D135" s="372"/>
      <c r="E135" s="388"/>
    </row>
    <row r="136" spans="1:106" x14ac:dyDescent="0.3">
      <c r="A136" s="376"/>
      <c r="B136" s="440"/>
      <c r="C136" s="440"/>
      <c r="D136" s="372"/>
      <c r="E136" s="388"/>
    </row>
    <row r="137" spans="1:106" x14ac:dyDescent="0.3">
      <c r="A137" s="367" t="str">
        <f>'11. Detail Managment Report'!C38</f>
        <v>2. Cashflow based accrual ratio (CAR)</v>
      </c>
      <c r="B137" s="440" t="s">
        <v>402</v>
      </c>
      <c r="C137" s="440">
        <v>2</v>
      </c>
      <c r="D137" s="369">
        <f>'9. Inputs-Analysis'!D48</f>
        <v>7.7292884750961464E-3</v>
      </c>
      <c r="E137" s="212">
        <f>IF(D137&lt;0,2,IF(D137&gt;0,0,IF(D137=0,1,0)))</f>
        <v>0</v>
      </c>
    </row>
    <row r="138" spans="1:106" x14ac:dyDescent="0.3">
      <c r="A138" s="376"/>
      <c r="B138" s="440" t="s">
        <v>978</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23</v>
      </c>
    </row>
    <row r="142" spans="1:106" s="37" customFormat="1" ht="15.75" customHeight="1" thickBot="1" x14ac:dyDescent="0.35">
      <c r="A142" s="396" t="s">
        <v>409</v>
      </c>
      <c r="B142" s="397"/>
      <c r="C142" s="1013">
        <f>E141/C141</f>
        <v>0.38333333333333336</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password="C527" sheet="1" objects="1" scenarios="1" selectLockedCells="1" selectUnlockedCells="1"/>
  <mergeCells count="6">
    <mergeCell ref="C142:E142"/>
    <mergeCell ref="A1:E1"/>
    <mergeCell ref="A2:E2"/>
    <mergeCell ref="D5:D6"/>
    <mergeCell ref="D7:D8"/>
    <mergeCell ref="A16:E16"/>
  </mergeCells>
  <conditionalFormatting sqref="D7:E7">
    <cfRule type="cellIs" dxfId="8"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933FF"/>
  </sheetPr>
  <dimension ref="A1:DB142"/>
  <sheetViews>
    <sheetView view="pageBreakPreview" topLeftCell="A89"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0.45</v>
      </c>
      <c r="U6" s="402">
        <f>1-T6</f>
        <v>0.55000000000000004</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440" t="s">
        <v>631</v>
      </c>
      <c r="C19" s="440">
        <v>7</v>
      </c>
      <c r="D19" s="369">
        <f>'9. Inputs-Analysis'!D4</f>
        <v>3.9252586061418495</v>
      </c>
      <c r="E19" s="370">
        <f>IF(D19&lt;0,0,IF(D19&lt;0.75,7,IF(D19&lt;1,6,IF(D19&lt;1.25,5,IF(D19&lt;1.5,4,IF(D19&lt;2,3,IF(D19&lt;3,2,0)))))))</f>
        <v>0</v>
      </c>
    </row>
    <row r="20" spans="1:5" x14ac:dyDescent="0.3">
      <c r="A20" s="371"/>
      <c r="B20" s="440" t="s">
        <v>809</v>
      </c>
      <c r="C20" s="440">
        <v>6</v>
      </c>
      <c r="D20" s="372"/>
      <c r="E20" s="373"/>
    </row>
    <row r="21" spans="1:5" x14ac:dyDescent="0.3">
      <c r="A21" s="371"/>
      <c r="B21" s="440" t="s">
        <v>633</v>
      </c>
      <c r="C21" s="440">
        <v>5</v>
      </c>
      <c r="D21" s="372"/>
      <c r="E21" s="373"/>
    </row>
    <row r="22" spans="1:5" x14ac:dyDescent="0.3">
      <c r="A22" s="371"/>
      <c r="B22" s="440" t="s">
        <v>810</v>
      </c>
      <c r="C22" s="440">
        <v>4</v>
      </c>
      <c r="D22" s="372"/>
      <c r="E22" s="373"/>
    </row>
    <row r="23" spans="1:5" x14ac:dyDescent="0.3">
      <c r="A23" s="371"/>
      <c r="B23" s="440" t="s">
        <v>811</v>
      </c>
      <c r="C23" s="440">
        <v>3</v>
      </c>
      <c r="D23" s="372"/>
      <c r="E23" s="373"/>
    </row>
    <row r="24" spans="1:5" x14ac:dyDescent="0.3">
      <c r="A24" s="371"/>
      <c r="B24" s="440" t="s">
        <v>635</v>
      </c>
      <c r="C24" s="440">
        <v>2</v>
      </c>
      <c r="D24" s="372"/>
      <c r="E24" s="373"/>
    </row>
    <row r="25" spans="1:5" x14ac:dyDescent="0.3">
      <c r="A25" s="371"/>
      <c r="B25" s="440" t="s">
        <v>636</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637</v>
      </c>
      <c r="C29" s="440">
        <v>3</v>
      </c>
      <c r="D29" s="369">
        <f>'9. Inputs-Analysis'!D7</f>
        <v>0.78528910732277912</v>
      </c>
      <c r="E29" s="374">
        <f>IF(D29&lt;0,0,IF(D29&lt;0.35,3,IF(D29&lt;=0.74,2,IF(D29&lt;=0.99,1,0))))</f>
        <v>1</v>
      </c>
    </row>
    <row r="30" spans="1:5" x14ac:dyDescent="0.3">
      <c r="A30" s="367"/>
      <c r="B30" s="440" t="s">
        <v>638</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749</v>
      </c>
      <c r="C37" s="440">
        <v>7</v>
      </c>
      <c r="D37" s="369">
        <f>'9. Inputs-Analysis'!D11</f>
        <v>1.040552151554528</v>
      </c>
      <c r="E37" s="370">
        <f>IF(D37&gt;1.5,7,IF(D37&gt;=1.01,6,IF(D37&gt;=0.75,5,IF(D37&gt;=0.51,2,IF(D37&gt;=0.35,2,0)))))</f>
        <v>6</v>
      </c>
    </row>
    <row r="38" spans="1:106" x14ac:dyDescent="0.3">
      <c r="A38" s="367"/>
      <c r="B38" s="440" t="s">
        <v>484</v>
      </c>
      <c r="C38" s="440">
        <v>6</v>
      </c>
      <c r="D38" s="379"/>
      <c r="E38" s="373"/>
    </row>
    <row r="39" spans="1:106" x14ac:dyDescent="0.3">
      <c r="A39" s="376"/>
      <c r="B39" s="440" t="s">
        <v>750</v>
      </c>
      <c r="C39" s="440">
        <v>5</v>
      </c>
      <c r="D39" s="372"/>
      <c r="E39" s="373"/>
    </row>
    <row r="40" spans="1:106" x14ac:dyDescent="0.3">
      <c r="A40" s="376"/>
      <c r="B40" s="440" t="s">
        <v>751</v>
      </c>
      <c r="C40" s="440">
        <v>3</v>
      </c>
      <c r="D40" s="372"/>
      <c r="E40" s="373"/>
    </row>
    <row r="41" spans="1:106" x14ac:dyDescent="0.3">
      <c r="A41" s="376"/>
      <c r="B41" s="440" t="s">
        <v>752</v>
      </c>
      <c r="C41" s="440">
        <v>2</v>
      </c>
      <c r="D41" s="372"/>
      <c r="E41" s="373"/>
    </row>
    <row r="42" spans="1:106" x14ac:dyDescent="0.3">
      <c r="A42" s="376"/>
      <c r="B42" s="440" t="s">
        <v>753</v>
      </c>
      <c r="C42" s="440">
        <v>0</v>
      </c>
      <c r="D42" s="372"/>
      <c r="E42" s="373"/>
    </row>
    <row r="43" spans="1:106" x14ac:dyDescent="0.3">
      <c r="A43" s="376"/>
      <c r="D43" s="372"/>
      <c r="E43" s="373"/>
    </row>
    <row r="44" spans="1:106" x14ac:dyDescent="0.3">
      <c r="A44" s="376"/>
      <c r="B44" s="368"/>
      <c r="C44" s="368"/>
      <c r="D44" s="372"/>
      <c r="E44" s="373"/>
    </row>
    <row r="45" spans="1:106" x14ac:dyDescent="0.3">
      <c r="A45" s="367" t="str">
        <f>'11. Detail Managment Report'!C22</f>
        <v>2. Cash Ratio (Cash)</v>
      </c>
      <c r="B45" s="440" t="s">
        <v>812</v>
      </c>
      <c r="C45" s="440">
        <v>3</v>
      </c>
      <c r="D45" s="369">
        <f>'9. Inputs-Analysis'!D10</f>
        <v>6.1472340974284764E-3</v>
      </c>
      <c r="E45" s="374">
        <f>IF(D45&gt;=0.1,3,IF(D45&gt;=0.05,2,IF(D45&gt;=0.03,1,0)))</f>
        <v>0</v>
      </c>
    </row>
    <row r="46" spans="1:106" x14ac:dyDescent="0.3">
      <c r="A46" s="367"/>
      <c r="B46" s="440" t="s">
        <v>813</v>
      </c>
      <c r="C46" s="440">
        <v>2</v>
      </c>
      <c r="D46" s="372"/>
      <c r="E46" s="375"/>
    </row>
    <row r="47" spans="1:106" x14ac:dyDescent="0.3">
      <c r="A47" s="367"/>
      <c r="B47" s="440" t="s">
        <v>814</v>
      </c>
      <c r="C47" s="440">
        <v>1</v>
      </c>
      <c r="D47" s="372"/>
      <c r="E47" s="375"/>
    </row>
    <row r="48" spans="1:106" x14ac:dyDescent="0.3">
      <c r="A48" s="367"/>
      <c r="B48" s="440" t="s">
        <v>815</v>
      </c>
      <c r="C48" s="440">
        <v>0</v>
      </c>
      <c r="D48" s="372"/>
      <c r="E48" s="375"/>
    </row>
    <row r="49" spans="1:106" x14ac:dyDescent="0.3">
      <c r="A49" s="367"/>
      <c r="B49" s="440"/>
      <c r="C49" s="440"/>
      <c r="D49" s="372"/>
      <c r="E49" s="375"/>
    </row>
    <row r="50" spans="1:106" x14ac:dyDescent="0.3">
      <c r="A50" s="367"/>
      <c r="B50" s="440"/>
      <c r="C50" s="440"/>
      <c r="D50" s="372"/>
      <c r="E50" s="375"/>
    </row>
    <row r="51" spans="1:106" x14ac:dyDescent="0.3">
      <c r="A51" s="367"/>
      <c r="B51" s="447"/>
      <c r="C51" s="440"/>
      <c r="D51" s="372"/>
      <c r="E51" s="375"/>
    </row>
    <row r="52" spans="1:106" s="174" customFormat="1" ht="15" customHeight="1" x14ac:dyDescent="0.3">
      <c r="A52" s="381" t="s">
        <v>443</v>
      </c>
      <c r="B52" s="443"/>
      <c r="C52" s="443">
        <v>10</v>
      </c>
      <c r="D52" s="382"/>
      <c r="E52" s="383">
        <f>E53+E62+E69</f>
        <v>5</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833</v>
      </c>
      <c r="C53" s="440">
        <v>5</v>
      </c>
      <c r="D53" s="384">
        <f>'9. Inputs-Analysis'!D15</f>
        <v>5.4896988386267581E-2</v>
      </c>
      <c r="E53" s="385">
        <f>IF(D53&gt;5%,5,IF(D53&gt;=3%,4,IF(D53&gt;=2%,3,IF(D53&gt;1.5%,2,IF(D53&gt;1%,1,0)))))</f>
        <v>5</v>
      </c>
    </row>
    <row r="54" spans="1:106" x14ac:dyDescent="0.3">
      <c r="A54" s="386"/>
      <c r="B54" s="440" t="s">
        <v>834</v>
      </c>
      <c r="C54" s="440">
        <v>4</v>
      </c>
      <c r="D54" s="387"/>
      <c r="E54" s="388"/>
    </row>
    <row r="55" spans="1:106" x14ac:dyDescent="0.3">
      <c r="A55" s="386"/>
      <c r="B55" s="440" t="s">
        <v>835</v>
      </c>
      <c r="C55" s="440">
        <v>3</v>
      </c>
      <c r="D55" s="372"/>
      <c r="E55" s="388"/>
    </row>
    <row r="56" spans="1:106" x14ac:dyDescent="0.3">
      <c r="A56" s="386"/>
      <c r="B56" s="440" t="s">
        <v>836</v>
      </c>
      <c r="C56" s="440">
        <v>2</v>
      </c>
      <c r="D56" s="372"/>
      <c r="E56" s="388"/>
    </row>
    <row r="57" spans="1:106" x14ac:dyDescent="0.3">
      <c r="A57" s="376"/>
      <c r="B57" s="440" t="s">
        <v>837</v>
      </c>
      <c r="C57" s="440">
        <v>1</v>
      </c>
      <c r="D57" s="372"/>
      <c r="E57" s="388"/>
    </row>
    <row r="58" spans="1:106" x14ac:dyDescent="0.3">
      <c r="A58" s="376"/>
      <c r="B58" s="440" t="s">
        <v>646</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772</v>
      </c>
      <c r="C62" s="440">
        <v>3</v>
      </c>
      <c r="D62" s="384">
        <f>'9. Inputs-Analysis'!D18</f>
        <v>1.9426111026367571E-2</v>
      </c>
      <c r="E62" s="212">
        <f>IF(D62&gt;=5%,3,IF(D62&gt;=3%,2,IF(D62&gt;=2%,1,0)))</f>
        <v>0</v>
      </c>
    </row>
    <row r="63" spans="1:106" x14ac:dyDescent="0.3">
      <c r="A63" s="386"/>
      <c r="B63" s="440" t="s">
        <v>850</v>
      </c>
      <c r="C63" s="440">
        <v>2</v>
      </c>
      <c r="D63" s="389"/>
      <c r="E63" s="390"/>
    </row>
    <row r="64" spans="1:106" x14ac:dyDescent="0.3">
      <c r="A64" s="386"/>
      <c r="B64" s="440" t="s">
        <v>494</v>
      </c>
      <c r="C64" s="440">
        <v>1</v>
      </c>
      <c r="D64" s="389"/>
      <c r="E64" s="390"/>
    </row>
    <row r="65" spans="1:106" x14ac:dyDescent="0.3">
      <c r="A65" s="386"/>
      <c r="B65" s="440" t="s">
        <v>495</v>
      </c>
      <c r="C65" s="440">
        <v>0</v>
      </c>
      <c r="D65" s="372"/>
      <c r="E65" s="390"/>
    </row>
    <row r="66" spans="1:106" x14ac:dyDescent="0.3">
      <c r="A66" s="386"/>
      <c r="B66" s="440"/>
      <c r="C66" s="440"/>
      <c r="D66" s="372"/>
      <c r="E66" s="390"/>
    </row>
    <row r="67" spans="1:106" x14ac:dyDescent="0.3">
      <c r="A67" s="386"/>
      <c r="B67" s="440"/>
      <c r="C67" s="440"/>
      <c r="D67" s="372"/>
      <c r="E67" s="390"/>
    </row>
    <row r="68" spans="1:106" x14ac:dyDescent="0.3">
      <c r="A68" s="386"/>
      <c r="B68" s="440"/>
      <c r="C68" s="440"/>
      <c r="D68" s="372"/>
      <c r="E68" s="390"/>
    </row>
    <row r="69" spans="1:106" ht="28" x14ac:dyDescent="0.3">
      <c r="A69" s="391" t="str">
        <f>'11. Detail Managment Report'!C26</f>
        <v>3. Operating Profit to Operating Assets (OPOA)</v>
      </c>
      <c r="B69" s="440" t="s">
        <v>776</v>
      </c>
      <c r="C69" s="440">
        <v>2</v>
      </c>
      <c r="D69" s="392">
        <f>'9. Inputs-Analysis'!D21</f>
        <v>4.652054000911502E-2</v>
      </c>
      <c r="E69" s="212">
        <f>IF(D69&gt;10%,2,IF(D69&gt;=5%,1,0))</f>
        <v>0</v>
      </c>
    </row>
    <row r="70" spans="1:106" x14ac:dyDescent="0.3">
      <c r="A70" s="391"/>
      <c r="B70" s="440" t="s">
        <v>851</v>
      </c>
      <c r="C70" s="440">
        <v>1</v>
      </c>
      <c r="D70" s="372"/>
      <c r="E70" s="390"/>
    </row>
    <row r="71" spans="1:106" x14ac:dyDescent="0.3">
      <c r="A71" s="376"/>
      <c r="B71" s="440" t="s">
        <v>724</v>
      </c>
      <c r="C71" s="440">
        <v>0</v>
      </c>
      <c r="D71" s="372"/>
      <c r="E71" s="390"/>
    </row>
    <row r="72" spans="1:106" x14ac:dyDescent="0.3">
      <c r="A72" s="376"/>
      <c r="B72" s="440"/>
      <c r="C72" s="440"/>
      <c r="D72" s="372"/>
      <c r="E72" s="390"/>
    </row>
    <row r="73" spans="1:106" x14ac:dyDescent="0.3">
      <c r="A73" s="376"/>
      <c r="B73" s="440"/>
      <c r="C73" s="440"/>
      <c r="D73" s="372"/>
      <c r="E73" s="390"/>
    </row>
    <row r="74" spans="1:106" x14ac:dyDescent="0.3">
      <c r="A74" s="376"/>
      <c r="B74" s="440"/>
      <c r="C74" s="440"/>
      <c r="D74" s="372"/>
      <c r="E74" s="390"/>
    </row>
    <row r="75" spans="1:106" s="174" customFormat="1" x14ac:dyDescent="0.3">
      <c r="A75" s="364" t="s">
        <v>444</v>
      </c>
      <c r="B75" s="443"/>
      <c r="C75" s="443">
        <v>15</v>
      </c>
      <c r="D75" s="365"/>
      <c r="E75" s="366">
        <f>E76+E83+E93+E100</f>
        <v>11</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692</v>
      </c>
      <c r="C76" s="440">
        <v>3</v>
      </c>
      <c r="D76" s="369">
        <f>'9. Inputs-Analysis'!D24</f>
        <v>2.1640484041893577</v>
      </c>
      <c r="E76" s="370">
        <f>IF(D76&gt;2,3,IF(D76&gt;=1.5,2,IF(D76&gt;=1,1,0)))</f>
        <v>3</v>
      </c>
    </row>
    <row r="77" spans="1:106" x14ac:dyDescent="0.3">
      <c r="A77" s="376"/>
      <c r="B77" s="440" t="s">
        <v>693</v>
      </c>
      <c r="C77" s="440">
        <v>2</v>
      </c>
      <c r="D77" s="218"/>
      <c r="E77" s="373"/>
    </row>
    <row r="78" spans="1:106" x14ac:dyDescent="0.3">
      <c r="A78" s="376"/>
      <c r="B78" s="440" t="s">
        <v>694</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IF(D83&gt;1.5,5,IF(D83&gt;=1,4,IF(D83&gt;=0.75,3,IF(D83&gt;=0.5,2,0))))</f>
        <v>4</v>
      </c>
    </row>
    <row r="84" spans="1:5" x14ac:dyDescent="0.3">
      <c r="A84" s="367"/>
      <c r="B84" s="440" t="s">
        <v>695</v>
      </c>
      <c r="C84" s="440">
        <v>5</v>
      </c>
      <c r="D84" s="372"/>
      <c r="E84" s="375"/>
    </row>
    <row r="85" spans="1:5" x14ac:dyDescent="0.3">
      <c r="A85" s="367"/>
      <c r="B85" s="440" t="s">
        <v>696</v>
      </c>
      <c r="C85" s="440">
        <v>4</v>
      </c>
      <c r="D85" s="372"/>
      <c r="E85" s="375"/>
    </row>
    <row r="86" spans="1:5" x14ac:dyDescent="0.3">
      <c r="A86" s="367"/>
      <c r="B86" s="440" t="s">
        <v>697</v>
      </c>
      <c r="C86" s="440">
        <v>3</v>
      </c>
      <c r="D86" s="372"/>
      <c r="E86" s="375"/>
    </row>
    <row r="87" spans="1:5" x14ac:dyDescent="0.3">
      <c r="A87" s="367"/>
      <c r="B87" s="440" t="s">
        <v>698</v>
      </c>
      <c r="C87" s="440">
        <v>2</v>
      </c>
      <c r="D87" s="372"/>
      <c r="E87" s="375"/>
    </row>
    <row r="88" spans="1:5" x14ac:dyDescent="0.3">
      <c r="A88" s="367"/>
      <c r="B88" s="440" t="s">
        <v>699</v>
      </c>
      <c r="C88" s="440">
        <v>0</v>
      </c>
      <c r="D88" s="372"/>
      <c r="E88" s="375"/>
    </row>
    <row r="89" spans="1:5" x14ac:dyDescent="0.3">
      <c r="A89" s="376"/>
      <c r="B89" s="440"/>
      <c r="C89" s="440"/>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842</v>
      </c>
      <c r="C93" s="440">
        <v>4</v>
      </c>
      <c r="D93" s="393">
        <f>'9. Inputs-Analysis'!D30</f>
        <v>3.3545581292940753E-2</v>
      </c>
      <c r="E93" s="374">
        <f>IF(D93&gt;0.2,4,IF(D93&gt;0.1,3,IF(D93&lt;0.05,2,IF(D93&gt;=-0.1,1,0))))</f>
        <v>2</v>
      </c>
    </row>
    <row r="94" spans="1:5" x14ac:dyDescent="0.3">
      <c r="A94" s="376"/>
      <c r="B94" s="440" t="s">
        <v>843</v>
      </c>
      <c r="C94" s="440">
        <v>3</v>
      </c>
      <c r="D94" s="372"/>
      <c r="E94" s="375"/>
    </row>
    <row r="95" spans="1:5" x14ac:dyDescent="0.3">
      <c r="A95" s="376"/>
      <c r="B95" s="440" t="s">
        <v>844</v>
      </c>
      <c r="C95" s="440">
        <v>2</v>
      </c>
      <c r="D95" s="372"/>
      <c r="E95" s="375"/>
    </row>
    <row r="96" spans="1:5" x14ac:dyDescent="0.3">
      <c r="A96" s="376"/>
      <c r="B96" s="440" t="s">
        <v>845</v>
      </c>
      <c r="C96" s="440">
        <v>1</v>
      </c>
      <c r="D96" s="372"/>
      <c r="E96" s="375"/>
    </row>
    <row r="97" spans="1:106" x14ac:dyDescent="0.3">
      <c r="A97" s="376"/>
      <c r="B97" s="440" t="s">
        <v>733</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IF(D100&gt;1,3,IF(D100&gt;0.5,2,IF(D100&gt;-0.1,1,0)))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0"/>
      <c r="C104" s="440"/>
      <c r="D104" s="372"/>
      <c r="E104" s="375"/>
    </row>
    <row r="105" spans="1:106" x14ac:dyDescent="0.3">
      <c r="A105" s="367"/>
      <c r="B105" s="440"/>
      <c r="C105" s="440"/>
      <c r="D105" s="372"/>
      <c r="E105" s="375"/>
    </row>
    <row r="106" spans="1:106" s="174" customFormat="1" x14ac:dyDescent="0.3">
      <c r="A106" s="364" t="s">
        <v>445</v>
      </c>
      <c r="B106" s="443"/>
      <c r="C106" s="443">
        <v>10</v>
      </c>
      <c r="D106" s="365"/>
      <c r="E106" s="366">
        <f>E107+E115+E122</f>
        <v>2</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806</v>
      </c>
      <c r="C107" s="440">
        <v>4</v>
      </c>
      <c r="D107" s="395">
        <f>'9. Inputs-Analysis'!D36</f>
        <v>823.72780049574567</v>
      </c>
      <c r="E107" s="385">
        <f>IF(D107&lt;60,4,IF(D107&lt;90,3,IF(D107&lt;120,2,IF(D107&lt;150,1,0))))</f>
        <v>0</v>
      </c>
    </row>
    <row r="108" spans="1:106" x14ac:dyDescent="0.3">
      <c r="A108" s="376"/>
      <c r="B108" s="440" t="s">
        <v>807</v>
      </c>
      <c r="C108" s="440">
        <v>3</v>
      </c>
      <c r="D108" s="372"/>
      <c r="E108" s="388"/>
    </row>
    <row r="109" spans="1:106" x14ac:dyDescent="0.3">
      <c r="A109" s="376"/>
      <c r="B109" s="440" t="s">
        <v>791</v>
      </c>
      <c r="C109" s="440">
        <v>2</v>
      </c>
      <c r="D109" s="372"/>
      <c r="E109" s="388"/>
    </row>
    <row r="110" spans="1:106" x14ac:dyDescent="0.3">
      <c r="A110" s="376"/>
      <c r="B110" s="440" t="s">
        <v>808</v>
      </c>
      <c r="C110" s="440">
        <v>1</v>
      </c>
      <c r="D110" s="372"/>
      <c r="E110" s="388"/>
    </row>
    <row r="111" spans="1:106" x14ac:dyDescent="0.3">
      <c r="A111" s="376"/>
      <c r="B111" s="440" t="s">
        <v>717</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670</v>
      </c>
      <c r="C115" s="440">
        <v>3</v>
      </c>
      <c r="D115" s="395">
        <f>'9. Inputs-Analysis'!D39</f>
        <v>89.219451744334833</v>
      </c>
      <c r="E115" s="212">
        <f>IF(D115&lt;45,3,IF(D115&lt;60,2,IF(D115&lt;90,1,0)))</f>
        <v>1</v>
      </c>
    </row>
    <row r="116" spans="1:5" x14ac:dyDescent="0.3">
      <c r="A116" s="376"/>
      <c r="B116" s="440" t="s">
        <v>249</v>
      </c>
      <c r="C116" s="440">
        <v>2</v>
      </c>
      <c r="D116" s="372"/>
      <c r="E116" s="390"/>
    </row>
    <row r="117" spans="1:5" x14ac:dyDescent="0.3">
      <c r="A117" s="376"/>
      <c r="B117" s="440" t="s">
        <v>671</v>
      </c>
      <c r="C117" s="440">
        <v>1</v>
      </c>
      <c r="D117" s="372"/>
      <c r="E117" s="390"/>
    </row>
    <row r="118" spans="1:5" x14ac:dyDescent="0.3">
      <c r="A118" s="376"/>
      <c r="B118" s="440" t="s">
        <v>502</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c r="C121" s="440"/>
      <c r="D121" s="372"/>
      <c r="E121" s="390"/>
    </row>
    <row r="122" spans="1:5" x14ac:dyDescent="0.3">
      <c r="A122" s="367" t="str">
        <f>'11. Detail Managment Report'!C35</f>
        <v>3. Asset Turnover (AT)</v>
      </c>
      <c r="B122" s="440" t="s">
        <v>506</v>
      </c>
      <c r="C122" s="440">
        <v>3</v>
      </c>
      <c r="D122" s="384">
        <f>'9. Inputs-Analysis'!D42</f>
        <v>0.35386478561776608</v>
      </c>
      <c r="E122" s="212">
        <f>IF(D122&gt;=100%,3,IF(D122&gt;=50%,2,IF(D122&gt;=30%,1,0)))</f>
        <v>1</v>
      </c>
    </row>
    <row r="123" spans="1:5" x14ac:dyDescent="0.3">
      <c r="A123" s="376"/>
      <c r="B123" s="440" t="s">
        <v>507</v>
      </c>
      <c r="C123" s="440">
        <v>2</v>
      </c>
      <c r="D123" s="372"/>
      <c r="E123" s="390"/>
    </row>
    <row r="124" spans="1:5" x14ac:dyDescent="0.3">
      <c r="A124" s="376"/>
      <c r="B124" s="440" t="s">
        <v>508</v>
      </c>
      <c r="C124" s="440">
        <v>1</v>
      </c>
      <c r="D124" s="372"/>
      <c r="E124" s="390"/>
    </row>
    <row r="125" spans="1:5" x14ac:dyDescent="0.3">
      <c r="A125" s="376"/>
      <c r="B125" s="440" t="s">
        <v>509</v>
      </c>
      <c r="C125" s="440">
        <v>0</v>
      </c>
      <c r="D125" s="372"/>
      <c r="E125" s="390"/>
    </row>
    <row r="126" spans="1:5" x14ac:dyDescent="0.3">
      <c r="A126" s="376"/>
      <c r="B126" s="440"/>
      <c r="C126" s="440"/>
      <c r="D126" s="372"/>
      <c r="E126" s="390"/>
    </row>
    <row r="127" spans="1:5" x14ac:dyDescent="0.3">
      <c r="A127" s="376"/>
      <c r="B127" s="440"/>
      <c r="C127" s="440"/>
      <c r="D127" s="372"/>
      <c r="E127" s="390"/>
    </row>
    <row r="128" spans="1:5" x14ac:dyDescent="0.3">
      <c r="A128" s="376"/>
      <c r="B128" s="440"/>
      <c r="C128" s="440"/>
      <c r="D128" s="372"/>
      <c r="E128" s="390"/>
    </row>
    <row r="129" spans="1:106" s="174" customFormat="1" x14ac:dyDescent="0.3">
      <c r="A129" s="364" t="s">
        <v>446</v>
      </c>
      <c r="B129" s="443"/>
      <c r="C129" s="443">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793</v>
      </c>
      <c r="C130" s="440">
        <v>3</v>
      </c>
      <c r="D130" s="384">
        <f>'9. Inputs-Analysis'!D45</f>
        <v>7.4443631180108563E-2</v>
      </c>
      <c r="E130" s="385">
        <f>IF(D130&gt;8%,3,IF(D130&gt;=4%,2,IF(D130&gt;=2%,1,0)))</f>
        <v>2</v>
      </c>
    </row>
    <row r="131" spans="1:106" x14ac:dyDescent="0.3">
      <c r="A131" s="376"/>
      <c r="B131" s="440" t="s">
        <v>676</v>
      </c>
      <c r="C131" s="440">
        <v>2</v>
      </c>
      <c r="D131" s="372"/>
      <c r="E131" s="388"/>
    </row>
    <row r="132" spans="1:106" x14ac:dyDescent="0.3">
      <c r="A132" s="376"/>
      <c r="B132" s="440" t="s">
        <v>677</v>
      </c>
      <c r="C132" s="440">
        <v>1</v>
      </c>
      <c r="D132" s="372"/>
      <c r="E132" s="388"/>
    </row>
    <row r="133" spans="1:106" x14ac:dyDescent="0.3">
      <c r="A133" s="376"/>
      <c r="B133" s="440" t="s">
        <v>678</v>
      </c>
      <c r="C133" s="440">
        <v>0</v>
      </c>
      <c r="D133" s="372"/>
      <c r="E133" s="388"/>
    </row>
    <row r="134" spans="1:106" x14ac:dyDescent="0.3">
      <c r="A134" s="376"/>
      <c r="B134" s="440"/>
      <c r="C134" s="440"/>
      <c r="D134" s="372"/>
      <c r="E134" s="388"/>
    </row>
    <row r="135" spans="1:106" x14ac:dyDescent="0.3">
      <c r="A135" s="376"/>
      <c r="B135" s="440"/>
      <c r="C135" s="440"/>
      <c r="D135" s="372"/>
      <c r="E135" s="388"/>
    </row>
    <row r="136" spans="1:106" x14ac:dyDescent="0.3">
      <c r="A136" s="376"/>
      <c r="B136" s="440"/>
      <c r="C136" s="440"/>
      <c r="D136" s="372"/>
      <c r="E136" s="388"/>
    </row>
    <row r="137" spans="1:106" x14ac:dyDescent="0.3">
      <c r="A137" s="367" t="str">
        <f>'11. Detail Managment Report'!C38</f>
        <v>2. Cashflow based accrual ratio (CAR)</v>
      </c>
      <c r="B137" s="440" t="s">
        <v>402</v>
      </c>
      <c r="C137" s="440">
        <v>2</v>
      </c>
      <c r="D137" s="369">
        <f>'9. Inputs-Analysis'!D48</f>
        <v>7.7292884750961464E-3</v>
      </c>
      <c r="E137" s="212">
        <f>IF(D137&lt;0,2,IF(D137&gt;0,0,IF(D137=0,1,0)))</f>
        <v>0</v>
      </c>
    </row>
    <row r="138" spans="1:106" x14ac:dyDescent="0.3">
      <c r="A138" s="376"/>
      <c r="B138" s="440" t="s">
        <v>978</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27</v>
      </c>
    </row>
    <row r="142" spans="1:106" s="37" customFormat="1" ht="15.75" customHeight="1" thickBot="1" x14ac:dyDescent="0.35">
      <c r="A142" s="396" t="s">
        <v>409</v>
      </c>
      <c r="B142" s="397"/>
      <c r="C142" s="1013">
        <f>E141/C141</f>
        <v>0.45</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7"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933FF"/>
  </sheetPr>
  <dimension ref="A1:DB142"/>
  <sheetViews>
    <sheetView view="pageBreakPreview" topLeftCell="A83"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0.43333333333333335</v>
      </c>
      <c r="U6" s="402">
        <f>1-T6</f>
        <v>0.56666666666666665</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1</v>
      </c>
    </row>
    <row r="19" spans="1:5" ht="28" x14ac:dyDescent="0.3">
      <c r="A19" s="367" t="str">
        <f>'11. Detail Managment Report'!C18</f>
        <v>1. Financial Debt to Tangible Net Worth (DTN)</v>
      </c>
      <c r="B19" s="440" t="s">
        <v>229</v>
      </c>
      <c r="C19" s="440">
        <v>7</v>
      </c>
      <c r="D19" s="369">
        <f>'9. Inputs-Analysis'!D4</f>
        <v>3.9252586061418495</v>
      </c>
      <c r="E19" s="370">
        <f>IF(D19&lt;0,0,IF(D19&lt;1,7,IF(D19&lt;1.5,6,IF(D19&lt;2,5,IF(D19&lt;2.5,4,IF(D19&lt;3,3,IF(D19&lt;3.5,2,0)))))))</f>
        <v>0</v>
      </c>
    </row>
    <row r="20" spans="1:5" x14ac:dyDescent="0.3">
      <c r="A20" s="371"/>
      <c r="B20" s="440" t="s">
        <v>476</v>
      </c>
      <c r="C20" s="440">
        <v>6</v>
      </c>
      <c r="D20" s="372"/>
      <c r="E20" s="373"/>
    </row>
    <row r="21" spans="1:5" x14ac:dyDescent="0.3">
      <c r="A21" s="371"/>
      <c r="B21" s="440" t="s">
        <v>477</v>
      </c>
      <c r="C21" s="440">
        <v>5</v>
      </c>
      <c r="D21" s="372"/>
      <c r="E21" s="373"/>
    </row>
    <row r="22" spans="1:5" x14ac:dyDescent="0.3">
      <c r="A22" s="371"/>
      <c r="B22" s="440" t="s">
        <v>478</v>
      </c>
      <c r="C22" s="440">
        <v>4</v>
      </c>
      <c r="D22" s="372"/>
      <c r="E22" s="373"/>
    </row>
    <row r="23" spans="1:5" x14ac:dyDescent="0.3">
      <c r="A23" s="371"/>
      <c r="B23" s="440" t="s">
        <v>479</v>
      </c>
      <c r="C23" s="440">
        <v>3</v>
      </c>
      <c r="D23" s="372"/>
      <c r="E23" s="373"/>
    </row>
    <row r="24" spans="1:5" x14ac:dyDescent="0.3">
      <c r="A24" s="371"/>
      <c r="B24" s="440" t="s">
        <v>480</v>
      </c>
      <c r="C24" s="440">
        <v>2</v>
      </c>
      <c r="D24" s="372"/>
      <c r="E24" s="373"/>
    </row>
    <row r="25" spans="1:5" x14ac:dyDescent="0.3">
      <c r="A25" s="371"/>
      <c r="B25" s="440" t="s">
        <v>481</v>
      </c>
      <c r="C25" s="440">
        <v>0</v>
      </c>
      <c r="D25" s="372"/>
      <c r="E25" s="373"/>
    </row>
    <row r="26" spans="1:5" x14ac:dyDescent="0.3">
      <c r="A26" s="371"/>
      <c r="B26" s="440"/>
      <c r="C26" s="440"/>
      <c r="D26" s="372"/>
      <c r="E26" s="373"/>
    </row>
    <row r="27" spans="1:5" x14ac:dyDescent="0.3">
      <c r="A27" s="371"/>
      <c r="B27" s="440"/>
      <c r="C27" s="440"/>
      <c r="D27" s="372"/>
      <c r="E27" s="373"/>
    </row>
    <row r="28" spans="1:5" x14ac:dyDescent="0.3">
      <c r="A28" s="371"/>
      <c r="B28" s="440"/>
      <c r="C28" s="440"/>
      <c r="D28" s="372"/>
      <c r="E28" s="373"/>
    </row>
    <row r="29" spans="1:5" x14ac:dyDescent="0.3">
      <c r="A29" s="367" t="str">
        <f>'11. Detail Managment Report'!C19</f>
        <v>2. Financial Debt to Total Assets (DTA)</v>
      </c>
      <c r="B29" s="440" t="s">
        <v>679</v>
      </c>
      <c r="C29" s="440">
        <v>3</v>
      </c>
      <c r="D29" s="369">
        <f>'9. Inputs-Analysis'!D7</f>
        <v>0.78528910732277912</v>
      </c>
      <c r="E29" s="374">
        <f>IF(D29&lt;0,0,IF(D29&lt;0.45,3,IF(D29&lt;0.75,2,IF(D29&lt;1,1,0))))</f>
        <v>1</v>
      </c>
    </row>
    <row r="30" spans="1:5" x14ac:dyDescent="0.3">
      <c r="A30" s="367"/>
      <c r="B30" s="440" t="s">
        <v>680</v>
      </c>
      <c r="C30" s="440">
        <v>2</v>
      </c>
      <c r="D30" s="372"/>
      <c r="E30" s="375"/>
    </row>
    <row r="31" spans="1:5" x14ac:dyDescent="0.3">
      <c r="A31" s="371"/>
      <c r="B31" s="440" t="s">
        <v>483</v>
      </c>
      <c r="C31" s="440">
        <v>1</v>
      </c>
      <c r="D31" s="372"/>
      <c r="E31" s="375"/>
    </row>
    <row r="32" spans="1:5" x14ac:dyDescent="0.3">
      <c r="A32" s="371"/>
      <c r="B32" s="440" t="s">
        <v>463</v>
      </c>
      <c r="C32" s="440">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5</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0" t="s">
        <v>465</v>
      </c>
      <c r="C37" s="440">
        <v>7</v>
      </c>
      <c r="D37" s="369">
        <f>'9. Inputs-Analysis'!D11</f>
        <v>1.040552151554528</v>
      </c>
      <c r="E37" s="370">
        <f>IF(D37&gt;=2,7,IF(D37&gt;=1.5,6,IF(D37&gt;=1,5,IF(D37&gt;=0.5,2,0))))</f>
        <v>5</v>
      </c>
    </row>
    <row r="38" spans="1:106" x14ac:dyDescent="0.3">
      <c r="A38" s="367"/>
      <c r="B38" s="440" t="s">
        <v>466</v>
      </c>
      <c r="C38" s="440">
        <v>6</v>
      </c>
      <c r="D38" s="379"/>
      <c r="E38" s="373"/>
    </row>
    <row r="39" spans="1:106" x14ac:dyDescent="0.3">
      <c r="A39" s="376"/>
      <c r="B39" s="440" t="s">
        <v>484</v>
      </c>
      <c r="C39" s="440">
        <v>5</v>
      </c>
      <c r="D39" s="372"/>
      <c r="E39" s="373"/>
    </row>
    <row r="40" spans="1:106" x14ac:dyDescent="0.3">
      <c r="A40" s="376"/>
      <c r="B40" s="440" t="s">
        <v>485</v>
      </c>
      <c r="C40" s="440">
        <v>2</v>
      </c>
      <c r="D40" s="372"/>
      <c r="E40" s="373"/>
    </row>
    <row r="41" spans="1:106" x14ac:dyDescent="0.3">
      <c r="A41" s="376"/>
      <c r="B41" s="440"/>
      <c r="C41" s="440"/>
      <c r="D41" s="372"/>
      <c r="E41" s="373"/>
    </row>
    <row r="42" spans="1:106" x14ac:dyDescent="0.3">
      <c r="A42" s="376"/>
      <c r="D42" s="372"/>
      <c r="E42" s="373"/>
    </row>
    <row r="43" spans="1:106" x14ac:dyDescent="0.3">
      <c r="A43" s="376"/>
      <c r="B43" s="368"/>
      <c r="C43" s="368"/>
      <c r="D43" s="372"/>
      <c r="E43" s="373"/>
    </row>
    <row r="44" spans="1:106" x14ac:dyDescent="0.3">
      <c r="A44" s="376"/>
      <c r="B44" s="368"/>
      <c r="C44" s="368"/>
      <c r="D44" s="372"/>
      <c r="E44" s="373"/>
    </row>
    <row r="45" spans="1:106" x14ac:dyDescent="0.3">
      <c r="A45" s="367" t="str">
        <f>'11. Detail Managment Report'!C22</f>
        <v>2. Cash Ratio (Cash)</v>
      </c>
      <c r="B45" s="440" t="s">
        <v>812</v>
      </c>
      <c r="C45" s="440">
        <v>3</v>
      </c>
      <c r="D45" s="369">
        <f>'9. Inputs-Analysis'!D10</f>
        <v>6.1472340974284764E-3</v>
      </c>
      <c r="E45" s="374">
        <f>IF(D45&gt;0.1,3,IF(D45&gt;=0.05,2,IF(D45&gt;=0.03,1,0)))</f>
        <v>0</v>
      </c>
    </row>
    <row r="46" spans="1:106" x14ac:dyDescent="0.3">
      <c r="A46" s="367"/>
      <c r="B46" s="440" t="s">
        <v>813</v>
      </c>
      <c r="C46" s="440">
        <v>2</v>
      </c>
      <c r="D46" s="372"/>
      <c r="E46" s="375"/>
    </row>
    <row r="47" spans="1:106" x14ac:dyDescent="0.3">
      <c r="A47" s="367"/>
      <c r="B47" s="440" t="s">
        <v>814</v>
      </c>
      <c r="C47" s="440">
        <v>1</v>
      </c>
      <c r="D47" s="372"/>
      <c r="E47" s="375"/>
    </row>
    <row r="48" spans="1:106" x14ac:dyDescent="0.3">
      <c r="A48" s="367"/>
      <c r="B48" s="440" t="s">
        <v>815</v>
      </c>
      <c r="C48" s="440">
        <v>0</v>
      </c>
      <c r="D48" s="372"/>
      <c r="E48" s="375"/>
    </row>
    <row r="49" spans="1:106" x14ac:dyDescent="0.3">
      <c r="A49" s="367"/>
      <c r="B49" s="440"/>
      <c r="C49" s="440"/>
      <c r="D49" s="372"/>
      <c r="E49" s="375"/>
    </row>
    <row r="50" spans="1:106" x14ac:dyDescent="0.3">
      <c r="A50" s="367"/>
      <c r="B50" s="440"/>
      <c r="C50" s="440"/>
      <c r="D50" s="372"/>
      <c r="E50" s="375"/>
    </row>
    <row r="51" spans="1:106" x14ac:dyDescent="0.3">
      <c r="A51" s="367"/>
      <c r="B51" s="447"/>
      <c r="C51" s="440"/>
      <c r="D51" s="372"/>
      <c r="E51" s="375"/>
    </row>
    <row r="52" spans="1:106" s="174" customFormat="1" ht="15" customHeight="1" x14ac:dyDescent="0.3">
      <c r="A52" s="381" t="s">
        <v>443</v>
      </c>
      <c r="B52" s="443"/>
      <c r="C52" s="443">
        <v>10</v>
      </c>
      <c r="D52" s="382"/>
      <c r="E52" s="383">
        <f>E53+E62+E69</f>
        <v>2</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0" t="s">
        <v>685</v>
      </c>
      <c r="C53" s="440">
        <v>5</v>
      </c>
      <c r="D53" s="384">
        <f>'9. Inputs-Analysis'!D15</f>
        <v>5.4896988386267581E-2</v>
      </c>
      <c r="E53" s="385">
        <f>IF(D53&gt;10%,5,IF(D53&gt;8%,4,IF(D53&gt;6%,3,IF(D53&gt;4%,2,IF(D53&gt;2%,1,0)))))</f>
        <v>2</v>
      </c>
    </row>
    <row r="54" spans="1:106" x14ac:dyDescent="0.3">
      <c r="A54" s="386"/>
      <c r="B54" s="440" t="s">
        <v>686</v>
      </c>
      <c r="C54" s="440">
        <v>4</v>
      </c>
      <c r="D54" s="387"/>
      <c r="E54" s="388"/>
    </row>
    <row r="55" spans="1:106" x14ac:dyDescent="0.3">
      <c r="A55" s="386"/>
      <c r="B55" s="440" t="s">
        <v>490</v>
      </c>
      <c r="C55" s="440">
        <v>3</v>
      </c>
      <c r="D55" s="372"/>
      <c r="E55" s="388"/>
    </row>
    <row r="56" spans="1:106" x14ac:dyDescent="0.3">
      <c r="A56" s="386"/>
      <c r="B56" s="440" t="s">
        <v>491</v>
      </c>
      <c r="C56" s="440">
        <v>2</v>
      </c>
      <c r="D56" s="372"/>
      <c r="E56" s="388"/>
    </row>
    <row r="57" spans="1:106" x14ac:dyDescent="0.3">
      <c r="A57" s="376"/>
      <c r="B57" s="440" t="s">
        <v>492</v>
      </c>
      <c r="C57" s="440">
        <v>1</v>
      </c>
      <c r="D57" s="372"/>
      <c r="E57" s="388"/>
    </row>
    <row r="58" spans="1:106" x14ac:dyDescent="0.3">
      <c r="A58" s="376"/>
      <c r="B58" s="440" t="s">
        <v>493</v>
      </c>
      <c r="C58" s="440">
        <v>0</v>
      </c>
      <c r="D58" s="372"/>
      <c r="E58" s="388"/>
    </row>
    <row r="59" spans="1:106" x14ac:dyDescent="0.3">
      <c r="A59" s="376"/>
      <c r="B59" s="440"/>
      <c r="C59" s="440"/>
      <c r="D59" s="372"/>
      <c r="E59" s="388"/>
    </row>
    <row r="60" spans="1:106" x14ac:dyDescent="0.3">
      <c r="A60" s="376"/>
      <c r="B60" s="440"/>
      <c r="C60" s="440"/>
      <c r="D60" s="372"/>
      <c r="E60" s="388"/>
    </row>
    <row r="61" spans="1:106" x14ac:dyDescent="0.3">
      <c r="A61" s="386"/>
      <c r="B61" s="440"/>
      <c r="C61" s="440"/>
      <c r="D61" s="372"/>
      <c r="E61" s="388"/>
    </row>
    <row r="62" spans="1:106" x14ac:dyDescent="0.3">
      <c r="A62" s="367" t="str">
        <f>'11. Detail Managment Report'!C25</f>
        <v>2. Return on Assets (ROA)</v>
      </c>
      <c r="B62" s="440" t="s">
        <v>467</v>
      </c>
      <c r="C62" s="440">
        <v>3</v>
      </c>
      <c r="D62" s="384">
        <f>'9. Inputs-Analysis'!D18</f>
        <v>1.9426111026367571E-2</v>
      </c>
      <c r="E62" s="212">
        <f>IF(D62&gt;5%,3,IF(D62&gt;3%,2,IF(D62&gt;=2%,1,0)))</f>
        <v>0</v>
      </c>
    </row>
    <row r="63" spans="1:106" x14ac:dyDescent="0.3">
      <c r="A63" s="386"/>
      <c r="B63" s="440" t="s">
        <v>468</v>
      </c>
      <c r="C63" s="440">
        <v>2</v>
      </c>
      <c r="D63" s="389"/>
      <c r="E63" s="390"/>
    </row>
    <row r="64" spans="1:106" x14ac:dyDescent="0.3">
      <c r="A64" s="386"/>
      <c r="B64" s="440" t="s">
        <v>494</v>
      </c>
      <c r="C64" s="440">
        <v>1</v>
      </c>
      <c r="D64" s="389"/>
      <c r="E64" s="390"/>
    </row>
    <row r="65" spans="1:106" x14ac:dyDescent="0.3">
      <c r="A65" s="386"/>
      <c r="B65" s="440" t="s">
        <v>495</v>
      </c>
      <c r="C65" s="440">
        <v>0</v>
      </c>
      <c r="D65" s="372"/>
      <c r="E65" s="390"/>
    </row>
    <row r="66" spans="1:106" x14ac:dyDescent="0.3">
      <c r="A66" s="386"/>
      <c r="B66" s="440"/>
      <c r="C66" s="440"/>
      <c r="D66" s="372"/>
      <c r="E66" s="390"/>
    </row>
    <row r="67" spans="1:106" x14ac:dyDescent="0.3">
      <c r="A67" s="386"/>
      <c r="B67" s="440"/>
      <c r="C67" s="440"/>
      <c r="D67" s="372"/>
      <c r="E67" s="390"/>
    </row>
    <row r="68" spans="1:106" x14ac:dyDescent="0.3">
      <c r="A68" s="386"/>
      <c r="B68" s="440"/>
      <c r="C68" s="440"/>
      <c r="D68" s="372"/>
      <c r="E68" s="390"/>
    </row>
    <row r="69" spans="1:106" ht="28" x14ac:dyDescent="0.3">
      <c r="A69" s="391" t="str">
        <f>'11. Detail Managment Report'!C26</f>
        <v>3. Operating Profit to Operating Assets (OPOA)</v>
      </c>
      <c r="B69" s="440" t="s">
        <v>722</v>
      </c>
      <c r="C69" s="440">
        <v>2</v>
      </c>
      <c r="D69" s="392">
        <f>'9. Inputs-Analysis'!D21</f>
        <v>4.652054000911502E-2</v>
      </c>
      <c r="E69" s="212">
        <f>IF(D69&gt;=8%,2,IF(D69&gt;=5%,1,0))</f>
        <v>0</v>
      </c>
    </row>
    <row r="70" spans="1:106" x14ac:dyDescent="0.3">
      <c r="A70" s="391"/>
      <c r="B70" s="440" t="s">
        <v>723</v>
      </c>
      <c r="C70" s="440">
        <v>1</v>
      </c>
      <c r="D70" s="372"/>
      <c r="E70" s="390"/>
    </row>
    <row r="71" spans="1:106" x14ac:dyDescent="0.3">
      <c r="A71" s="376"/>
      <c r="B71" s="440" t="s">
        <v>724</v>
      </c>
      <c r="C71" s="440">
        <v>0</v>
      </c>
      <c r="D71" s="372"/>
      <c r="E71" s="390"/>
    </row>
    <row r="72" spans="1:106" x14ac:dyDescent="0.3">
      <c r="A72" s="376"/>
      <c r="B72" s="440"/>
      <c r="C72" s="440"/>
      <c r="D72" s="372"/>
      <c r="E72" s="390"/>
    </row>
    <row r="73" spans="1:106" x14ac:dyDescent="0.3">
      <c r="A73" s="376"/>
      <c r="B73" s="440"/>
      <c r="C73" s="440"/>
      <c r="D73" s="372"/>
      <c r="E73" s="390"/>
    </row>
    <row r="74" spans="1:106" x14ac:dyDescent="0.3">
      <c r="A74" s="376"/>
      <c r="B74" s="440"/>
      <c r="C74" s="440"/>
      <c r="D74" s="372"/>
      <c r="E74" s="390"/>
    </row>
    <row r="75" spans="1:106" s="174" customFormat="1" x14ac:dyDescent="0.3">
      <c r="A75" s="364" t="s">
        <v>444</v>
      </c>
      <c r="B75" s="443"/>
      <c r="C75" s="443">
        <v>15</v>
      </c>
      <c r="D75" s="365"/>
      <c r="E75" s="366">
        <f>E76+E83+E93+E100</f>
        <v>7</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0" t="s">
        <v>778</v>
      </c>
      <c r="C76" s="440">
        <v>3</v>
      </c>
      <c r="D76" s="369">
        <f>'9. Inputs-Analysis'!D24</f>
        <v>2.1640484041893577</v>
      </c>
      <c r="E76" s="370">
        <f>IF(D76&gt;3,3,IF(D76&gt;2,2,IF(D76&gt;1,1,0)))</f>
        <v>2</v>
      </c>
    </row>
    <row r="77" spans="1:106" x14ac:dyDescent="0.3">
      <c r="A77" s="376"/>
      <c r="B77" s="440" t="s">
        <v>840</v>
      </c>
      <c r="C77" s="440">
        <v>2</v>
      </c>
      <c r="D77" s="218"/>
      <c r="E77" s="373"/>
    </row>
    <row r="78" spans="1:106" x14ac:dyDescent="0.3">
      <c r="A78" s="376"/>
      <c r="B78" s="440" t="s">
        <v>841</v>
      </c>
      <c r="C78" s="440">
        <v>1</v>
      </c>
      <c r="D78" s="372"/>
      <c r="E78" s="373"/>
    </row>
    <row r="79" spans="1:106" x14ac:dyDescent="0.3">
      <c r="A79" s="376"/>
      <c r="B79" s="440" t="s">
        <v>629</v>
      </c>
      <c r="C79" s="440">
        <v>0</v>
      </c>
      <c r="D79" s="372"/>
      <c r="E79" s="373"/>
    </row>
    <row r="80" spans="1:106" x14ac:dyDescent="0.3">
      <c r="A80" s="376"/>
      <c r="B80" s="440"/>
      <c r="C80" s="440"/>
      <c r="D80" s="372"/>
      <c r="E80" s="373"/>
    </row>
    <row r="81" spans="1:5" x14ac:dyDescent="0.3">
      <c r="A81" s="376"/>
      <c r="B81" s="440"/>
      <c r="C81" s="440"/>
      <c r="D81" s="372"/>
      <c r="E81" s="373"/>
    </row>
    <row r="82" spans="1:5" x14ac:dyDescent="0.3">
      <c r="A82" s="376"/>
      <c r="B82" s="440"/>
      <c r="C82" s="440"/>
      <c r="D82" s="372"/>
      <c r="E82" s="373"/>
    </row>
    <row r="83" spans="1:5" x14ac:dyDescent="0.3">
      <c r="A83" s="367" t="str">
        <f>'11. Detail Managment Report'!C29</f>
        <v>2. Debt Service Coverage Ratio (DSCR)</v>
      </c>
      <c r="B83" s="440"/>
      <c r="C83" s="440"/>
      <c r="D83" s="369">
        <f>'9. Inputs-Analysis'!D27</f>
        <v>1.4160266339747576</v>
      </c>
      <c r="E83" s="374">
        <f>IF(D83&gt;=2.5,5,IF(D83&gt;=2,4,IF(D83&gt;=1.5,3,IF(D83&gt;=1.25,2,IF(D83&gt;=0.5,1,0)))))</f>
        <v>2</v>
      </c>
    </row>
    <row r="84" spans="1:5" x14ac:dyDescent="0.3">
      <c r="A84" s="367"/>
      <c r="B84" s="440" t="s">
        <v>781</v>
      </c>
      <c r="C84" s="440">
        <v>5</v>
      </c>
      <c r="D84" s="372"/>
      <c r="E84" s="375"/>
    </row>
    <row r="85" spans="1:5" x14ac:dyDescent="0.3">
      <c r="A85" s="367"/>
      <c r="B85" s="440" t="s">
        <v>782</v>
      </c>
      <c r="C85" s="440">
        <v>4</v>
      </c>
      <c r="D85" s="372"/>
      <c r="E85" s="375"/>
    </row>
    <row r="86" spans="1:5" x14ac:dyDescent="0.3">
      <c r="A86" s="367"/>
      <c r="B86" s="440" t="s">
        <v>783</v>
      </c>
      <c r="C86" s="440">
        <v>3</v>
      </c>
      <c r="D86" s="372"/>
      <c r="E86" s="375"/>
    </row>
    <row r="87" spans="1:5" x14ac:dyDescent="0.3">
      <c r="A87" s="367"/>
      <c r="B87" s="440" t="s">
        <v>784</v>
      </c>
      <c r="C87" s="440">
        <v>2</v>
      </c>
      <c r="D87" s="372"/>
      <c r="E87" s="375"/>
    </row>
    <row r="88" spans="1:5" x14ac:dyDescent="0.3">
      <c r="A88" s="367"/>
      <c r="B88" s="440" t="s">
        <v>785</v>
      </c>
      <c r="C88" s="440">
        <v>1</v>
      </c>
      <c r="D88" s="372"/>
      <c r="E88" s="375"/>
    </row>
    <row r="89" spans="1:5" x14ac:dyDescent="0.3">
      <c r="A89" s="376"/>
      <c r="B89" s="440" t="s">
        <v>629</v>
      </c>
      <c r="C89" s="440">
        <v>0</v>
      </c>
      <c r="D89" s="372"/>
      <c r="E89" s="375"/>
    </row>
    <row r="90" spans="1:5" x14ac:dyDescent="0.3">
      <c r="A90" s="376"/>
      <c r="B90" s="440"/>
      <c r="C90" s="440"/>
      <c r="D90" s="372"/>
      <c r="E90" s="375"/>
    </row>
    <row r="91" spans="1:5" x14ac:dyDescent="0.3">
      <c r="A91" s="376"/>
      <c r="B91" s="440"/>
      <c r="C91" s="440"/>
      <c r="D91" s="372"/>
      <c r="E91" s="375"/>
    </row>
    <row r="92" spans="1:5" x14ac:dyDescent="0.3">
      <c r="A92" s="376"/>
      <c r="B92" s="440"/>
      <c r="C92" s="440"/>
      <c r="D92" s="372"/>
      <c r="E92" s="375"/>
    </row>
    <row r="93" spans="1:5" ht="28" x14ac:dyDescent="0.3">
      <c r="A93" s="367" t="str">
        <f>'11. Detail Managment Report'!C30</f>
        <v>3. Operating Cashflow to Debt Ratio (CDR)</v>
      </c>
      <c r="B93" s="440" t="s">
        <v>729</v>
      </c>
      <c r="C93" s="440">
        <v>4</v>
      </c>
      <c r="D93" s="393">
        <f>'9. Inputs-Analysis'!D30</f>
        <v>3.3545581292940753E-2</v>
      </c>
      <c r="E93" s="374">
        <f>IF(D93&gt;0.5,4,IF(D93&gt;=0.35,3,IF(D93&gt;=0.25,2,IF(D93&gt;=-0.15,1,0))))</f>
        <v>1</v>
      </c>
    </row>
    <row r="94" spans="1:5" x14ac:dyDescent="0.3">
      <c r="A94" s="376"/>
      <c r="B94" s="440" t="s">
        <v>730</v>
      </c>
      <c r="C94" s="440">
        <v>3</v>
      </c>
      <c r="D94" s="372"/>
      <c r="E94" s="375"/>
    </row>
    <row r="95" spans="1:5" x14ac:dyDescent="0.3">
      <c r="A95" s="376"/>
      <c r="B95" s="440" t="s">
        <v>731</v>
      </c>
      <c r="C95" s="440">
        <v>2</v>
      </c>
      <c r="D95" s="372"/>
      <c r="E95" s="375"/>
    </row>
    <row r="96" spans="1:5" x14ac:dyDescent="0.3">
      <c r="A96" s="376"/>
      <c r="B96" s="440" t="s">
        <v>732</v>
      </c>
      <c r="C96" s="440">
        <v>1</v>
      </c>
      <c r="D96" s="372"/>
      <c r="E96" s="375"/>
    </row>
    <row r="97" spans="1:106" x14ac:dyDescent="0.3">
      <c r="A97" s="376"/>
      <c r="B97" s="440" t="s">
        <v>733</v>
      </c>
      <c r="C97" s="440">
        <v>0</v>
      </c>
      <c r="D97" s="372"/>
      <c r="E97" s="375"/>
    </row>
    <row r="98" spans="1:106" x14ac:dyDescent="0.3">
      <c r="A98" s="376"/>
      <c r="B98" s="440"/>
      <c r="C98" s="440"/>
      <c r="D98" s="372"/>
      <c r="E98" s="375"/>
    </row>
    <row r="99" spans="1:106" x14ac:dyDescent="0.3">
      <c r="A99" s="376"/>
      <c r="B99" s="440"/>
      <c r="C99" s="440"/>
      <c r="D99" s="372"/>
      <c r="E99" s="375"/>
    </row>
    <row r="100" spans="1:106" ht="19.5" customHeight="1" x14ac:dyDescent="0.3">
      <c r="A100" s="367" t="str">
        <f>'11. Detail Managment Report'!C31</f>
        <v>4. Cashflow Coverage Ratio (CCR)</v>
      </c>
      <c r="B100" s="440" t="s">
        <v>705</v>
      </c>
      <c r="C100" s="440">
        <v>3</v>
      </c>
      <c r="D100" s="394">
        <f>'9. Inputs-Analysis'!D33</f>
        <v>0.76522361031669384</v>
      </c>
      <c r="E100" s="374">
        <f>IF(D100&gt;1,3,IF(D100&gt;=0.5,2,IF(D100&gt;=-0.1,1,0)))</f>
        <v>2</v>
      </c>
    </row>
    <row r="101" spans="1:106" x14ac:dyDescent="0.3">
      <c r="A101" s="367"/>
      <c r="B101" s="440" t="s">
        <v>706</v>
      </c>
      <c r="C101" s="440">
        <v>2</v>
      </c>
      <c r="D101" s="372"/>
      <c r="E101" s="375"/>
    </row>
    <row r="102" spans="1:106" x14ac:dyDescent="0.3">
      <c r="A102" s="367"/>
      <c r="B102" s="440" t="s">
        <v>707</v>
      </c>
      <c r="C102" s="440">
        <v>1</v>
      </c>
      <c r="D102" s="372"/>
      <c r="E102" s="375"/>
    </row>
    <row r="103" spans="1:106" x14ac:dyDescent="0.3">
      <c r="A103" s="367"/>
      <c r="B103" s="440" t="s">
        <v>708</v>
      </c>
      <c r="C103" s="440">
        <v>0</v>
      </c>
      <c r="D103" s="372"/>
      <c r="E103" s="375"/>
    </row>
    <row r="104" spans="1:106" x14ac:dyDescent="0.3">
      <c r="A104" s="367"/>
      <c r="B104" s="440"/>
      <c r="C104" s="440"/>
      <c r="D104" s="372"/>
      <c r="E104" s="375"/>
    </row>
    <row r="105" spans="1:106" x14ac:dyDescent="0.3">
      <c r="A105" s="367"/>
      <c r="B105" s="440"/>
      <c r="C105" s="440"/>
      <c r="D105" s="372"/>
      <c r="E105" s="375"/>
    </row>
    <row r="106" spans="1:106" s="174" customFormat="1" x14ac:dyDescent="0.3">
      <c r="A106" s="364" t="s">
        <v>445</v>
      </c>
      <c r="B106" s="443"/>
      <c r="C106" s="443">
        <v>10</v>
      </c>
      <c r="D106" s="365"/>
      <c r="E106" s="366">
        <f>E107+E115+E122</f>
        <v>8</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0" t="s">
        <v>709</v>
      </c>
      <c r="C107" s="440">
        <v>4</v>
      </c>
      <c r="D107" s="395">
        <f>'9. Inputs-Analysis'!D36</f>
        <v>823.72780049574567</v>
      </c>
      <c r="E107" s="385">
        <v>0</v>
      </c>
    </row>
    <row r="108" spans="1:106" x14ac:dyDescent="0.3">
      <c r="A108" s="376"/>
      <c r="B108" s="440" t="s">
        <v>710</v>
      </c>
      <c r="C108" s="440">
        <v>3</v>
      </c>
      <c r="D108" s="372"/>
      <c r="E108" s="388"/>
    </row>
    <row r="109" spans="1:106" x14ac:dyDescent="0.3">
      <c r="A109" s="376"/>
      <c r="B109" s="440" t="s">
        <v>711</v>
      </c>
      <c r="C109" s="440">
        <v>2</v>
      </c>
      <c r="D109" s="372"/>
      <c r="E109" s="388"/>
    </row>
    <row r="110" spans="1:106" x14ac:dyDescent="0.3">
      <c r="A110" s="376"/>
      <c r="B110" s="440" t="s">
        <v>712</v>
      </c>
      <c r="C110" s="440">
        <v>1</v>
      </c>
      <c r="D110" s="372"/>
      <c r="E110" s="388"/>
    </row>
    <row r="111" spans="1:106" x14ac:dyDescent="0.3">
      <c r="A111" s="376"/>
      <c r="B111" s="440" t="s">
        <v>713</v>
      </c>
      <c r="C111" s="440">
        <v>0</v>
      </c>
      <c r="D111" s="372"/>
      <c r="E111" s="388"/>
    </row>
    <row r="112" spans="1:106" x14ac:dyDescent="0.3">
      <c r="A112" s="376"/>
      <c r="B112" s="440"/>
      <c r="C112" s="440"/>
      <c r="D112" s="372"/>
      <c r="E112" s="388"/>
    </row>
    <row r="113" spans="1:5" x14ac:dyDescent="0.3">
      <c r="A113" s="376"/>
      <c r="B113" s="440"/>
      <c r="C113" s="440"/>
      <c r="D113" s="372"/>
      <c r="E113" s="388"/>
    </row>
    <row r="114" spans="1:5" x14ac:dyDescent="0.3">
      <c r="A114" s="376"/>
      <c r="B114" s="440"/>
      <c r="C114" s="440"/>
      <c r="D114" s="372"/>
      <c r="E114" s="388"/>
    </row>
    <row r="115" spans="1:5" ht="28" x14ac:dyDescent="0.3">
      <c r="A115" s="367" t="str">
        <f>'11. Detail Managment Report'!C34</f>
        <v>2. Trade Debtor Collection Days (TDCD)</v>
      </c>
      <c r="B115" s="440" t="s">
        <v>714</v>
      </c>
      <c r="C115" s="440">
        <v>5</v>
      </c>
      <c r="D115" s="395">
        <f>'9. Inputs-Analysis'!D39</f>
        <v>89.219451744334833</v>
      </c>
      <c r="E115" s="212">
        <f>IF(D115&lt;80,5,IF(D115&lt;120,4,IF(D115&lt;150,2,0)))</f>
        <v>4</v>
      </c>
    </row>
    <row r="116" spans="1:5" x14ac:dyDescent="0.3">
      <c r="A116" s="376"/>
      <c r="B116" s="440" t="s">
        <v>715</v>
      </c>
      <c r="C116" s="440">
        <v>4</v>
      </c>
      <c r="D116" s="372"/>
      <c r="E116" s="390"/>
    </row>
    <row r="117" spans="1:5" x14ac:dyDescent="0.3">
      <c r="A117" s="376"/>
      <c r="B117" s="440" t="s">
        <v>716</v>
      </c>
      <c r="C117" s="440">
        <v>2</v>
      </c>
      <c r="D117" s="372"/>
      <c r="E117" s="390"/>
    </row>
    <row r="118" spans="1:5" x14ac:dyDescent="0.3">
      <c r="A118" s="376"/>
      <c r="B118" s="440" t="s">
        <v>717</v>
      </c>
      <c r="C118" s="440">
        <v>0</v>
      </c>
      <c r="D118" s="372"/>
      <c r="E118" s="390"/>
    </row>
    <row r="119" spans="1:5" x14ac:dyDescent="0.3">
      <c r="A119" s="376"/>
      <c r="B119" s="440"/>
      <c r="C119" s="440"/>
      <c r="D119" s="372"/>
      <c r="E119" s="390"/>
    </row>
    <row r="120" spans="1:5" x14ac:dyDescent="0.3">
      <c r="A120" s="376"/>
      <c r="B120" s="440"/>
      <c r="C120" s="440"/>
      <c r="D120" s="372"/>
      <c r="E120" s="390"/>
    </row>
    <row r="121" spans="1:5" x14ac:dyDescent="0.3">
      <c r="A121" s="376"/>
      <c r="B121" s="440"/>
      <c r="C121" s="440"/>
      <c r="D121" s="372"/>
      <c r="E121" s="390"/>
    </row>
    <row r="122" spans="1:5" x14ac:dyDescent="0.3">
      <c r="A122" s="367" t="str">
        <f>'11. Detail Managment Report'!C35</f>
        <v>3. Asset Turnover (AT)</v>
      </c>
      <c r="B122" s="440" t="s">
        <v>765</v>
      </c>
      <c r="C122" s="440">
        <v>5</v>
      </c>
      <c r="D122" s="384">
        <f>'9. Inputs-Analysis'!D42</f>
        <v>0.35386478561776608</v>
      </c>
      <c r="E122" s="212">
        <f>IF(D122&gt;=50%,5,IF(D122&gt;=20%,4,IF(D122&gt;=10%,2,0)))</f>
        <v>4</v>
      </c>
    </row>
    <row r="123" spans="1:5" x14ac:dyDescent="0.3">
      <c r="A123" s="376"/>
      <c r="B123" s="440" t="s">
        <v>766</v>
      </c>
      <c r="C123" s="440">
        <v>4</v>
      </c>
      <c r="D123" s="372"/>
      <c r="E123" s="390"/>
    </row>
    <row r="124" spans="1:5" x14ac:dyDescent="0.3">
      <c r="A124" s="376"/>
      <c r="B124" s="440" t="s">
        <v>767</v>
      </c>
      <c r="C124" s="440">
        <v>2</v>
      </c>
      <c r="D124" s="372"/>
      <c r="E124" s="390"/>
    </row>
    <row r="125" spans="1:5" x14ac:dyDescent="0.3">
      <c r="A125" s="376"/>
      <c r="B125" s="440" t="s">
        <v>768</v>
      </c>
      <c r="C125" s="440">
        <v>0</v>
      </c>
      <c r="D125" s="372"/>
      <c r="E125" s="390"/>
    </row>
    <row r="126" spans="1:5" x14ac:dyDescent="0.3">
      <c r="A126" s="376"/>
      <c r="B126" s="440"/>
      <c r="C126" s="440"/>
      <c r="D126" s="372"/>
      <c r="E126" s="390"/>
    </row>
    <row r="127" spans="1:5" x14ac:dyDescent="0.3">
      <c r="A127" s="376"/>
      <c r="B127" s="440"/>
      <c r="C127" s="440"/>
      <c r="D127" s="372"/>
      <c r="E127" s="390"/>
    </row>
    <row r="128" spans="1:5" x14ac:dyDescent="0.3">
      <c r="A128" s="376"/>
      <c r="B128" s="440"/>
      <c r="C128" s="440"/>
      <c r="D128" s="372"/>
      <c r="E128" s="390"/>
    </row>
    <row r="129" spans="1:106" s="174" customFormat="1" x14ac:dyDescent="0.3">
      <c r="A129" s="364" t="s">
        <v>446</v>
      </c>
      <c r="B129" s="443"/>
      <c r="C129" s="443">
        <v>5</v>
      </c>
      <c r="D129" s="365"/>
      <c r="E129" s="366">
        <f>E130+E137</f>
        <v>3</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0" t="s">
        <v>852</v>
      </c>
      <c r="C130" s="440">
        <v>3</v>
      </c>
      <c r="D130" s="384">
        <f>'9. Inputs-Analysis'!D45</f>
        <v>7.4443631180108563E-2</v>
      </c>
      <c r="E130" s="385">
        <f>IF(D130&gt;5%,3,IF(D130&gt;=3%,2,IF(D130&gt;=2%,1,0)))</f>
        <v>3</v>
      </c>
    </row>
    <row r="131" spans="1:106" x14ac:dyDescent="0.3">
      <c r="A131" s="376"/>
      <c r="B131" s="440" t="s">
        <v>773</v>
      </c>
      <c r="C131" s="440">
        <v>2</v>
      </c>
      <c r="D131" s="372"/>
      <c r="E131" s="388"/>
    </row>
    <row r="132" spans="1:106" x14ac:dyDescent="0.3">
      <c r="A132" s="376"/>
      <c r="B132" s="440" t="s">
        <v>719</v>
      </c>
      <c r="C132" s="440">
        <v>1</v>
      </c>
      <c r="D132" s="372"/>
      <c r="E132" s="388"/>
    </row>
    <row r="133" spans="1:106" x14ac:dyDescent="0.3">
      <c r="A133" s="376"/>
      <c r="B133" s="440" t="s">
        <v>678</v>
      </c>
      <c r="C133" s="440">
        <v>0</v>
      </c>
      <c r="D133" s="372"/>
      <c r="E133" s="388"/>
    </row>
    <row r="134" spans="1:106" x14ac:dyDescent="0.3">
      <c r="A134" s="376"/>
      <c r="B134" s="440"/>
      <c r="C134" s="440"/>
      <c r="D134" s="372"/>
      <c r="E134" s="388"/>
    </row>
    <row r="135" spans="1:106" x14ac:dyDescent="0.3">
      <c r="A135" s="376"/>
      <c r="B135" s="440"/>
      <c r="C135" s="440"/>
      <c r="D135" s="372"/>
      <c r="E135" s="388"/>
    </row>
    <row r="136" spans="1:106" x14ac:dyDescent="0.3">
      <c r="A136" s="376"/>
      <c r="B136" s="440"/>
      <c r="C136" s="440"/>
      <c r="D136" s="372"/>
      <c r="E136" s="388"/>
    </row>
    <row r="137" spans="1:106" x14ac:dyDescent="0.3">
      <c r="A137" s="367" t="str">
        <f>'11. Detail Managment Report'!C38</f>
        <v>2. Cashflow based accrual ratio (CAR)</v>
      </c>
      <c r="B137" s="440" t="s">
        <v>402</v>
      </c>
      <c r="C137" s="440">
        <v>2</v>
      </c>
      <c r="D137" s="369">
        <f>'9. Inputs-Analysis'!D48</f>
        <v>7.7292884750961464E-3</v>
      </c>
      <c r="E137" s="212">
        <f>IF(D137&lt;0,2,IF(D137&gt;0,0,IF(D137=0,1,0)))</f>
        <v>0</v>
      </c>
    </row>
    <row r="138" spans="1:106" x14ac:dyDescent="0.3">
      <c r="A138" s="376"/>
      <c r="B138" s="440" t="s">
        <v>978</v>
      </c>
      <c r="C138" s="440">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26</v>
      </c>
    </row>
    <row r="142" spans="1:106" s="37" customFormat="1" ht="15.75" customHeight="1" thickBot="1" x14ac:dyDescent="0.35">
      <c r="A142" s="396" t="s">
        <v>409</v>
      </c>
      <c r="B142" s="397"/>
      <c r="C142" s="1013">
        <f>E141/C141</f>
        <v>0.43333333333333335</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6"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933FF"/>
  </sheetPr>
  <dimension ref="A1:DB142"/>
  <sheetViews>
    <sheetView view="pageBreakPreview" topLeftCell="A98" zoomScaleNormal="90" zoomScaleSheetLayoutView="100" zoomScalePageLayoutView="90" workbookViewId="0">
      <selection activeCell="E94" sqref="E94"/>
    </sheetView>
  </sheetViews>
  <sheetFormatPr defaultColWidth="9.1796875" defaultRowHeight="14" x14ac:dyDescent="0.3"/>
  <cols>
    <col min="1" max="1" width="37.54296875" style="204" customWidth="1"/>
    <col min="2" max="2" width="30.54296875" style="40" customWidth="1"/>
    <col min="3" max="3" width="14.81640625" style="40" customWidth="1"/>
    <col min="4" max="4" width="15.453125" style="354" customWidth="1"/>
    <col min="5" max="5" width="15.26953125" style="354" customWidth="1"/>
    <col min="6" max="16384" width="9.1796875" style="20"/>
  </cols>
  <sheetData>
    <row r="1" spans="1:106" ht="35.25" hidden="1" customHeight="1" thickBot="1" x14ac:dyDescent="0.35">
      <c r="A1" s="1015" t="s">
        <v>125</v>
      </c>
      <c r="B1" s="1016"/>
      <c r="C1" s="1016"/>
      <c r="D1" s="1016"/>
      <c r="E1" s="1017"/>
    </row>
    <row r="2" spans="1:106" ht="28.5" customHeight="1" thickBot="1" x14ac:dyDescent="0.35">
      <c r="A2" s="1107" t="s">
        <v>551</v>
      </c>
      <c r="B2" s="1019"/>
      <c r="C2" s="1019"/>
      <c r="D2" s="1019"/>
      <c r="E2" s="1019"/>
    </row>
    <row r="3" spans="1:106" ht="40.5" customHeight="1" x14ac:dyDescent="0.3">
      <c r="A3" s="348" t="s">
        <v>412</v>
      </c>
      <c r="B3" s="358" t="str">
        <f>'11. Detail Managment Report'!D2</f>
        <v>Outpace Spinning Mills Ltd</v>
      </c>
      <c r="C3" s="356"/>
      <c r="D3" s="355"/>
      <c r="E3" s="351"/>
    </row>
    <row r="4" spans="1:106" ht="31.5" customHeight="1" x14ac:dyDescent="0.3">
      <c r="A4" s="349" t="s">
        <v>410</v>
      </c>
      <c r="B4" s="359" t="str">
        <f>'11. Detail Managment Report'!D3</f>
        <v>Outpace Spinning Mills Ltd</v>
      </c>
      <c r="C4" s="152"/>
      <c r="D4" s="142"/>
      <c r="E4" s="142"/>
    </row>
    <row r="5" spans="1:106" ht="34.5" customHeight="1" x14ac:dyDescent="0.3">
      <c r="A5" s="350" t="s">
        <v>214</v>
      </c>
      <c r="B5" s="359" t="str">
        <f>'11. Detail Managment Report'!D4</f>
        <v>Outright Group</v>
      </c>
      <c r="C5" s="153"/>
      <c r="D5" s="1020"/>
      <c r="E5" s="158"/>
    </row>
    <row r="6" spans="1:106" ht="26.25" customHeight="1" x14ac:dyDescent="0.3">
      <c r="A6" s="349" t="s">
        <v>411</v>
      </c>
      <c r="B6" s="403" t="str">
        <f>'11. Detail Managment Report'!D5</f>
        <v xml:space="preserve">2.  Textile </v>
      </c>
      <c r="C6" s="357"/>
      <c r="D6" s="1020"/>
      <c r="E6" s="158"/>
      <c r="S6" s="20" t="s">
        <v>216</v>
      </c>
      <c r="T6" s="402">
        <f>C142</f>
        <v>0.46666666666666667</v>
      </c>
      <c r="U6" s="402">
        <f>1-T6</f>
        <v>0.53333333333333333</v>
      </c>
    </row>
    <row r="7" spans="1:106" x14ac:dyDescent="0.3">
      <c r="A7" s="349" t="s">
        <v>413</v>
      </c>
      <c r="B7" s="359" t="str">
        <f>'11. Detail Managment Report'!D6</f>
        <v>Standard</v>
      </c>
      <c r="C7" s="153"/>
      <c r="D7" s="1021"/>
      <c r="E7" s="158"/>
    </row>
    <row r="8" spans="1:106" x14ac:dyDescent="0.3">
      <c r="A8" s="349" t="s">
        <v>85</v>
      </c>
      <c r="B8" s="359" t="str">
        <f>'11. Detail Managment Report'!D7</f>
        <v>Unaudited</v>
      </c>
      <c r="C8" s="175"/>
      <c r="D8" s="1021"/>
      <c r="E8" s="352"/>
    </row>
    <row r="9" spans="1:106" x14ac:dyDescent="0.3">
      <c r="A9" s="349" t="s">
        <v>414</v>
      </c>
      <c r="B9" s="359" t="str">
        <f>'11. Detail Managment Report'!D8</f>
        <v>Dewan Nazrul Islam &amp; Co.</v>
      </c>
      <c r="C9" s="357"/>
      <c r="D9" s="158"/>
      <c r="E9" s="158"/>
    </row>
    <row r="10" spans="1:106" x14ac:dyDescent="0.3">
      <c r="A10" s="349" t="s">
        <v>415</v>
      </c>
      <c r="B10" s="359" t="str">
        <f>'11. Detail Managment Report'!D9</f>
        <v>Md. Matiur Rahman, SRM</v>
      </c>
      <c r="C10" s="357"/>
      <c r="D10" s="158"/>
      <c r="E10" s="158"/>
    </row>
    <row r="11" spans="1:106" x14ac:dyDescent="0.3">
      <c r="A11" s="349" t="s">
        <v>79</v>
      </c>
      <c r="B11" s="359" t="str">
        <f>'11. Detail Managment Report'!D10</f>
        <v>Farhana Afrin, SM</v>
      </c>
      <c r="C11" s="357"/>
      <c r="D11" s="353"/>
      <c r="E11" s="353"/>
    </row>
    <row r="12" spans="1:106" ht="15" hidden="1" customHeight="1" x14ac:dyDescent="0.3">
      <c r="A12" s="349"/>
      <c r="B12" s="359"/>
      <c r="C12" s="357"/>
      <c r="D12" s="353"/>
      <c r="E12" s="176"/>
    </row>
    <row r="13" spans="1:106" x14ac:dyDescent="0.3">
      <c r="A13" s="349" t="s">
        <v>418</v>
      </c>
      <c r="B13" s="359">
        <f>'11. Detail Managment Report'!D12</f>
        <v>45652</v>
      </c>
      <c r="C13" s="357"/>
      <c r="D13" s="353"/>
      <c r="E13" s="353"/>
    </row>
    <row r="14" spans="1:106" x14ac:dyDescent="0.3">
      <c r="A14" s="349" t="s">
        <v>215</v>
      </c>
      <c r="B14" s="359">
        <f>'11. Detail Managment Report'!D13</f>
        <v>45473</v>
      </c>
      <c r="C14" s="357"/>
      <c r="D14" s="353"/>
      <c r="E14" s="353"/>
    </row>
    <row r="15" spans="1:106" ht="14.5" thickBot="1" x14ac:dyDescent="0.35">
      <c r="A15" s="60"/>
      <c r="B15" s="360"/>
      <c r="C15" s="357"/>
      <c r="D15" s="353"/>
      <c r="E15" s="353"/>
    </row>
    <row r="16" spans="1:106" s="174" customFormat="1" ht="22.5" customHeight="1" thickBot="1" x14ac:dyDescent="0.35">
      <c r="A16" s="1022" t="s">
        <v>265</v>
      </c>
      <c r="B16" s="1023"/>
      <c r="C16" s="1023"/>
      <c r="D16" s="1023"/>
      <c r="E16" s="1024"/>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row>
    <row r="17" spans="1:5" ht="30.75" customHeight="1" x14ac:dyDescent="0.3">
      <c r="A17" s="361" t="s">
        <v>268</v>
      </c>
      <c r="B17" s="362" t="s">
        <v>225</v>
      </c>
      <c r="C17" s="362" t="s">
        <v>216</v>
      </c>
      <c r="D17" s="362" t="s">
        <v>226</v>
      </c>
      <c r="E17" s="363" t="s">
        <v>227</v>
      </c>
    </row>
    <row r="18" spans="1:5" ht="16.5" customHeight="1" x14ac:dyDescent="0.3">
      <c r="A18" s="364" t="s">
        <v>441</v>
      </c>
      <c r="B18" s="365"/>
      <c r="C18" s="365">
        <v>10</v>
      </c>
      <c r="D18" s="365"/>
      <c r="E18" s="366">
        <f>E19+E29</f>
        <v>5</v>
      </c>
    </row>
    <row r="19" spans="1:5" ht="28" x14ac:dyDescent="0.3">
      <c r="A19" s="367" t="str">
        <f>'11. Detail Managment Report'!C18</f>
        <v>1. Financial Debt to Tangible Net Worth (DTN)</v>
      </c>
      <c r="B19" s="441" t="s">
        <v>229</v>
      </c>
      <c r="C19" s="442">
        <v>7</v>
      </c>
      <c r="D19" s="369">
        <f>'9. Inputs-Analysis'!D4</f>
        <v>3.9252586061418495</v>
      </c>
      <c r="E19" s="370">
        <f>IF(D19&lt;0,0,IF(D19&lt;1,7,IF(D19&lt;2,6,IF(D19&lt;3,5,IF(D19&lt;4,4,IF(D19&lt;4.5,3,IF(D19&lt;5,2,0)))))))</f>
        <v>4</v>
      </c>
    </row>
    <row r="20" spans="1:5" x14ac:dyDescent="0.3">
      <c r="A20" s="371"/>
      <c r="B20" s="441" t="s">
        <v>476</v>
      </c>
      <c r="C20" s="442">
        <v>6</v>
      </c>
      <c r="D20" s="372"/>
      <c r="E20" s="373"/>
    </row>
    <row r="21" spans="1:5" x14ac:dyDescent="0.3">
      <c r="A21" s="371"/>
      <c r="B21" s="441" t="s">
        <v>477</v>
      </c>
      <c r="C21" s="442">
        <v>5</v>
      </c>
      <c r="D21" s="372"/>
      <c r="E21" s="373"/>
    </row>
    <row r="22" spans="1:5" x14ac:dyDescent="0.3">
      <c r="A22" s="371"/>
      <c r="B22" s="441" t="s">
        <v>478</v>
      </c>
      <c r="C22" s="442">
        <v>4</v>
      </c>
      <c r="D22" s="372"/>
      <c r="E22" s="373"/>
    </row>
    <row r="23" spans="1:5" x14ac:dyDescent="0.3">
      <c r="A23" s="371"/>
      <c r="B23" s="441" t="s">
        <v>479</v>
      </c>
      <c r="C23" s="442">
        <v>3</v>
      </c>
      <c r="D23" s="372"/>
      <c r="E23" s="373"/>
    </row>
    <row r="24" spans="1:5" x14ac:dyDescent="0.3">
      <c r="A24" s="371"/>
      <c r="B24" s="441" t="s">
        <v>480</v>
      </c>
      <c r="C24" s="442">
        <v>2</v>
      </c>
      <c r="D24" s="372"/>
      <c r="E24" s="373"/>
    </row>
    <row r="25" spans="1:5" x14ac:dyDescent="0.3">
      <c r="A25" s="371"/>
      <c r="B25" s="441" t="s">
        <v>481</v>
      </c>
      <c r="C25" s="442">
        <v>0</v>
      </c>
      <c r="D25" s="372"/>
      <c r="E25" s="373"/>
    </row>
    <row r="26" spans="1:5" x14ac:dyDescent="0.3">
      <c r="A26" s="371"/>
      <c r="B26" s="441"/>
      <c r="C26" s="442"/>
      <c r="D26" s="372"/>
      <c r="E26" s="373"/>
    </row>
    <row r="27" spans="1:5" x14ac:dyDescent="0.3">
      <c r="A27" s="371"/>
      <c r="B27" s="441"/>
      <c r="C27" s="442"/>
      <c r="D27" s="372"/>
      <c r="E27" s="373"/>
    </row>
    <row r="28" spans="1:5" x14ac:dyDescent="0.3">
      <c r="A28" s="371"/>
      <c r="B28" s="441"/>
      <c r="C28" s="442"/>
      <c r="D28" s="372"/>
      <c r="E28" s="373"/>
    </row>
    <row r="29" spans="1:5" x14ac:dyDescent="0.3">
      <c r="A29" s="367" t="str">
        <f>'11. Detail Managment Report'!C19</f>
        <v>2. Financial Debt to Total Assets (DTA)</v>
      </c>
      <c r="B29" s="441" t="s">
        <v>462</v>
      </c>
      <c r="C29" s="442">
        <v>3</v>
      </c>
      <c r="D29" s="369">
        <f>'9. Inputs-Analysis'!D7</f>
        <v>0.78528910732277912</v>
      </c>
      <c r="E29" s="374">
        <f>IF(D29&lt;0,0,IF(D29&lt;0.25,3,IF(D29&lt;0.75,2,IF(D29&lt;1,1,0))))</f>
        <v>1</v>
      </c>
    </row>
    <row r="30" spans="1:5" x14ac:dyDescent="0.3">
      <c r="A30" s="367"/>
      <c r="B30" s="441" t="s">
        <v>482</v>
      </c>
      <c r="C30" s="442">
        <v>2</v>
      </c>
      <c r="D30" s="372"/>
      <c r="E30" s="375"/>
    </row>
    <row r="31" spans="1:5" x14ac:dyDescent="0.3">
      <c r="A31" s="371"/>
      <c r="B31" s="441" t="s">
        <v>483</v>
      </c>
      <c r="C31" s="442">
        <v>1</v>
      </c>
      <c r="D31" s="372"/>
      <c r="E31" s="375"/>
    </row>
    <row r="32" spans="1:5" x14ac:dyDescent="0.3">
      <c r="A32" s="371"/>
      <c r="B32" s="441" t="s">
        <v>463</v>
      </c>
      <c r="C32" s="442">
        <v>0</v>
      </c>
      <c r="D32" s="372"/>
      <c r="E32" s="375"/>
    </row>
    <row r="33" spans="1:106" x14ac:dyDescent="0.3">
      <c r="A33" s="371"/>
      <c r="B33" s="368"/>
      <c r="C33" s="368"/>
      <c r="D33" s="372"/>
      <c r="E33" s="375"/>
    </row>
    <row r="34" spans="1:106" x14ac:dyDescent="0.3">
      <c r="A34" s="371"/>
      <c r="B34" s="368"/>
      <c r="C34" s="368"/>
      <c r="D34" s="372"/>
      <c r="E34" s="375"/>
    </row>
    <row r="35" spans="1:106" x14ac:dyDescent="0.3">
      <c r="A35" s="376"/>
      <c r="B35" s="368"/>
      <c r="C35" s="368"/>
      <c r="D35" s="372"/>
      <c r="E35" s="375"/>
    </row>
    <row r="36" spans="1:106" s="174" customFormat="1" x14ac:dyDescent="0.3">
      <c r="A36" s="364" t="s">
        <v>442</v>
      </c>
      <c r="B36" s="377"/>
      <c r="C36" s="398">
        <v>10</v>
      </c>
      <c r="D36" s="377"/>
      <c r="E36" s="378">
        <f>E37+E45</f>
        <v>6</v>
      </c>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row>
    <row r="37" spans="1:106" ht="25.5" customHeight="1" x14ac:dyDescent="0.3">
      <c r="A37" s="367" t="str">
        <f>'11. Detail Managment Report'!C21</f>
        <v>1. Current Ratio (CR)</v>
      </c>
      <c r="B37" s="441" t="s">
        <v>465</v>
      </c>
      <c r="C37" s="442">
        <v>7</v>
      </c>
      <c r="D37" s="369">
        <f>'9. Inputs-Analysis'!D11</f>
        <v>1.040552151554528</v>
      </c>
      <c r="E37" s="370">
        <f>IF(D37&gt;2,7,IF(D37&gt;=1.01,6,IF(D37&gt;=0.5,5,IF(D37&gt;=0.3,3,IF(D37&gt;=0.1,2,0)))))</f>
        <v>6</v>
      </c>
    </row>
    <row r="38" spans="1:106" x14ac:dyDescent="0.3">
      <c r="A38" s="367"/>
      <c r="B38" s="441" t="s">
        <v>853</v>
      </c>
      <c r="C38" s="442">
        <v>6</v>
      </c>
      <c r="D38" s="379"/>
      <c r="E38" s="373"/>
    </row>
    <row r="39" spans="1:106" x14ac:dyDescent="0.3">
      <c r="A39" s="376"/>
      <c r="B39" s="441" t="s">
        <v>854</v>
      </c>
      <c r="C39" s="442">
        <v>5</v>
      </c>
      <c r="D39" s="372"/>
      <c r="E39" s="373"/>
    </row>
    <row r="40" spans="1:106" x14ac:dyDescent="0.3">
      <c r="A40" s="376"/>
      <c r="B40" s="441" t="s">
        <v>855</v>
      </c>
      <c r="C40" s="442">
        <v>3</v>
      </c>
      <c r="D40" s="372"/>
      <c r="E40" s="373"/>
    </row>
    <row r="41" spans="1:106" x14ac:dyDescent="0.3">
      <c r="A41" s="376"/>
      <c r="B41" s="441" t="s">
        <v>856</v>
      </c>
      <c r="C41" s="442">
        <v>2</v>
      </c>
      <c r="D41" s="372"/>
      <c r="E41" s="373"/>
    </row>
    <row r="42" spans="1:106" x14ac:dyDescent="0.3">
      <c r="A42" s="376"/>
      <c r="B42" s="441" t="s">
        <v>857</v>
      </c>
      <c r="C42" s="442">
        <v>0</v>
      </c>
      <c r="D42" s="372"/>
      <c r="E42" s="373"/>
    </row>
    <row r="43" spans="1:106" x14ac:dyDescent="0.3">
      <c r="A43" s="376"/>
      <c r="B43" s="441"/>
      <c r="C43" s="442"/>
      <c r="D43" s="372"/>
      <c r="E43" s="373"/>
    </row>
    <row r="44" spans="1:106" x14ac:dyDescent="0.3">
      <c r="A44" s="376"/>
      <c r="D44" s="372"/>
      <c r="E44" s="373"/>
    </row>
    <row r="45" spans="1:106" x14ac:dyDescent="0.3">
      <c r="A45" s="367" t="str">
        <f>'11. Detail Managment Report'!C22</f>
        <v>2. Cash Ratio (Cash)</v>
      </c>
      <c r="B45" s="441" t="s">
        <v>487</v>
      </c>
      <c r="C45" s="442">
        <v>3</v>
      </c>
      <c r="D45" s="369">
        <f>'9. Inputs-Analysis'!D10</f>
        <v>6.1472340974284764E-3</v>
      </c>
      <c r="E45" s="374">
        <f>IF(D45&gt;=0.2,3,IF(D45&gt;=0.1,2,IF(D45&gt;=0.02,1,0)))</f>
        <v>0</v>
      </c>
    </row>
    <row r="46" spans="1:106" x14ac:dyDescent="0.3">
      <c r="A46" s="367"/>
      <c r="B46" s="441" t="s">
        <v>234</v>
      </c>
      <c r="C46" s="442">
        <v>2</v>
      </c>
      <c r="D46" s="372"/>
      <c r="E46" s="375"/>
    </row>
    <row r="47" spans="1:106" x14ac:dyDescent="0.3">
      <c r="A47" s="367"/>
      <c r="B47" s="441" t="s">
        <v>235</v>
      </c>
      <c r="C47" s="442">
        <v>1</v>
      </c>
      <c r="D47" s="372"/>
      <c r="E47" s="375"/>
    </row>
    <row r="48" spans="1:106" x14ac:dyDescent="0.3">
      <c r="A48" s="367"/>
      <c r="B48" s="441" t="s">
        <v>488</v>
      </c>
      <c r="C48" s="442">
        <v>0</v>
      </c>
      <c r="D48" s="372"/>
      <c r="E48" s="375"/>
    </row>
    <row r="49" spans="1:106" x14ac:dyDescent="0.3">
      <c r="A49" s="367"/>
      <c r="B49" s="441"/>
      <c r="C49" s="442"/>
      <c r="D49" s="372"/>
      <c r="E49" s="375"/>
    </row>
    <row r="50" spans="1:106" x14ac:dyDescent="0.3">
      <c r="A50" s="367"/>
      <c r="B50" s="441"/>
      <c r="C50" s="442"/>
      <c r="D50" s="372"/>
      <c r="E50" s="375"/>
    </row>
    <row r="51" spans="1:106" x14ac:dyDescent="0.3">
      <c r="A51" s="367"/>
      <c r="B51" s="449"/>
      <c r="C51" s="442"/>
      <c r="D51" s="372"/>
      <c r="E51" s="375"/>
    </row>
    <row r="52" spans="1:106" s="174" customFormat="1" ht="15" customHeight="1" x14ac:dyDescent="0.3">
      <c r="A52" s="381" t="s">
        <v>443</v>
      </c>
      <c r="B52" s="450"/>
      <c r="C52" s="451">
        <v>10</v>
      </c>
      <c r="D52" s="382"/>
      <c r="E52" s="383">
        <f>E53+E62+E69</f>
        <v>2</v>
      </c>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row>
    <row r="53" spans="1:106" x14ac:dyDescent="0.3">
      <c r="A53" s="367" t="str">
        <f>'11. Detail Managment Report'!C24</f>
        <v>1. Net Profit Margin (NPM)</v>
      </c>
      <c r="B53" s="441" t="s">
        <v>685</v>
      </c>
      <c r="C53" s="442">
        <v>5</v>
      </c>
      <c r="D53" s="384">
        <f>'9. Inputs-Analysis'!D15</f>
        <v>5.4896988386267581E-2</v>
      </c>
      <c r="E53" s="385">
        <f>IF(D53&gt;10%,5,IF(D53&gt;8%,4,IF(D53&gt;6%,3,IF(D53&gt;4%,2,IF(D53&gt;1%,1,0)))))</f>
        <v>2</v>
      </c>
    </row>
    <row r="54" spans="1:106" x14ac:dyDescent="0.3">
      <c r="A54" s="386"/>
      <c r="B54" s="441" t="s">
        <v>686</v>
      </c>
      <c r="C54" s="442">
        <v>4</v>
      </c>
      <c r="D54" s="387"/>
      <c r="E54" s="388"/>
    </row>
    <row r="55" spans="1:106" x14ac:dyDescent="0.3">
      <c r="A55" s="386"/>
      <c r="B55" s="441" t="s">
        <v>490</v>
      </c>
      <c r="C55" s="442">
        <v>3</v>
      </c>
      <c r="D55" s="372"/>
      <c r="E55" s="388"/>
    </row>
    <row r="56" spans="1:106" x14ac:dyDescent="0.3">
      <c r="A56" s="386"/>
      <c r="B56" s="441" t="s">
        <v>491</v>
      </c>
      <c r="C56" s="442">
        <v>2</v>
      </c>
      <c r="D56" s="372"/>
      <c r="E56" s="388"/>
    </row>
    <row r="57" spans="1:106" x14ac:dyDescent="0.3">
      <c r="A57" s="376"/>
      <c r="B57" s="441" t="s">
        <v>492</v>
      </c>
      <c r="C57" s="442">
        <v>1</v>
      </c>
      <c r="D57" s="372"/>
      <c r="E57" s="388"/>
    </row>
    <row r="58" spans="1:106" x14ac:dyDescent="0.3">
      <c r="A58" s="376"/>
      <c r="B58" s="441" t="s">
        <v>493</v>
      </c>
      <c r="C58" s="442">
        <v>0</v>
      </c>
      <c r="D58" s="372"/>
      <c r="E58" s="388"/>
    </row>
    <row r="59" spans="1:106" x14ac:dyDescent="0.3">
      <c r="A59" s="376"/>
      <c r="B59" s="441"/>
      <c r="C59" s="442"/>
      <c r="D59" s="372"/>
      <c r="E59" s="388"/>
    </row>
    <row r="60" spans="1:106" x14ac:dyDescent="0.3">
      <c r="A60" s="376"/>
      <c r="B60" s="441"/>
      <c r="C60" s="442"/>
      <c r="D60" s="372"/>
      <c r="E60" s="388"/>
    </row>
    <row r="61" spans="1:106" x14ac:dyDescent="0.3">
      <c r="A61" s="386"/>
      <c r="B61" s="441"/>
      <c r="C61" s="442"/>
      <c r="D61" s="372"/>
      <c r="E61" s="388"/>
    </row>
    <row r="62" spans="1:106" x14ac:dyDescent="0.3">
      <c r="A62" s="367" t="str">
        <f>'11. Detail Managment Report'!C25</f>
        <v>2. Return on Assets (ROA)</v>
      </c>
      <c r="B62" s="441" t="s">
        <v>467</v>
      </c>
      <c r="C62" s="442">
        <v>3</v>
      </c>
      <c r="D62" s="384">
        <f>'9. Inputs-Analysis'!D18</f>
        <v>1.9426111026367571E-2</v>
      </c>
      <c r="E62" s="212">
        <f>IF(D62&gt;=4.5%,3,IF(D62&gt;=3%,2,IF(D62&gt;=2%,1,0)))</f>
        <v>0</v>
      </c>
    </row>
    <row r="63" spans="1:106" x14ac:dyDescent="0.3">
      <c r="A63" s="386"/>
      <c r="B63" s="441" t="s">
        <v>468</v>
      </c>
      <c r="C63" s="442">
        <v>2</v>
      </c>
      <c r="D63" s="389"/>
      <c r="E63" s="390"/>
    </row>
    <row r="64" spans="1:106" x14ac:dyDescent="0.3">
      <c r="A64" s="386"/>
      <c r="B64" s="441" t="s">
        <v>494</v>
      </c>
      <c r="C64" s="442">
        <v>1</v>
      </c>
      <c r="D64" s="389"/>
      <c r="E64" s="390"/>
    </row>
    <row r="65" spans="1:106" x14ac:dyDescent="0.3">
      <c r="A65" s="386"/>
      <c r="B65" s="441" t="s">
        <v>495</v>
      </c>
      <c r="C65" s="442">
        <v>0</v>
      </c>
      <c r="D65" s="372"/>
      <c r="E65" s="390"/>
    </row>
    <row r="66" spans="1:106" x14ac:dyDescent="0.3">
      <c r="A66" s="386"/>
      <c r="B66" s="441"/>
      <c r="C66" s="442"/>
      <c r="D66" s="372"/>
      <c r="E66" s="390"/>
    </row>
    <row r="67" spans="1:106" x14ac:dyDescent="0.3">
      <c r="A67" s="386"/>
      <c r="B67" s="441"/>
      <c r="C67" s="442"/>
      <c r="D67" s="372"/>
      <c r="E67" s="390"/>
    </row>
    <row r="68" spans="1:106" x14ac:dyDescent="0.3">
      <c r="A68" s="386"/>
      <c r="B68" s="441"/>
      <c r="C68" s="442"/>
      <c r="D68" s="372"/>
      <c r="E68" s="390"/>
    </row>
    <row r="69" spans="1:106" ht="28" x14ac:dyDescent="0.3">
      <c r="A69" s="391" t="str">
        <f>'11. Detail Managment Report'!C26</f>
        <v>3. Operating Profit to Operating Assets (OPOA)</v>
      </c>
      <c r="B69" s="441" t="s">
        <v>722</v>
      </c>
      <c r="C69" s="442">
        <v>2</v>
      </c>
      <c r="D69" s="392">
        <f>'9. Inputs-Analysis'!D21</f>
        <v>4.652054000911502E-2</v>
      </c>
      <c r="E69" s="212">
        <f>IF(D69&gt;=8%,2,IF(D69&gt;=5%,1,0))</f>
        <v>0</v>
      </c>
    </row>
    <row r="70" spans="1:106" x14ac:dyDescent="0.3">
      <c r="A70" s="391"/>
      <c r="B70" s="441" t="s">
        <v>723</v>
      </c>
      <c r="C70" s="442">
        <v>1</v>
      </c>
      <c r="D70" s="372"/>
      <c r="E70" s="390"/>
    </row>
    <row r="71" spans="1:106" x14ac:dyDescent="0.3">
      <c r="A71" s="376"/>
      <c r="B71" s="441" t="s">
        <v>724</v>
      </c>
      <c r="C71" s="442">
        <v>0</v>
      </c>
      <c r="D71" s="372"/>
      <c r="E71" s="390"/>
    </row>
    <row r="72" spans="1:106" x14ac:dyDescent="0.3">
      <c r="A72" s="376"/>
      <c r="B72" s="441"/>
      <c r="C72" s="442"/>
      <c r="D72" s="372"/>
      <c r="E72" s="390"/>
    </row>
    <row r="73" spans="1:106" x14ac:dyDescent="0.3">
      <c r="A73" s="376"/>
      <c r="B73" s="441"/>
      <c r="C73" s="442"/>
      <c r="D73" s="372"/>
      <c r="E73" s="390"/>
    </row>
    <row r="74" spans="1:106" x14ac:dyDescent="0.3">
      <c r="A74" s="376"/>
      <c r="B74" s="441"/>
      <c r="C74" s="442"/>
      <c r="D74" s="372"/>
      <c r="E74" s="390"/>
    </row>
    <row r="75" spans="1:106" s="174" customFormat="1" x14ac:dyDescent="0.3">
      <c r="A75" s="364" t="s">
        <v>444</v>
      </c>
      <c r="B75" s="450"/>
      <c r="C75" s="451">
        <v>15</v>
      </c>
      <c r="D75" s="365"/>
      <c r="E75" s="366">
        <f>E76+E83+E93+E100</f>
        <v>6</v>
      </c>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row>
    <row r="76" spans="1:106" x14ac:dyDescent="0.3">
      <c r="A76" s="367" t="str">
        <f>'11. Detail Managment Report'!C28</f>
        <v>1. Interest Coverage (IC)</v>
      </c>
      <c r="B76" s="441" t="s">
        <v>425</v>
      </c>
      <c r="C76" s="442">
        <v>3</v>
      </c>
      <c r="D76" s="369">
        <f>'9. Inputs-Analysis'!D24</f>
        <v>2.1640484041893577</v>
      </c>
      <c r="E76" s="370">
        <f>IF(D76&gt;=4,3,IF(D76&gt;=3,2,IF(D76&gt;=1,1,0)))</f>
        <v>1</v>
      </c>
    </row>
    <row r="77" spans="1:106" x14ac:dyDescent="0.3">
      <c r="A77" s="376"/>
      <c r="B77" s="441" t="s">
        <v>725</v>
      </c>
      <c r="C77" s="442">
        <v>2</v>
      </c>
      <c r="D77" s="218"/>
      <c r="E77" s="373"/>
    </row>
    <row r="78" spans="1:106" x14ac:dyDescent="0.3">
      <c r="A78" s="376"/>
      <c r="B78" s="441" t="s">
        <v>653</v>
      </c>
      <c r="C78" s="442">
        <v>1</v>
      </c>
      <c r="D78" s="372"/>
      <c r="E78" s="373"/>
    </row>
    <row r="79" spans="1:106" x14ac:dyDescent="0.3">
      <c r="A79" s="376"/>
      <c r="B79" s="441" t="s">
        <v>629</v>
      </c>
      <c r="C79" s="442">
        <v>0</v>
      </c>
      <c r="D79" s="372"/>
      <c r="E79" s="373"/>
    </row>
    <row r="80" spans="1:106" x14ac:dyDescent="0.3">
      <c r="A80" s="376"/>
      <c r="B80" s="441"/>
      <c r="C80" s="442"/>
      <c r="D80" s="372"/>
      <c r="E80" s="373"/>
    </row>
    <row r="81" spans="1:5" x14ac:dyDescent="0.3">
      <c r="A81" s="376"/>
      <c r="B81" s="441"/>
      <c r="C81" s="442"/>
      <c r="D81" s="372"/>
      <c r="E81" s="373"/>
    </row>
    <row r="82" spans="1:5" x14ac:dyDescent="0.3">
      <c r="A82" s="376"/>
      <c r="B82" s="441"/>
      <c r="C82" s="442"/>
      <c r="D82" s="372"/>
      <c r="E82" s="373"/>
    </row>
    <row r="83" spans="1:5" x14ac:dyDescent="0.3">
      <c r="A83" s="367" t="str">
        <f>'11. Detail Managment Report'!C29</f>
        <v>2. Debt Service Coverage Ratio (DSCR)</v>
      </c>
      <c r="B83" s="441"/>
      <c r="C83" s="442"/>
      <c r="D83" s="369">
        <f>'9. Inputs-Analysis'!D27</f>
        <v>1.4160266339747576</v>
      </c>
      <c r="E83" s="374">
        <f>IF(D83&gt;3,5,IF(D83&gt;=2.01,4,IF(D83&gt;=1.5,3,IF(D83&gt;=1,2,IF(D83&gt;=0.5,1,0)))))</f>
        <v>2</v>
      </c>
    </row>
    <row r="84" spans="1:5" x14ac:dyDescent="0.3">
      <c r="A84" s="367"/>
      <c r="B84" s="441" t="s">
        <v>858</v>
      </c>
      <c r="C84" s="442">
        <v>5</v>
      </c>
      <c r="D84" s="372"/>
      <c r="E84" s="375"/>
    </row>
    <row r="85" spans="1:5" x14ac:dyDescent="0.3">
      <c r="A85" s="367"/>
      <c r="B85" s="441" t="s">
        <v>859</v>
      </c>
      <c r="C85" s="442">
        <v>4</v>
      </c>
      <c r="D85" s="372"/>
      <c r="E85" s="375"/>
    </row>
    <row r="86" spans="1:5" x14ac:dyDescent="0.3">
      <c r="A86" s="367"/>
      <c r="B86" s="441" t="s">
        <v>860</v>
      </c>
      <c r="C86" s="442">
        <v>3</v>
      </c>
      <c r="D86" s="372"/>
      <c r="E86" s="375"/>
    </row>
    <row r="87" spans="1:5" x14ac:dyDescent="0.3">
      <c r="A87" s="367"/>
      <c r="B87" s="441" t="s">
        <v>861</v>
      </c>
      <c r="C87" s="442">
        <v>2</v>
      </c>
      <c r="D87" s="372"/>
      <c r="E87" s="375"/>
    </row>
    <row r="88" spans="1:5" x14ac:dyDescent="0.3">
      <c r="A88" s="367"/>
      <c r="B88" s="441" t="s">
        <v>862</v>
      </c>
      <c r="C88" s="442">
        <v>1</v>
      </c>
      <c r="D88" s="372"/>
      <c r="E88" s="375"/>
    </row>
    <row r="89" spans="1:5" x14ac:dyDescent="0.3">
      <c r="A89" s="376"/>
      <c r="B89" s="441" t="s">
        <v>629</v>
      </c>
      <c r="C89" s="442">
        <v>0</v>
      </c>
      <c r="D89" s="372"/>
      <c r="E89" s="375"/>
    </row>
    <row r="90" spans="1:5" x14ac:dyDescent="0.3">
      <c r="A90" s="376"/>
      <c r="B90" s="441"/>
      <c r="C90" s="442"/>
      <c r="D90" s="372"/>
      <c r="E90" s="375"/>
    </row>
    <row r="91" spans="1:5" x14ac:dyDescent="0.3">
      <c r="A91" s="376"/>
      <c r="B91" s="441"/>
      <c r="C91" s="442"/>
      <c r="D91" s="372"/>
      <c r="E91" s="375"/>
    </row>
    <row r="92" spans="1:5" x14ac:dyDescent="0.3">
      <c r="A92" s="376"/>
      <c r="B92" s="441"/>
      <c r="C92" s="442"/>
      <c r="D92" s="372"/>
      <c r="E92" s="375"/>
    </row>
    <row r="93" spans="1:5" ht="28" x14ac:dyDescent="0.3">
      <c r="A93" s="367" t="str">
        <f>'11. Detail Managment Report'!C30</f>
        <v>3. Operating Cashflow to Debt Ratio (CDR)</v>
      </c>
      <c r="B93" s="441" t="s">
        <v>729</v>
      </c>
      <c r="C93" s="442">
        <v>4</v>
      </c>
      <c r="D93" s="393">
        <f>'9. Inputs-Analysis'!D30</f>
        <v>3.3545581292940753E-2</v>
      </c>
      <c r="E93" s="374">
        <f>IF(D93&gt;0.5,4,IF(D93&gt;=0.35,3,IF(D93&gt;=0.25,2, IF(D93&gt;=-0.1,1,0))))</f>
        <v>1</v>
      </c>
    </row>
    <row r="94" spans="1:5" x14ac:dyDescent="0.3">
      <c r="A94" s="376"/>
      <c r="B94" s="441" t="s">
        <v>730</v>
      </c>
      <c r="C94" s="442">
        <v>3</v>
      </c>
      <c r="D94" s="372"/>
      <c r="E94" s="375"/>
    </row>
    <row r="95" spans="1:5" x14ac:dyDescent="0.3">
      <c r="A95" s="376"/>
      <c r="B95" s="441" t="s">
        <v>731</v>
      </c>
      <c r="C95" s="442">
        <v>2</v>
      </c>
      <c r="D95" s="372"/>
      <c r="E95" s="375"/>
    </row>
    <row r="96" spans="1:5" x14ac:dyDescent="0.3">
      <c r="A96" s="376"/>
      <c r="B96" s="441" t="s">
        <v>732</v>
      </c>
      <c r="C96" s="442">
        <v>1</v>
      </c>
      <c r="D96" s="372"/>
      <c r="E96" s="375"/>
    </row>
    <row r="97" spans="1:106" x14ac:dyDescent="0.3">
      <c r="A97" s="376"/>
      <c r="B97" s="441" t="s">
        <v>733</v>
      </c>
      <c r="C97" s="442">
        <v>0</v>
      </c>
      <c r="D97" s="372"/>
      <c r="E97" s="375"/>
    </row>
    <row r="98" spans="1:106" x14ac:dyDescent="0.3">
      <c r="A98" s="376"/>
      <c r="B98" s="441"/>
      <c r="C98" s="442"/>
      <c r="D98" s="372"/>
      <c r="E98" s="375"/>
    </row>
    <row r="99" spans="1:106" x14ac:dyDescent="0.3">
      <c r="A99" s="376"/>
      <c r="B99" s="441"/>
      <c r="C99" s="442"/>
      <c r="D99" s="372"/>
      <c r="E99" s="375"/>
    </row>
    <row r="100" spans="1:106" ht="19.5" customHeight="1" x14ac:dyDescent="0.3">
      <c r="A100" s="367" t="str">
        <f>'11. Detail Managment Report'!C31</f>
        <v>4. Cashflow Coverage Ratio (CCR)</v>
      </c>
      <c r="B100" s="441" t="s">
        <v>734</v>
      </c>
      <c r="C100" s="442">
        <v>3</v>
      </c>
      <c r="D100" s="394">
        <f>'9. Inputs-Analysis'!D33</f>
        <v>0.76522361031669384</v>
      </c>
      <c r="E100" s="374">
        <f>IF(D100&gt;1.5,3,IF(D100&gt;0.5,2,IF(D100&gt;-0.1,1,0)))</f>
        <v>2</v>
      </c>
    </row>
    <row r="101" spans="1:106" x14ac:dyDescent="0.3">
      <c r="A101" s="367"/>
      <c r="B101" s="441" t="s">
        <v>735</v>
      </c>
      <c r="C101" s="442">
        <v>2</v>
      </c>
      <c r="D101" s="372"/>
      <c r="E101" s="375"/>
    </row>
    <row r="102" spans="1:106" x14ac:dyDescent="0.3">
      <c r="A102" s="367"/>
      <c r="B102" s="441" t="s">
        <v>736</v>
      </c>
      <c r="C102" s="442">
        <v>0</v>
      </c>
      <c r="D102" s="372"/>
      <c r="E102" s="375"/>
    </row>
    <row r="103" spans="1:106" x14ac:dyDescent="0.3">
      <c r="A103" s="367"/>
      <c r="B103" s="441"/>
      <c r="C103" s="442"/>
      <c r="D103" s="372"/>
      <c r="E103" s="375"/>
    </row>
    <row r="104" spans="1:106" x14ac:dyDescent="0.3">
      <c r="A104" s="367"/>
      <c r="B104" s="441"/>
      <c r="C104" s="442"/>
      <c r="D104" s="372"/>
      <c r="E104" s="375"/>
    </row>
    <row r="105" spans="1:106" x14ac:dyDescent="0.3">
      <c r="A105" s="367"/>
      <c r="B105" s="441"/>
      <c r="C105" s="442"/>
      <c r="D105" s="372"/>
      <c r="E105" s="375"/>
    </row>
    <row r="106" spans="1:106" s="174" customFormat="1" x14ac:dyDescent="0.3">
      <c r="A106" s="364" t="s">
        <v>445</v>
      </c>
      <c r="B106" s="450"/>
      <c r="C106" s="451">
        <v>10</v>
      </c>
      <c r="D106" s="365"/>
      <c r="E106" s="366">
        <f>E107+E115+E122</f>
        <v>7</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row>
    <row r="107" spans="1:106" x14ac:dyDescent="0.3">
      <c r="A107" s="367" t="str">
        <f>'11. Detail Managment Report'!C33</f>
        <v>1. Stock Turnover Days (STD)</v>
      </c>
      <c r="B107" s="441" t="s">
        <v>863</v>
      </c>
      <c r="C107" s="442">
        <v>4</v>
      </c>
      <c r="D107" s="395">
        <f>'9. Inputs-Analysis'!D36</f>
        <v>823.72780049574567</v>
      </c>
      <c r="E107" s="385">
        <v>0</v>
      </c>
    </row>
    <row r="108" spans="1:106" x14ac:dyDescent="0.3">
      <c r="A108" s="376"/>
      <c r="B108" s="441" t="s">
        <v>864</v>
      </c>
      <c r="C108" s="442">
        <v>3</v>
      </c>
      <c r="D108" s="372"/>
      <c r="E108" s="388"/>
    </row>
    <row r="109" spans="1:106" x14ac:dyDescent="0.3">
      <c r="A109" s="376"/>
      <c r="B109" s="441" t="s">
        <v>865</v>
      </c>
      <c r="C109" s="442">
        <v>2</v>
      </c>
      <c r="D109" s="372"/>
      <c r="E109" s="388"/>
    </row>
    <row r="110" spans="1:106" x14ac:dyDescent="0.3">
      <c r="A110" s="376"/>
      <c r="B110" s="441" t="s">
        <v>249</v>
      </c>
      <c r="C110" s="442">
        <v>1</v>
      </c>
      <c r="D110" s="372"/>
      <c r="E110" s="388"/>
    </row>
    <row r="111" spans="1:106" x14ac:dyDescent="0.3">
      <c r="A111" s="376"/>
      <c r="B111" s="441" t="s">
        <v>505</v>
      </c>
      <c r="C111" s="442">
        <v>0</v>
      </c>
      <c r="D111" s="372"/>
      <c r="E111" s="388"/>
    </row>
    <row r="112" spans="1:106" x14ac:dyDescent="0.3">
      <c r="A112" s="376"/>
      <c r="B112" s="441"/>
      <c r="C112" s="442"/>
      <c r="D112" s="372"/>
      <c r="E112" s="388"/>
    </row>
    <row r="113" spans="1:5" x14ac:dyDescent="0.3">
      <c r="A113" s="376"/>
      <c r="B113" s="441"/>
      <c r="C113" s="442"/>
      <c r="D113" s="372"/>
      <c r="E113" s="388"/>
    </row>
    <row r="114" spans="1:5" x14ac:dyDescent="0.3">
      <c r="A114" s="376"/>
      <c r="B114" s="441"/>
      <c r="C114" s="442"/>
      <c r="D114" s="372"/>
      <c r="E114" s="388"/>
    </row>
    <row r="115" spans="1:5" ht="28" x14ac:dyDescent="0.3">
      <c r="A115" s="367" t="str">
        <f>'11. Detail Managment Report'!C34</f>
        <v>2. Trade Debtor Collection Days (TDCD)</v>
      </c>
      <c r="B115" s="441" t="s">
        <v>498</v>
      </c>
      <c r="C115" s="442">
        <v>5</v>
      </c>
      <c r="D115" s="395">
        <f>'9. Inputs-Analysis'!D39</f>
        <v>89.219451744334833</v>
      </c>
      <c r="E115" s="212">
        <f>IF(D115&lt;90,5,IF(D115&lt;120,4,IF(D115&lt;180,2,0)))</f>
        <v>5</v>
      </c>
    </row>
    <row r="116" spans="1:5" x14ac:dyDescent="0.3">
      <c r="A116" s="376"/>
      <c r="B116" s="441" t="s">
        <v>503</v>
      </c>
      <c r="C116" s="442">
        <v>4</v>
      </c>
      <c r="D116" s="372"/>
      <c r="E116" s="390"/>
    </row>
    <row r="117" spans="1:5" x14ac:dyDescent="0.3">
      <c r="A117" s="376"/>
      <c r="B117" s="441" t="s">
        <v>504</v>
      </c>
      <c r="C117" s="442">
        <v>2</v>
      </c>
      <c r="D117" s="372"/>
      <c r="E117" s="390"/>
    </row>
    <row r="118" spans="1:5" x14ac:dyDescent="0.3">
      <c r="A118" s="376"/>
      <c r="B118" s="441" t="s">
        <v>505</v>
      </c>
      <c r="C118" s="442">
        <v>0</v>
      </c>
      <c r="D118" s="372"/>
      <c r="E118" s="390"/>
    </row>
    <row r="119" spans="1:5" x14ac:dyDescent="0.3">
      <c r="A119" s="376"/>
      <c r="B119" s="441"/>
      <c r="C119" s="442"/>
      <c r="D119" s="372"/>
      <c r="E119" s="390"/>
    </row>
    <row r="120" spans="1:5" x14ac:dyDescent="0.3">
      <c r="A120" s="376"/>
      <c r="B120" s="441"/>
      <c r="C120" s="442"/>
      <c r="D120" s="372"/>
      <c r="E120" s="390"/>
    </row>
    <row r="121" spans="1:5" x14ac:dyDescent="0.3">
      <c r="A121" s="376"/>
      <c r="B121" s="441"/>
      <c r="C121" s="442"/>
      <c r="D121" s="372"/>
      <c r="E121" s="390"/>
    </row>
    <row r="122" spans="1:5" x14ac:dyDescent="0.3">
      <c r="A122" s="367" t="str">
        <f>'11. Detail Managment Report'!C35</f>
        <v>3. Asset Turnover (AT)</v>
      </c>
      <c r="B122" s="441" t="s">
        <v>506</v>
      </c>
      <c r="C122" s="442">
        <v>5</v>
      </c>
      <c r="D122" s="384">
        <f>'9. Inputs-Analysis'!D42</f>
        <v>0.35386478561776608</v>
      </c>
      <c r="E122" s="212">
        <f>IF(D122&gt;=100%,5,IF(D122&gt;=50%,4,IF(D122&gt;=30%,2,0)))</f>
        <v>2</v>
      </c>
    </row>
    <row r="123" spans="1:5" x14ac:dyDescent="0.3">
      <c r="A123" s="376"/>
      <c r="B123" s="441" t="s">
        <v>507</v>
      </c>
      <c r="C123" s="442">
        <v>4</v>
      </c>
      <c r="D123" s="372"/>
      <c r="E123" s="390"/>
    </row>
    <row r="124" spans="1:5" x14ac:dyDescent="0.3">
      <c r="A124" s="376"/>
      <c r="B124" s="441" t="s">
        <v>508</v>
      </c>
      <c r="C124" s="442">
        <v>2</v>
      </c>
      <c r="D124" s="372"/>
      <c r="E124" s="390"/>
    </row>
    <row r="125" spans="1:5" x14ac:dyDescent="0.3">
      <c r="A125" s="376"/>
      <c r="B125" s="441" t="s">
        <v>509</v>
      </c>
      <c r="C125" s="442">
        <v>0</v>
      </c>
      <c r="D125" s="372"/>
      <c r="E125" s="390"/>
    </row>
    <row r="126" spans="1:5" x14ac:dyDescent="0.3">
      <c r="A126" s="376"/>
      <c r="B126" s="441"/>
      <c r="C126" s="442"/>
      <c r="D126" s="372"/>
      <c r="E126" s="390"/>
    </row>
    <row r="127" spans="1:5" x14ac:dyDescent="0.3">
      <c r="A127" s="376"/>
      <c r="B127" s="441"/>
      <c r="C127" s="442"/>
      <c r="D127" s="372"/>
      <c r="E127" s="390"/>
    </row>
    <row r="128" spans="1:5" x14ac:dyDescent="0.3">
      <c r="A128" s="376"/>
      <c r="B128" s="441"/>
      <c r="C128" s="442"/>
      <c r="D128" s="372"/>
      <c r="E128" s="390"/>
    </row>
    <row r="129" spans="1:106" s="174" customFormat="1" x14ac:dyDescent="0.3">
      <c r="A129" s="364" t="s">
        <v>446</v>
      </c>
      <c r="B129" s="450"/>
      <c r="C129" s="451">
        <v>5</v>
      </c>
      <c r="D129" s="365"/>
      <c r="E129" s="366">
        <f>E130+E137</f>
        <v>2</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row>
    <row r="130" spans="1:106" x14ac:dyDescent="0.3">
      <c r="A130" s="367" t="str">
        <f>'11. Detail Managment Report'!C37</f>
        <v>1. Operating Cash Flow to Sales (CFS)</v>
      </c>
      <c r="B130" s="441" t="s">
        <v>474</v>
      </c>
      <c r="C130" s="442">
        <v>3</v>
      </c>
      <c r="D130" s="384">
        <f>'9. Inputs-Analysis'!D45</f>
        <v>7.4443631180108563E-2</v>
      </c>
      <c r="E130" s="385">
        <f>IF(D130&gt;=10%,3,IF(D130&gt;=5%,2,IF(D130&gt;=2%,1,0)))</f>
        <v>2</v>
      </c>
    </row>
    <row r="131" spans="1:106" x14ac:dyDescent="0.3">
      <c r="A131" s="376"/>
      <c r="B131" s="441" t="s">
        <v>866</v>
      </c>
      <c r="C131" s="442">
        <v>2</v>
      </c>
      <c r="D131" s="372"/>
      <c r="E131" s="388"/>
    </row>
    <row r="132" spans="1:106" x14ac:dyDescent="0.3">
      <c r="A132" s="376"/>
      <c r="B132" s="441" t="s">
        <v>867</v>
      </c>
      <c r="C132" s="442">
        <v>1</v>
      </c>
      <c r="D132" s="372"/>
      <c r="E132" s="388"/>
    </row>
    <row r="133" spans="1:106" x14ac:dyDescent="0.3">
      <c r="A133" s="376"/>
      <c r="B133" s="441" t="s">
        <v>678</v>
      </c>
      <c r="C133" s="442">
        <v>0</v>
      </c>
      <c r="D133" s="372"/>
      <c r="E133" s="388"/>
    </row>
    <row r="134" spans="1:106" x14ac:dyDescent="0.3">
      <c r="A134" s="376"/>
      <c r="B134" s="441"/>
      <c r="C134" s="442"/>
      <c r="D134" s="372"/>
      <c r="E134" s="388"/>
    </row>
    <row r="135" spans="1:106" x14ac:dyDescent="0.3">
      <c r="A135" s="376"/>
      <c r="B135" s="441"/>
      <c r="C135" s="442"/>
      <c r="D135" s="372"/>
      <c r="E135" s="388"/>
    </row>
    <row r="136" spans="1:106" x14ac:dyDescent="0.3">
      <c r="A136" s="376"/>
      <c r="B136" s="441"/>
      <c r="C136" s="442"/>
      <c r="D136" s="372"/>
      <c r="E136" s="388"/>
    </row>
    <row r="137" spans="1:106" x14ac:dyDescent="0.3">
      <c r="A137" s="367" t="str">
        <f>'11. Detail Managment Report'!C38</f>
        <v>2. Cashflow based accrual ratio (CAR)</v>
      </c>
      <c r="B137" s="441" t="s">
        <v>402</v>
      </c>
      <c r="C137" s="442">
        <v>2</v>
      </c>
      <c r="D137" s="369">
        <f>'9. Inputs-Analysis'!D48</f>
        <v>7.7292884750961464E-3</v>
      </c>
      <c r="E137" s="212">
        <f>IF(D137&lt;0,2,IF(D137&gt;0,0,IF(D137=0,1,0)))</f>
        <v>0</v>
      </c>
    </row>
    <row r="138" spans="1:106" x14ac:dyDescent="0.3">
      <c r="A138" s="376"/>
      <c r="B138" s="441" t="s">
        <v>978</v>
      </c>
      <c r="C138" s="442">
        <v>0</v>
      </c>
      <c r="D138" s="372"/>
      <c r="E138" s="390"/>
    </row>
    <row r="139" spans="1:106" x14ac:dyDescent="0.3">
      <c r="A139" s="376"/>
      <c r="B139" s="368"/>
      <c r="C139" s="368"/>
      <c r="D139" s="372"/>
      <c r="E139" s="390"/>
    </row>
    <row r="140" spans="1:106" x14ac:dyDescent="0.3">
      <c r="A140" s="376"/>
      <c r="B140" s="368"/>
      <c r="C140" s="368"/>
      <c r="D140" s="372"/>
      <c r="E140" s="390"/>
    </row>
    <row r="141" spans="1:106" x14ac:dyDescent="0.3">
      <c r="A141" s="399" t="s">
        <v>281</v>
      </c>
      <c r="B141" s="400"/>
      <c r="C141" s="400">
        <f>C129+C106+C75+C52+C36+C18</f>
        <v>60</v>
      </c>
      <c r="D141" s="400"/>
      <c r="E141" s="401">
        <f>E129+E106+E75+E52+E36+E18</f>
        <v>28</v>
      </c>
    </row>
    <row r="142" spans="1:106" s="37" customFormat="1" ht="15.75" customHeight="1" thickBot="1" x14ac:dyDescent="0.35">
      <c r="A142" s="396" t="s">
        <v>409</v>
      </c>
      <c r="B142" s="397"/>
      <c r="C142" s="1013">
        <f>E141/C141</f>
        <v>0.46666666666666667</v>
      </c>
      <c r="D142" s="1013"/>
      <c r="E142" s="101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row>
  </sheetData>
  <sheetProtection selectLockedCells="1" selectUnlockedCells="1"/>
  <mergeCells count="6">
    <mergeCell ref="C142:E142"/>
    <mergeCell ref="A1:E1"/>
    <mergeCell ref="A2:E2"/>
    <mergeCell ref="D5:D6"/>
    <mergeCell ref="D7:D8"/>
    <mergeCell ref="A16:E16"/>
  </mergeCells>
  <conditionalFormatting sqref="D7:E7">
    <cfRule type="cellIs" dxfId="5"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933FF"/>
  </sheetPr>
  <dimension ref="A1:DB142"/>
  <sheetViews>
    <sheetView view="pageBreakPreview" topLeftCell="A95" zoomScaleNormal="90" zoomScaleSheetLayoutView="100" zoomScalePageLayoutView="90" workbookViewId="0">
      <selection activeCell="E94" sqref="E94"/>
    </sheetView>
  </sheetViews>
  <sheetFormatPr defaultColWidth="9.1796875" defaultRowHeight="14" x14ac:dyDescent="0.3"/>
  <cols>
    <col min="1" max="1" width="37.54296875" style="764" customWidth="1"/>
    <col min="2" max="2" width="30.54296875" style="652" customWidth="1"/>
    <col min="3" max="3" width="14.81640625" style="652" customWidth="1"/>
    <col min="4" max="4" width="15.453125" style="765" customWidth="1"/>
    <col min="5" max="5" width="15.26953125" style="765" customWidth="1"/>
    <col min="6" max="16384" width="9.1796875" style="555"/>
  </cols>
  <sheetData>
    <row r="1" spans="1:106" ht="35.25" hidden="1" customHeight="1" thickBot="1" x14ac:dyDescent="0.35">
      <c r="A1" s="1110" t="s">
        <v>125</v>
      </c>
      <c r="B1" s="1111"/>
      <c r="C1" s="1111"/>
      <c r="D1" s="1111"/>
      <c r="E1" s="1112"/>
    </row>
    <row r="2" spans="1:106" ht="28.5" customHeight="1" thickBot="1" x14ac:dyDescent="0.35">
      <c r="A2" s="1113" t="s">
        <v>551</v>
      </c>
      <c r="B2" s="1114"/>
      <c r="C2" s="1114"/>
      <c r="D2" s="1114"/>
      <c r="E2" s="1114"/>
    </row>
    <row r="3" spans="1:106" ht="40.5" customHeight="1" x14ac:dyDescent="0.3">
      <c r="A3" s="702" t="s">
        <v>412</v>
      </c>
      <c r="B3" s="703" t="str">
        <f>'11. Detail Managment Report'!D2</f>
        <v>Outpace Spinning Mills Ltd</v>
      </c>
      <c r="C3" s="704"/>
      <c r="D3" s="705"/>
      <c r="E3" s="706"/>
    </row>
    <row r="4" spans="1:106" ht="31.5" customHeight="1" x14ac:dyDescent="0.3">
      <c r="A4" s="707" t="s">
        <v>410</v>
      </c>
      <c r="B4" s="708" t="str">
        <f>'11. Detail Managment Report'!D3</f>
        <v>Outpace Spinning Mills Ltd</v>
      </c>
      <c r="C4" s="709"/>
      <c r="D4" s="710"/>
      <c r="E4" s="710"/>
    </row>
    <row r="5" spans="1:106" ht="34.5" customHeight="1" x14ac:dyDescent="0.3">
      <c r="A5" s="711" t="s">
        <v>214</v>
      </c>
      <c r="B5" s="708" t="str">
        <f>'11. Detail Managment Report'!D4</f>
        <v>Outright Group</v>
      </c>
      <c r="C5" s="712"/>
      <c r="D5" s="1115"/>
      <c r="E5" s="713"/>
    </row>
    <row r="6" spans="1:106" ht="26.25" customHeight="1" x14ac:dyDescent="0.3">
      <c r="A6" s="707" t="s">
        <v>411</v>
      </c>
      <c r="B6" s="615" t="str">
        <f>'11. Detail Managment Report'!D5</f>
        <v xml:space="preserve">2.  Textile </v>
      </c>
      <c r="C6" s="714"/>
      <c r="D6" s="1115"/>
      <c r="E6" s="713"/>
      <c r="S6" s="555" t="s">
        <v>216</v>
      </c>
      <c r="T6" s="715">
        <f>C142</f>
        <v>0.45</v>
      </c>
      <c r="U6" s="715">
        <f>1-T6</f>
        <v>0.55000000000000004</v>
      </c>
    </row>
    <row r="7" spans="1:106" x14ac:dyDescent="0.3">
      <c r="A7" s="707" t="s">
        <v>413</v>
      </c>
      <c r="B7" s="708" t="str">
        <f>'11. Detail Managment Report'!D6</f>
        <v>Standard</v>
      </c>
      <c r="C7" s="712"/>
      <c r="D7" s="1116"/>
      <c r="E7" s="713"/>
    </row>
    <row r="8" spans="1:106" x14ac:dyDescent="0.3">
      <c r="A8" s="707" t="s">
        <v>85</v>
      </c>
      <c r="B8" s="708" t="str">
        <f>'11. Detail Managment Report'!D7</f>
        <v>Unaudited</v>
      </c>
      <c r="C8" s="650"/>
      <c r="D8" s="1116"/>
      <c r="E8" s="716"/>
    </row>
    <row r="9" spans="1:106" x14ac:dyDescent="0.3">
      <c r="A9" s="707" t="s">
        <v>414</v>
      </c>
      <c r="B9" s="708" t="str">
        <f>'11. Detail Managment Report'!D8</f>
        <v>Dewan Nazrul Islam &amp; Co.</v>
      </c>
      <c r="C9" s="714"/>
      <c r="D9" s="713"/>
      <c r="E9" s="713"/>
    </row>
    <row r="10" spans="1:106" x14ac:dyDescent="0.3">
      <c r="A10" s="707" t="s">
        <v>415</v>
      </c>
      <c r="B10" s="708" t="str">
        <f>'11. Detail Managment Report'!D9</f>
        <v>Md. Matiur Rahman, SRM</v>
      </c>
      <c r="C10" s="714"/>
      <c r="D10" s="713"/>
      <c r="E10" s="713"/>
    </row>
    <row r="11" spans="1:106" x14ac:dyDescent="0.3">
      <c r="A11" s="707" t="s">
        <v>79</v>
      </c>
      <c r="B11" s="708" t="str">
        <f>'11. Detail Managment Report'!D10</f>
        <v>Farhana Afrin, SM</v>
      </c>
      <c r="C11" s="714"/>
      <c r="D11" s="717"/>
      <c r="E11" s="717"/>
    </row>
    <row r="12" spans="1:106" ht="15" hidden="1" customHeight="1" x14ac:dyDescent="0.3">
      <c r="A12" s="707"/>
      <c r="B12" s="708"/>
      <c r="C12" s="714"/>
      <c r="D12" s="717"/>
      <c r="E12" s="668"/>
    </row>
    <row r="13" spans="1:106" x14ac:dyDescent="0.3">
      <c r="A13" s="707" t="s">
        <v>418</v>
      </c>
      <c r="B13" s="708">
        <f>'11. Detail Managment Report'!D12</f>
        <v>45652</v>
      </c>
      <c r="C13" s="714"/>
      <c r="D13" s="717"/>
      <c r="E13" s="717"/>
    </row>
    <row r="14" spans="1:106" x14ac:dyDescent="0.3">
      <c r="A14" s="707" t="s">
        <v>215</v>
      </c>
      <c r="B14" s="708">
        <f>'11. Detail Managment Report'!D13</f>
        <v>45473</v>
      </c>
      <c r="C14" s="714"/>
      <c r="D14" s="717"/>
      <c r="E14" s="717"/>
    </row>
    <row r="15" spans="1:106" ht="14.5" thickBot="1" x14ac:dyDescent="0.35">
      <c r="A15" s="718"/>
      <c r="B15" s="712"/>
      <c r="C15" s="714"/>
      <c r="D15" s="717"/>
      <c r="E15" s="717"/>
    </row>
    <row r="16" spans="1:106" s="719" customFormat="1" ht="22.5" customHeight="1" thickBot="1" x14ac:dyDescent="0.35">
      <c r="A16" s="1117" t="s">
        <v>265</v>
      </c>
      <c r="B16" s="1118"/>
      <c r="C16" s="1118"/>
      <c r="D16" s="1118"/>
      <c r="E16" s="1119"/>
      <c r="F16" s="555"/>
      <c r="G16" s="555"/>
      <c r="H16" s="555"/>
      <c r="I16" s="555"/>
      <c r="J16" s="555"/>
      <c r="K16" s="555"/>
      <c r="L16" s="55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row>
    <row r="17" spans="1:5" ht="30.75" customHeight="1" x14ac:dyDescent="0.3">
      <c r="A17" s="720" t="s">
        <v>268</v>
      </c>
      <c r="B17" s="721" t="s">
        <v>225</v>
      </c>
      <c r="C17" s="721" t="s">
        <v>216</v>
      </c>
      <c r="D17" s="721" t="s">
        <v>226</v>
      </c>
      <c r="E17" s="722" t="s">
        <v>227</v>
      </c>
    </row>
    <row r="18" spans="1:5" ht="16.5" customHeight="1" x14ac:dyDescent="0.3">
      <c r="A18" s="723" t="s">
        <v>441</v>
      </c>
      <c r="B18" s="724"/>
      <c r="C18" s="724">
        <v>10</v>
      </c>
      <c r="D18" s="724"/>
      <c r="E18" s="725">
        <f>E19+E29</f>
        <v>1</v>
      </c>
    </row>
    <row r="19" spans="1:5" ht="28" x14ac:dyDescent="0.3">
      <c r="A19" s="726" t="str">
        <f>'11. Detail Managment Report'!C18</f>
        <v>1. Financial Debt to Tangible Net Worth (DTN)</v>
      </c>
      <c r="B19" s="727" t="s">
        <v>826</v>
      </c>
      <c r="C19" s="727">
        <v>7</v>
      </c>
      <c r="D19" s="728">
        <f>'9. Inputs-Analysis'!D4</f>
        <v>3.9252586061418495</v>
      </c>
      <c r="E19" s="729">
        <f>IF(D19&lt;0,0,IF(D19&lt;0.7,7,IF(D19&lt;=1,6,IF(D19&lt;=1.25,5,IF(D19&lt;=1.5,4,IF(D19&lt;=2,3,IF(D19&lt;=3,2,0)))))))</f>
        <v>0</v>
      </c>
    </row>
    <row r="20" spans="1:5" x14ac:dyDescent="0.3">
      <c r="A20" s="730"/>
      <c r="B20" s="727" t="s">
        <v>827</v>
      </c>
      <c r="C20" s="727">
        <v>6</v>
      </c>
      <c r="D20" s="731"/>
      <c r="E20" s="732"/>
    </row>
    <row r="21" spans="1:5" x14ac:dyDescent="0.3">
      <c r="A21" s="730"/>
      <c r="B21" s="727" t="s">
        <v>828</v>
      </c>
      <c r="C21" s="727">
        <v>5</v>
      </c>
      <c r="D21" s="731"/>
      <c r="E21" s="732"/>
    </row>
    <row r="22" spans="1:5" x14ac:dyDescent="0.3">
      <c r="A22" s="730"/>
      <c r="B22" s="727" t="s">
        <v>829</v>
      </c>
      <c r="C22" s="727">
        <v>4</v>
      </c>
      <c r="D22" s="731"/>
      <c r="E22" s="732"/>
    </row>
    <row r="23" spans="1:5" x14ac:dyDescent="0.3">
      <c r="A23" s="730"/>
      <c r="B23" s="727" t="s">
        <v>830</v>
      </c>
      <c r="C23" s="727">
        <v>3</v>
      </c>
      <c r="D23" s="731"/>
      <c r="E23" s="732"/>
    </row>
    <row r="24" spans="1:5" x14ac:dyDescent="0.3">
      <c r="A24" s="730"/>
      <c r="B24" s="727" t="s">
        <v>831</v>
      </c>
      <c r="C24" s="727">
        <v>2</v>
      </c>
      <c r="D24" s="731"/>
      <c r="E24" s="732"/>
    </row>
    <row r="25" spans="1:5" x14ac:dyDescent="0.3">
      <c r="A25" s="730"/>
      <c r="B25" s="727" t="s">
        <v>832</v>
      </c>
      <c r="C25" s="727">
        <v>0</v>
      </c>
      <c r="D25" s="731"/>
      <c r="E25" s="732"/>
    </row>
    <row r="26" spans="1:5" x14ac:dyDescent="0.3">
      <c r="A26" s="730"/>
      <c r="B26" s="727"/>
      <c r="C26" s="727"/>
      <c r="D26" s="731"/>
      <c r="E26" s="732"/>
    </row>
    <row r="27" spans="1:5" x14ac:dyDescent="0.3">
      <c r="A27" s="730"/>
      <c r="B27" s="727"/>
      <c r="C27" s="727"/>
      <c r="D27" s="731"/>
      <c r="E27" s="732"/>
    </row>
    <row r="28" spans="1:5" x14ac:dyDescent="0.3">
      <c r="A28" s="730"/>
      <c r="B28" s="727"/>
      <c r="C28" s="727"/>
      <c r="D28" s="731"/>
      <c r="E28" s="732"/>
    </row>
    <row r="29" spans="1:5" x14ac:dyDescent="0.3">
      <c r="A29" s="726" t="str">
        <f>'11. Detail Managment Report'!C19</f>
        <v>2. Financial Debt to Total Assets (DTA)</v>
      </c>
      <c r="B29" s="727" t="s">
        <v>637</v>
      </c>
      <c r="C29" s="727">
        <v>3</v>
      </c>
      <c r="D29" s="728">
        <f>'9. Inputs-Analysis'!D7</f>
        <v>0.78528910732277912</v>
      </c>
      <c r="E29" s="733">
        <f>IF(D29&lt;0,0,IF(D29&lt;0.35,3,IF(D29&lt;0.75,2,IF(D29&lt;1,1,0))))</f>
        <v>1</v>
      </c>
    </row>
    <row r="30" spans="1:5" x14ac:dyDescent="0.3">
      <c r="A30" s="726"/>
      <c r="B30" s="727" t="s">
        <v>638</v>
      </c>
      <c r="C30" s="727">
        <v>2</v>
      </c>
      <c r="D30" s="731"/>
      <c r="E30" s="734"/>
    </row>
    <row r="31" spans="1:5" x14ac:dyDescent="0.3">
      <c r="A31" s="730"/>
      <c r="B31" s="727" t="s">
        <v>483</v>
      </c>
      <c r="C31" s="727">
        <v>1</v>
      </c>
      <c r="D31" s="731"/>
      <c r="E31" s="734"/>
    </row>
    <row r="32" spans="1:5" x14ac:dyDescent="0.3">
      <c r="A32" s="730"/>
      <c r="B32" s="727" t="s">
        <v>463</v>
      </c>
      <c r="C32" s="727">
        <v>0</v>
      </c>
      <c r="D32" s="731"/>
      <c r="E32" s="734"/>
    </row>
    <row r="33" spans="1:106" x14ac:dyDescent="0.3">
      <c r="A33" s="730"/>
      <c r="B33" s="735"/>
      <c r="C33" s="735"/>
      <c r="D33" s="731"/>
      <c r="E33" s="734"/>
    </row>
    <row r="34" spans="1:106" x14ac:dyDescent="0.3">
      <c r="A34" s="730"/>
      <c r="B34" s="735"/>
      <c r="C34" s="735"/>
      <c r="D34" s="731"/>
      <c r="E34" s="734"/>
    </row>
    <row r="35" spans="1:106" x14ac:dyDescent="0.3">
      <c r="A35" s="736"/>
      <c r="B35" s="735"/>
      <c r="C35" s="735"/>
      <c r="D35" s="731"/>
      <c r="E35" s="734"/>
    </row>
    <row r="36" spans="1:106" s="719" customFormat="1" x14ac:dyDescent="0.3">
      <c r="A36" s="723" t="s">
        <v>442</v>
      </c>
      <c r="B36" s="737"/>
      <c r="C36" s="738">
        <v>10</v>
      </c>
      <c r="D36" s="737"/>
      <c r="E36" s="739">
        <f>E37+E45</f>
        <v>6</v>
      </c>
      <c r="F36" s="555"/>
      <c r="G36" s="555"/>
      <c r="H36" s="555"/>
      <c r="I36" s="555"/>
      <c r="J36" s="555"/>
      <c r="K36" s="555"/>
      <c r="L36" s="555"/>
      <c r="M36" s="555"/>
      <c r="N36" s="555"/>
      <c r="O36" s="555"/>
      <c r="P36" s="555"/>
      <c r="Q36" s="555"/>
      <c r="R36" s="555"/>
      <c r="S36" s="555"/>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row>
    <row r="37" spans="1:106" ht="25.5" customHeight="1" x14ac:dyDescent="0.3">
      <c r="A37" s="726" t="str">
        <f>'11. Detail Managment Report'!C21</f>
        <v>1. Current Ratio (CR)</v>
      </c>
      <c r="B37" s="727" t="s">
        <v>749</v>
      </c>
      <c r="C37" s="727">
        <v>7</v>
      </c>
      <c r="D37" s="728">
        <f>'9. Inputs-Analysis'!D11</f>
        <v>1.040552151554528</v>
      </c>
      <c r="E37" s="729">
        <f>IF(D37&gt;1.5,7,IF(D37&gt;=1,6,IF(D37&gt;=0.75,5,IF(D37&gt;=0.5,2,IF(D37&gt;=0.35,1,0)))))</f>
        <v>6</v>
      </c>
    </row>
    <row r="38" spans="1:106" x14ac:dyDescent="0.3">
      <c r="A38" s="726"/>
      <c r="B38" s="727" t="s">
        <v>484</v>
      </c>
      <c r="C38" s="727">
        <v>6</v>
      </c>
      <c r="D38" s="740"/>
      <c r="E38" s="732"/>
    </row>
    <row r="39" spans="1:106" x14ac:dyDescent="0.3">
      <c r="A39" s="736"/>
      <c r="B39" s="727" t="s">
        <v>750</v>
      </c>
      <c r="C39" s="727">
        <v>5</v>
      </c>
      <c r="D39" s="731"/>
      <c r="E39" s="732"/>
    </row>
    <row r="40" spans="1:106" x14ac:dyDescent="0.3">
      <c r="A40" s="736"/>
      <c r="B40" s="727" t="s">
        <v>751</v>
      </c>
      <c r="C40" s="727">
        <v>3</v>
      </c>
      <c r="D40" s="731"/>
      <c r="E40" s="732"/>
    </row>
    <row r="41" spans="1:106" x14ac:dyDescent="0.3">
      <c r="A41" s="736"/>
      <c r="B41" s="727" t="s">
        <v>752</v>
      </c>
      <c r="C41" s="727">
        <v>2</v>
      </c>
      <c r="D41" s="731"/>
      <c r="E41" s="732"/>
    </row>
    <row r="42" spans="1:106" x14ac:dyDescent="0.3">
      <c r="A42" s="736"/>
      <c r="B42" s="727" t="s">
        <v>753</v>
      </c>
      <c r="C42" s="727">
        <v>0</v>
      </c>
      <c r="D42" s="731"/>
      <c r="E42" s="732"/>
    </row>
    <row r="43" spans="1:106" x14ac:dyDescent="0.3">
      <c r="A43" s="736"/>
      <c r="B43" s="727"/>
      <c r="C43" s="727"/>
      <c r="D43" s="731"/>
      <c r="E43" s="732"/>
    </row>
    <row r="44" spans="1:106" x14ac:dyDescent="0.3">
      <c r="A44" s="736"/>
      <c r="B44" s="727"/>
      <c r="C44" s="727"/>
      <c r="D44" s="731"/>
      <c r="E44" s="732"/>
    </row>
    <row r="45" spans="1:106" x14ac:dyDescent="0.3">
      <c r="A45" s="726" t="str">
        <f>'11. Detail Managment Report'!C22</f>
        <v>2. Cash Ratio (Cash)</v>
      </c>
      <c r="B45" s="727" t="s">
        <v>487</v>
      </c>
      <c r="C45" s="727">
        <v>3</v>
      </c>
      <c r="D45" s="728">
        <f>'9. Inputs-Analysis'!D10</f>
        <v>6.1472340974284764E-3</v>
      </c>
      <c r="E45" s="733">
        <f>IF(D45&gt;=0.2,3,IF(D45&gt;=0.1,2,IF(D45&gt;=0.05,1,0)))</f>
        <v>0</v>
      </c>
    </row>
    <row r="46" spans="1:106" x14ac:dyDescent="0.3">
      <c r="A46" s="726"/>
      <c r="B46" s="727" t="s">
        <v>234</v>
      </c>
      <c r="C46" s="727">
        <v>2</v>
      </c>
      <c r="D46" s="731"/>
      <c r="E46" s="734"/>
    </row>
    <row r="47" spans="1:106" x14ac:dyDescent="0.3">
      <c r="A47" s="726"/>
      <c r="B47" s="727" t="s">
        <v>235</v>
      </c>
      <c r="C47" s="727">
        <v>1</v>
      </c>
      <c r="D47" s="731"/>
      <c r="E47" s="734"/>
    </row>
    <row r="48" spans="1:106" x14ac:dyDescent="0.3">
      <c r="A48" s="726"/>
      <c r="B48" s="727" t="s">
        <v>488</v>
      </c>
      <c r="C48" s="727">
        <v>0</v>
      </c>
      <c r="D48" s="731"/>
      <c r="E48" s="734"/>
    </row>
    <row r="49" spans="1:106" x14ac:dyDescent="0.3">
      <c r="A49" s="726"/>
      <c r="B49" s="727"/>
      <c r="C49" s="727"/>
      <c r="D49" s="731"/>
      <c r="E49" s="734"/>
    </row>
    <row r="50" spans="1:106" x14ac:dyDescent="0.3">
      <c r="A50" s="726"/>
      <c r="B50" s="727"/>
      <c r="C50" s="727"/>
      <c r="D50" s="731"/>
      <c r="E50" s="734"/>
    </row>
    <row r="51" spans="1:106" x14ac:dyDescent="0.3">
      <c r="A51" s="726"/>
      <c r="B51" s="741"/>
      <c r="C51" s="727"/>
      <c r="D51" s="731"/>
      <c r="E51" s="734"/>
    </row>
    <row r="52" spans="1:106" s="719" customFormat="1" ht="15" customHeight="1" x14ac:dyDescent="0.3">
      <c r="A52" s="742" t="s">
        <v>443</v>
      </c>
      <c r="B52" s="743"/>
      <c r="C52" s="743">
        <v>10</v>
      </c>
      <c r="D52" s="744"/>
      <c r="E52" s="745">
        <f>E53+E62+E69</f>
        <v>4</v>
      </c>
      <c r="F52" s="555"/>
      <c r="G52" s="555"/>
      <c r="H52" s="555"/>
      <c r="I52" s="555"/>
      <c r="J52" s="555"/>
      <c r="K52" s="555"/>
      <c r="L52" s="555"/>
      <c r="M52" s="555"/>
      <c r="N52" s="555"/>
      <c r="O52" s="555"/>
      <c r="P52" s="555"/>
      <c r="Q52" s="555"/>
      <c r="R52" s="555"/>
      <c r="S52" s="555"/>
      <c r="T52" s="555"/>
      <c r="U52" s="555"/>
      <c r="V52" s="555"/>
      <c r="W52" s="555"/>
      <c r="X52" s="555"/>
      <c r="Y52" s="555"/>
      <c r="Z52" s="555"/>
      <c r="AA52" s="555"/>
      <c r="AB52" s="555"/>
      <c r="AC52" s="555"/>
      <c r="AD52" s="555"/>
      <c r="AE52" s="555"/>
      <c r="AF52" s="555"/>
      <c r="AG52" s="555"/>
      <c r="AH52" s="555"/>
      <c r="AI52" s="555"/>
      <c r="AJ52" s="555"/>
      <c r="AK52" s="555"/>
      <c r="AL52" s="555"/>
      <c r="AM52" s="555"/>
      <c r="AN52" s="555"/>
      <c r="AO52" s="555"/>
      <c r="AP52" s="555"/>
      <c r="AQ52" s="555"/>
      <c r="AR52" s="555"/>
      <c r="AS52" s="555"/>
      <c r="AT52" s="555"/>
      <c r="AU52" s="555"/>
      <c r="AV52" s="555"/>
      <c r="AW52" s="555"/>
      <c r="AX52" s="555"/>
      <c r="AY52" s="555"/>
      <c r="AZ52" s="555"/>
      <c r="BA52" s="555"/>
      <c r="BB52" s="555"/>
      <c r="BC52" s="555"/>
      <c r="BD52" s="555"/>
      <c r="BE52" s="555"/>
      <c r="BF52" s="555"/>
      <c r="BG52" s="555"/>
      <c r="BH52" s="555"/>
      <c r="BI52" s="555"/>
      <c r="BJ52" s="555"/>
      <c r="BK52" s="555"/>
      <c r="BL52" s="555"/>
      <c r="BM52" s="555"/>
      <c r="BN52" s="555"/>
      <c r="BO52" s="555"/>
      <c r="BP52" s="555"/>
      <c r="BQ52" s="555"/>
      <c r="BR52" s="555"/>
      <c r="BS52" s="555"/>
      <c r="BT52" s="555"/>
      <c r="BU52" s="555"/>
      <c r="BV52" s="555"/>
      <c r="BW52" s="555"/>
      <c r="BX52" s="555"/>
      <c r="BY52" s="555"/>
      <c r="BZ52" s="555"/>
      <c r="CA52" s="555"/>
      <c r="CB52" s="555"/>
      <c r="CC52" s="555"/>
      <c r="CD52" s="555"/>
      <c r="CE52" s="555"/>
      <c r="CF52" s="555"/>
      <c r="CG52" s="555"/>
      <c r="CH52" s="555"/>
      <c r="CI52" s="555"/>
      <c r="CJ52" s="555"/>
      <c r="CK52" s="555"/>
      <c r="CL52" s="555"/>
      <c r="CM52" s="555"/>
      <c r="CN52" s="555"/>
      <c r="CO52" s="555"/>
      <c r="CP52" s="555"/>
      <c r="CQ52" s="555"/>
      <c r="CR52" s="555"/>
      <c r="CS52" s="555"/>
      <c r="CT52" s="555"/>
      <c r="CU52" s="555"/>
      <c r="CV52" s="555"/>
      <c r="CW52" s="555"/>
      <c r="CX52" s="555"/>
      <c r="CY52" s="555"/>
      <c r="CZ52" s="555"/>
      <c r="DA52" s="555"/>
      <c r="DB52" s="555"/>
    </row>
    <row r="53" spans="1:106" x14ac:dyDescent="0.3">
      <c r="A53" s="726" t="str">
        <f>'11. Detail Managment Report'!C24</f>
        <v>1. Net Profit Margin (NPM)</v>
      </c>
      <c r="B53" s="441" t="s">
        <v>685</v>
      </c>
      <c r="C53" s="442">
        <v>5</v>
      </c>
      <c r="D53" s="746">
        <f>'9. Inputs-Analysis'!D15</f>
        <v>5.4896988386267581E-2</v>
      </c>
      <c r="E53" s="747">
        <f>IF(D53&gt;=10%,5,IF(D53&gt;=8%,4,IF(D53&gt;=6%,3,IF(D53&gt;=4%,2,IF(D53&gt;=2%,1,0)))))</f>
        <v>2</v>
      </c>
    </row>
    <row r="54" spans="1:106" x14ac:dyDescent="0.3">
      <c r="A54" s="748"/>
      <c r="B54" s="441" t="s">
        <v>686</v>
      </c>
      <c r="C54" s="442">
        <v>4</v>
      </c>
      <c r="D54" s="749"/>
      <c r="E54" s="750"/>
    </row>
    <row r="55" spans="1:106" x14ac:dyDescent="0.3">
      <c r="A55" s="748"/>
      <c r="B55" s="441" t="s">
        <v>490</v>
      </c>
      <c r="C55" s="442">
        <v>3</v>
      </c>
      <c r="D55" s="731"/>
      <c r="E55" s="750"/>
    </row>
    <row r="56" spans="1:106" x14ac:dyDescent="0.3">
      <c r="A56" s="748"/>
      <c r="B56" s="441" t="s">
        <v>491</v>
      </c>
      <c r="C56" s="442">
        <v>2</v>
      </c>
      <c r="D56" s="731"/>
      <c r="E56" s="750"/>
    </row>
    <row r="57" spans="1:106" x14ac:dyDescent="0.3">
      <c r="A57" s="736"/>
      <c r="B57" s="441" t="s">
        <v>492</v>
      </c>
      <c r="C57" s="442">
        <v>1</v>
      </c>
      <c r="D57" s="731"/>
      <c r="E57" s="750"/>
    </row>
    <row r="58" spans="1:106" x14ac:dyDescent="0.3">
      <c r="A58" s="736"/>
      <c r="B58" s="441" t="s">
        <v>493</v>
      </c>
      <c r="C58" s="442">
        <v>0</v>
      </c>
      <c r="D58" s="731"/>
      <c r="E58" s="750"/>
    </row>
    <row r="59" spans="1:106" x14ac:dyDescent="0.3">
      <c r="A59" s="736"/>
      <c r="B59" s="727"/>
      <c r="C59" s="727"/>
      <c r="D59" s="731"/>
      <c r="E59" s="750"/>
    </row>
    <row r="60" spans="1:106" x14ac:dyDescent="0.3">
      <c r="A60" s="736"/>
      <c r="B60" s="727"/>
      <c r="C60" s="727"/>
      <c r="D60" s="731"/>
      <c r="E60" s="750"/>
    </row>
    <row r="61" spans="1:106" x14ac:dyDescent="0.3">
      <c r="A61" s="748"/>
      <c r="B61" s="727"/>
      <c r="C61" s="727"/>
      <c r="D61" s="731"/>
      <c r="E61" s="750"/>
    </row>
    <row r="62" spans="1:106" x14ac:dyDescent="0.3">
      <c r="A62" s="726" t="str">
        <f>'11. Detail Managment Report'!C25</f>
        <v>2. Return on Assets (ROA)</v>
      </c>
      <c r="B62" s="727" t="s">
        <v>687</v>
      </c>
      <c r="C62" s="727">
        <v>3</v>
      </c>
      <c r="D62" s="746">
        <f>'9. Inputs-Analysis'!D18</f>
        <v>1.9426111026367571E-2</v>
      </c>
      <c r="E62" s="751">
        <f>IF(D62&gt;3%,3,IF(D62&gt;=2%,2,IF(D62&gt;=1%,1,0)))</f>
        <v>1</v>
      </c>
    </row>
    <row r="63" spans="1:106" x14ac:dyDescent="0.3">
      <c r="A63" s="748"/>
      <c r="B63" s="727" t="s">
        <v>494</v>
      </c>
      <c r="C63" s="727">
        <v>2</v>
      </c>
      <c r="D63" s="752"/>
      <c r="E63" s="753"/>
    </row>
    <row r="64" spans="1:106" x14ac:dyDescent="0.3">
      <c r="A64" s="748"/>
      <c r="B64" s="727" t="s">
        <v>688</v>
      </c>
      <c r="C64" s="727">
        <v>1</v>
      </c>
      <c r="D64" s="752"/>
      <c r="E64" s="753"/>
    </row>
    <row r="65" spans="1:106" x14ac:dyDescent="0.3">
      <c r="A65" s="748"/>
      <c r="B65" s="727" t="s">
        <v>689</v>
      </c>
      <c r="C65" s="727">
        <v>0</v>
      </c>
      <c r="D65" s="731"/>
      <c r="E65" s="753"/>
    </row>
    <row r="66" spans="1:106" x14ac:dyDescent="0.3">
      <c r="A66" s="748"/>
      <c r="B66" s="727"/>
      <c r="C66" s="727"/>
      <c r="D66" s="731"/>
      <c r="E66" s="753"/>
    </row>
    <row r="67" spans="1:106" x14ac:dyDescent="0.3">
      <c r="A67" s="748"/>
      <c r="B67" s="727"/>
      <c r="C67" s="727"/>
      <c r="D67" s="731"/>
      <c r="E67" s="753"/>
    </row>
    <row r="68" spans="1:106" x14ac:dyDescent="0.3">
      <c r="A68" s="748"/>
      <c r="B68" s="727"/>
      <c r="C68" s="727"/>
      <c r="D68" s="731"/>
      <c r="E68" s="753"/>
    </row>
    <row r="69" spans="1:106" ht="28" x14ac:dyDescent="0.3">
      <c r="A69" s="754" t="str">
        <f>'11. Detail Managment Report'!C26</f>
        <v>3. Operating Profit to Operating Assets (OPOA)</v>
      </c>
      <c r="B69" s="727" t="s">
        <v>690</v>
      </c>
      <c r="C69" s="727">
        <v>2</v>
      </c>
      <c r="D69" s="746">
        <f>'9. Inputs-Analysis'!D21</f>
        <v>4.652054000911502E-2</v>
      </c>
      <c r="E69" s="751">
        <f>IF(D69&gt;6%,2,IF(D69&gt;=2%,1,0))</f>
        <v>1</v>
      </c>
    </row>
    <row r="70" spans="1:106" x14ac:dyDescent="0.3">
      <c r="A70" s="754"/>
      <c r="B70" s="727" t="s">
        <v>628</v>
      </c>
      <c r="C70" s="727">
        <v>1</v>
      </c>
      <c r="D70" s="731"/>
      <c r="E70" s="753"/>
    </row>
    <row r="71" spans="1:106" x14ac:dyDescent="0.3">
      <c r="A71" s="736"/>
      <c r="B71" s="727" t="s">
        <v>691</v>
      </c>
      <c r="C71" s="727">
        <v>0</v>
      </c>
      <c r="D71" s="731"/>
      <c r="E71" s="753"/>
    </row>
    <row r="72" spans="1:106" x14ac:dyDescent="0.3">
      <c r="A72" s="736"/>
      <c r="B72" s="727"/>
      <c r="C72" s="727"/>
      <c r="D72" s="731"/>
      <c r="E72" s="753"/>
    </row>
    <row r="73" spans="1:106" x14ac:dyDescent="0.3">
      <c r="A73" s="736"/>
      <c r="B73" s="727"/>
      <c r="C73" s="727"/>
      <c r="D73" s="731"/>
      <c r="E73" s="753"/>
    </row>
    <row r="74" spans="1:106" x14ac:dyDescent="0.3">
      <c r="A74" s="736"/>
      <c r="B74" s="727"/>
      <c r="C74" s="727"/>
      <c r="D74" s="731"/>
      <c r="E74" s="753"/>
    </row>
    <row r="75" spans="1:106" s="719" customFormat="1" x14ac:dyDescent="0.3">
      <c r="A75" s="723" t="s">
        <v>444</v>
      </c>
      <c r="B75" s="743"/>
      <c r="C75" s="743">
        <v>15</v>
      </c>
      <c r="D75" s="724"/>
      <c r="E75" s="725">
        <f>E76+E83+E93+E100</f>
        <v>10</v>
      </c>
      <c r="F75" s="555"/>
      <c r="G75" s="555"/>
      <c r="H75" s="555"/>
      <c r="I75" s="555"/>
      <c r="J75" s="555"/>
      <c r="K75" s="555"/>
      <c r="L75" s="555"/>
      <c r="M75" s="555"/>
      <c r="N75" s="555"/>
      <c r="O75" s="555"/>
      <c r="P75" s="555"/>
      <c r="Q75" s="555"/>
      <c r="R75" s="555"/>
      <c r="S75" s="555"/>
      <c r="T75" s="555"/>
      <c r="U75" s="555"/>
      <c r="V75" s="555"/>
      <c r="W75" s="555"/>
      <c r="X75" s="555"/>
      <c r="Y75" s="555"/>
      <c r="Z75" s="555"/>
      <c r="AA75" s="555"/>
      <c r="AB75" s="555"/>
      <c r="AC75" s="555"/>
      <c r="AD75" s="555"/>
      <c r="AE75" s="555"/>
      <c r="AF75" s="555"/>
      <c r="AG75" s="555"/>
      <c r="AH75" s="555"/>
      <c r="AI75" s="555"/>
      <c r="AJ75" s="555"/>
      <c r="AK75" s="555"/>
      <c r="AL75" s="555"/>
      <c r="AM75" s="555"/>
      <c r="AN75" s="555"/>
      <c r="AO75" s="555"/>
      <c r="AP75" s="555"/>
      <c r="AQ75" s="555"/>
      <c r="AR75" s="555"/>
      <c r="AS75" s="555"/>
      <c r="AT75" s="555"/>
      <c r="AU75" s="555"/>
      <c r="AV75" s="555"/>
      <c r="AW75" s="555"/>
      <c r="AX75" s="555"/>
      <c r="AY75" s="555"/>
      <c r="AZ75" s="555"/>
      <c r="BA75" s="555"/>
      <c r="BB75" s="555"/>
      <c r="BC75" s="555"/>
      <c r="BD75" s="555"/>
      <c r="BE75" s="555"/>
      <c r="BF75" s="555"/>
      <c r="BG75" s="555"/>
      <c r="BH75" s="555"/>
      <c r="BI75" s="555"/>
      <c r="BJ75" s="555"/>
      <c r="BK75" s="555"/>
      <c r="BL75" s="555"/>
      <c r="BM75" s="555"/>
      <c r="BN75" s="555"/>
      <c r="BO75" s="555"/>
      <c r="BP75" s="555"/>
      <c r="BQ75" s="555"/>
      <c r="BR75" s="555"/>
      <c r="BS75" s="555"/>
      <c r="BT75" s="555"/>
      <c r="BU75" s="555"/>
      <c r="BV75" s="555"/>
      <c r="BW75" s="555"/>
      <c r="BX75" s="555"/>
      <c r="BY75" s="555"/>
      <c r="BZ75" s="555"/>
      <c r="CA75" s="555"/>
      <c r="CB75" s="555"/>
      <c r="CC75" s="555"/>
      <c r="CD75" s="555"/>
      <c r="CE75" s="555"/>
      <c r="CF75" s="555"/>
      <c r="CG75" s="555"/>
      <c r="CH75" s="555"/>
      <c r="CI75" s="555"/>
      <c r="CJ75" s="555"/>
      <c r="CK75" s="555"/>
      <c r="CL75" s="555"/>
      <c r="CM75" s="555"/>
      <c r="CN75" s="555"/>
      <c r="CO75" s="555"/>
      <c r="CP75" s="555"/>
      <c r="CQ75" s="555"/>
      <c r="CR75" s="555"/>
      <c r="CS75" s="555"/>
      <c r="CT75" s="555"/>
      <c r="CU75" s="555"/>
      <c r="CV75" s="555"/>
      <c r="CW75" s="555"/>
      <c r="CX75" s="555"/>
      <c r="CY75" s="555"/>
      <c r="CZ75" s="555"/>
      <c r="DA75" s="555"/>
      <c r="DB75" s="555"/>
    </row>
    <row r="76" spans="1:106" x14ac:dyDescent="0.3">
      <c r="A76" s="726" t="str">
        <f>'11. Detail Managment Report'!C28</f>
        <v>1. Interest Coverage (IC)</v>
      </c>
      <c r="B76" s="727" t="s">
        <v>692</v>
      </c>
      <c r="C76" s="727">
        <v>3</v>
      </c>
      <c r="D76" s="728">
        <f>'9. Inputs-Analysis'!D24</f>
        <v>2.1640484041893577</v>
      </c>
      <c r="E76" s="729">
        <f>IF(D76&gt;2,3,IF(D76&gt;=1.5,2,IF(D76&gt;=1.01,1,0)))</f>
        <v>3</v>
      </c>
    </row>
    <row r="77" spans="1:106" x14ac:dyDescent="0.3">
      <c r="A77" s="736"/>
      <c r="B77" s="727" t="s">
        <v>693</v>
      </c>
      <c r="C77" s="727">
        <v>2</v>
      </c>
      <c r="D77" s="755"/>
      <c r="E77" s="732"/>
    </row>
    <row r="78" spans="1:106" x14ac:dyDescent="0.3">
      <c r="A78" s="736"/>
      <c r="B78" s="727" t="s">
        <v>694</v>
      </c>
      <c r="C78" s="727">
        <v>1</v>
      </c>
      <c r="D78" s="731"/>
      <c r="E78" s="732"/>
    </row>
    <row r="79" spans="1:106" x14ac:dyDescent="0.3">
      <c r="A79" s="736"/>
      <c r="B79" s="727" t="s">
        <v>629</v>
      </c>
      <c r="C79" s="727">
        <v>0</v>
      </c>
      <c r="D79" s="731"/>
      <c r="E79" s="732"/>
    </row>
    <row r="80" spans="1:106" x14ac:dyDescent="0.3">
      <c r="A80" s="736"/>
      <c r="B80" s="727"/>
      <c r="C80" s="727"/>
      <c r="D80" s="731"/>
      <c r="E80" s="732"/>
    </row>
    <row r="81" spans="1:5" x14ac:dyDescent="0.3">
      <c r="A81" s="736"/>
      <c r="B81" s="727"/>
      <c r="C81" s="727"/>
      <c r="D81" s="731"/>
      <c r="E81" s="732"/>
    </row>
    <row r="82" spans="1:5" x14ac:dyDescent="0.3">
      <c r="A82" s="736"/>
      <c r="B82" s="727"/>
      <c r="C82" s="727"/>
      <c r="D82" s="731"/>
      <c r="E82" s="732"/>
    </row>
    <row r="83" spans="1:5" x14ac:dyDescent="0.3">
      <c r="A83" s="726" t="str">
        <f>'11. Detail Managment Report'!C29</f>
        <v>2. Debt Service Coverage Ratio (DSCR)</v>
      </c>
      <c r="B83" s="727"/>
      <c r="C83" s="727"/>
      <c r="D83" s="728">
        <f>'9. Inputs-Analysis'!D27</f>
        <v>1.4160266339747576</v>
      </c>
      <c r="E83" s="733">
        <f>IF(D83&gt;1.5,5,IF(D83&gt;=1,4,IF(D83&gt;=0.75,3,IF(D83&gt;=0.5,2,IF(D83&gt;=0.25,1,0)))))</f>
        <v>4</v>
      </c>
    </row>
    <row r="84" spans="1:5" x14ac:dyDescent="0.3">
      <c r="A84" s="726"/>
      <c r="B84" s="727" t="s">
        <v>695</v>
      </c>
      <c r="C84" s="727">
        <v>5</v>
      </c>
      <c r="D84" s="731"/>
      <c r="E84" s="734"/>
    </row>
    <row r="85" spans="1:5" x14ac:dyDescent="0.3">
      <c r="A85" s="726"/>
      <c r="B85" s="727" t="s">
        <v>696</v>
      </c>
      <c r="C85" s="727">
        <v>4</v>
      </c>
      <c r="D85" s="731"/>
      <c r="E85" s="734"/>
    </row>
    <row r="86" spans="1:5" x14ac:dyDescent="0.3">
      <c r="A86" s="726"/>
      <c r="B86" s="727" t="s">
        <v>697</v>
      </c>
      <c r="C86" s="727">
        <v>3</v>
      </c>
      <c r="D86" s="731"/>
      <c r="E86" s="734"/>
    </row>
    <row r="87" spans="1:5" x14ac:dyDescent="0.3">
      <c r="A87" s="726"/>
      <c r="B87" s="727" t="s">
        <v>698</v>
      </c>
      <c r="C87" s="727">
        <v>2</v>
      </c>
      <c r="D87" s="731"/>
      <c r="E87" s="734"/>
    </row>
    <row r="88" spans="1:5" x14ac:dyDescent="0.3">
      <c r="A88" s="726"/>
      <c r="B88" s="727" t="s">
        <v>699</v>
      </c>
      <c r="C88" s="727">
        <v>0</v>
      </c>
      <c r="D88" s="731"/>
      <c r="E88" s="734"/>
    </row>
    <row r="89" spans="1:5" x14ac:dyDescent="0.3">
      <c r="A89" s="736"/>
      <c r="B89" s="727" t="s">
        <v>629</v>
      </c>
      <c r="C89" s="727">
        <v>0</v>
      </c>
      <c r="D89" s="731"/>
      <c r="E89" s="734"/>
    </row>
    <row r="90" spans="1:5" x14ac:dyDescent="0.3">
      <c r="A90" s="736"/>
      <c r="B90" s="727"/>
      <c r="C90" s="727"/>
      <c r="D90" s="731"/>
      <c r="E90" s="734"/>
    </row>
    <row r="91" spans="1:5" x14ac:dyDescent="0.3">
      <c r="A91" s="736"/>
      <c r="B91" s="727"/>
      <c r="C91" s="727"/>
      <c r="D91" s="731"/>
      <c r="E91" s="734"/>
    </row>
    <row r="92" spans="1:5" x14ac:dyDescent="0.3">
      <c r="A92" s="736"/>
      <c r="B92" s="727"/>
      <c r="C92" s="727"/>
      <c r="D92" s="731"/>
      <c r="E92" s="734"/>
    </row>
    <row r="93" spans="1:5" ht="28" x14ac:dyDescent="0.3">
      <c r="A93" s="726" t="str">
        <f>'11. Detail Managment Report'!C30</f>
        <v>3. Operating Cashflow to Debt Ratio (CDR)</v>
      </c>
      <c r="B93" s="727" t="s">
        <v>786</v>
      </c>
      <c r="C93" s="727">
        <v>4</v>
      </c>
      <c r="D93" s="756">
        <f>'9. Inputs-Analysis'!D30</f>
        <v>3.3545581292940753E-2</v>
      </c>
      <c r="E93" s="733">
        <f>IF(D93&gt;0.25,4,IF(D93&gt;=0.15,3,IF(D93&gt;=0.1,2,IF(D93&gt;=-0.1,1,0))))</f>
        <v>1</v>
      </c>
    </row>
    <row r="94" spans="1:5" x14ac:dyDescent="0.3">
      <c r="A94" s="736"/>
      <c r="B94" s="727" t="s">
        <v>787</v>
      </c>
      <c r="C94" s="727">
        <v>3</v>
      </c>
      <c r="D94" s="731"/>
      <c r="E94" s="734"/>
    </row>
    <row r="95" spans="1:5" x14ac:dyDescent="0.3">
      <c r="A95" s="736"/>
      <c r="B95" s="727" t="s">
        <v>788</v>
      </c>
      <c r="C95" s="727">
        <v>2</v>
      </c>
      <c r="D95" s="731"/>
      <c r="E95" s="734"/>
    </row>
    <row r="96" spans="1:5" x14ac:dyDescent="0.3">
      <c r="A96" s="736"/>
      <c r="B96" s="727" t="s">
        <v>789</v>
      </c>
      <c r="C96" s="727">
        <v>1</v>
      </c>
      <c r="D96" s="731"/>
      <c r="E96" s="734"/>
    </row>
    <row r="97" spans="1:106" x14ac:dyDescent="0.3">
      <c r="A97" s="736"/>
      <c r="B97" s="727" t="s">
        <v>790</v>
      </c>
      <c r="C97" s="727">
        <v>0</v>
      </c>
      <c r="D97" s="731"/>
      <c r="E97" s="734"/>
    </row>
    <row r="98" spans="1:106" x14ac:dyDescent="0.3">
      <c r="A98" s="736"/>
      <c r="B98" s="727"/>
      <c r="C98" s="727"/>
      <c r="D98" s="731"/>
      <c r="E98" s="734"/>
    </row>
    <row r="99" spans="1:106" x14ac:dyDescent="0.3">
      <c r="A99" s="736"/>
      <c r="B99" s="727"/>
      <c r="C99" s="727"/>
      <c r="D99" s="731"/>
      <c r="E99" s="734"/>
    </row>
    <row r="100" spans="1:106" ht="19.5" customHeight="1" x14ac:dyDescent="0.3">
      <c r="A100" s="726" t="str">
        <f>'11. Detail Managment Report'!C31</f>
        <v>4. Cashflow Coverage Ratio (CCR)</v>
      </c>
      <c r="B100" s="727" t="s">
        <v>734</v>
      </c>
      <c r="C100" s="727">
        <v>3</v>
      </c>
      <c r="D100" s="757">
        <f>'9. Inputs-Analysis'!D33</f>
        <v>0.76522361031669384</v>
      </c>
      <c r="E100" s="733">
        <f>IF(D100&gt;=1.5,3,IF(D100&gt;=0.5,2,IF(D100&gt;-0.1,1,0)))</f>
        <v>2</v>
      </c>
    </row>
    <row r="101" spans="1:106" x14ac:dyDescent="0.3">
      <c r="A101" s="726"/>
      <c r="B101" s="727" t="s">
        <v>735</v>
      </c>
      <c r="C101" s="727">
        <v>2</v>
      </c>
      <c r="D101" s="731"/>
      <c r="E101" s="734"/>
    </row>
    <row r="102" spans="1:106" x14ac:dyDescent="0.3">
      <c r="A102" s="726"/>
      <c r="B102" s="727" t="s">
        <v>736</v>
      </c>
      <c r="C102" s="727">
        <v>0</v>
      </c>
      <c r="D102" s="731"/>
      <c r="E102" s="734"/>
    </row>
    <row r="103" spans="1:106" x14ac:dyDescent="0.3">
      <c r="A103" s="726"/>
      <c r="B103" s="727"/>
      <c r="C103" s="727"/>
      <c r="D103" s="731"/>
      <c r="E103" s="734"/>
    </row>
    <row r="104" spans="1:106" x14ac:dyDescent="0.3">
      <c r="A104" s="726"/>
      <c r="B104" s="727"/>
      <c r="C104" s="727"/>
      <c r="D104" s="731"/>
      <c r="E104" s="734"/>
    </row>
    <row r="105" spans="1:106" x14ac:dyDescent="0.3">
      <c r="A105" s="726"/>
      <c r="B105" s="727"/>
      <c r="C105" s="727"/>
      <c r="D105" s="731"/>
      <c r="E105" s="734"/>
    </row>
    <row r="106" spans="1:106" s="719" customFormat="1" x14ac:dyDescent="0.3">
      <c r="A106" s="723" t="s">
        <v>445</v>
      </c>
      <c r="B106" s="743"/>
      <c r="C106" s="743">
        <v>10</v>
      </c>
      <c r="D106" s="724"/>
      <c r="E106" s="725">
        <f>E107+E115+E122</f>
        <v>4</v>
      </c>
      <c r="F106" s="555"/>
      <c r="G106" s="555"/>
      <c r="H106" s="555"/>
      <c r="I106" s="555"/>
      <c r="J106" s="555"/>
      <c r="K106" s="555"/>
      <c r="L106" s="555"/>
      <c r="M106" s="555"/>
      <c r="N106" s="555"/>
      <c r="O106" s="555"/>
      <c r="P106" s="555"/>
      <c r="Q106" s="555"/>
      <c r="R106" s="555"/>
      <c r="S106" s="555"/>
      <c r="T106" s="555"/>
      <c r="U106" s="555"/>
      <c r="V106" s="555"/>
      <c r="W106" s="555"/>
      <c r="X106" s="555"/>
      <c r="Y106" s="555"/>
      <c r="Z106" s="555"/>
      <c r="AA106" s="555"/>
      <c r="AB106" s="555"/>
      <c r="AC106" s="555"/>
      <c r="AD106" s="555"/>
      <c r="AE106" s="555"/>
      <c r="AF106" s="555"/>
      <c r="AG106" s="555"/>
      <c r="AH106" s="555"/>
      <c r="AI106" s="555"/>
      <c r="AJ106" s="555"/>
      <c r="AK106" s="555"/>
      <c r="AL106" s="555"/>
      <c r="AM106" s="555"/>
      <c r="AN106" s="555"/>
      <c r="AO106" s="555"/>
      <c r="AP106" s="555"/>
      <c r="AQ106" s="555"/>
      <c r="AR106" s="555"/>
      <c r="AS106" s="555"/>
      <c r="AT106" s="555"/>
      <c r="AU106" s="555"/>
      <c r="AV106" s="555"/>
      <c r="AW106" s="555"/>
      <c r="AX106" s="555"/>
      <c r="AY106" s="555"/>
      <c r="AZ106" s="555"/>
      <c r="BA106" s="555"/>
      <c r="BB106" s="555"/>
      <c r="BC106" s="555"/>
      <c r="BD106" s="555"/>
      <c r="BE106" s="555"/>
      <c r="BF106" s="555"/>
      <c r="BG106" s="555"/>
      <c r="BH106" s="555"/>
      <c r="BI106" s="555"/>
      <c r="BJ106" s="555"/>
      <c r="BK106" s="555"/>
      <c r="BL106" s="555"/>
      <c r="BM106" s="555"/>
      <c r="BN106" s="555"/>
      <c r="BO106" s="555"/>
      <c r="BP106" s="555"/>
      <c r="BQ106" s="555"/>
      <c r="BR106" s="555"/>
      <c r="BS106" s="555"/>
      <c r="BT106" s="555"/>
      <c r="BU106" s="555"/>
      <c r="BV106" s="555"/>
      <c r="BW106" s="555"/>
      <c r="BX106" s="555"/>
      <c r="BY106" s="555"/>
      <c r="BZ106" s="555"/>
      <c r="CA106" s="555"/>
      <c r="CB106" s="555"/>
      <c r="CC106" s="555"/>
      <c r="CD106" s="555"/>
      <c r="CE106" s="555"/>
      <c r="CF106" s="555"/>
      <c r="CG106" s="555"/>
      <c r="CH106" s="555"/>
      <c r="CI106" s="555"/>
      <c r="CJ106" s="555"/>
      <c r="CK106" s="555"/>
      <c r="CL106" s="555"/>
      <c r="CM106" s="555"/>
      <c r="CN106" s="555"/>
      <c r="CO106" s="555"/>
      <c r="CP106" s="555"/>
      <c r="CQ106" s="555"/>
      <c r="CR106" s="555"/>
      <c r="CS106" s="555"/>
      <c r="CT106" s="555"/>
      <c r="CU106" s="555"/>
      <c r="CV106" s="555"/>
      <c r="CW106" s="555"/>
      <c r="CX106" s="555"/>
      <c r="CY106" s="555"/>
      <c r="CZ106" s="555"/>
      <c r="DA106" s="555"/>
      <c r="DB106" s="555"/>
    </row>
    <row r="107" spans="1:106" x14ac:dyDescent="0.3">
      <c r="A107" s="726" t="str">
        <f>'11. Detail Managment Report'!C33</f>
        <v>1. Stock Turnover Days (STD)</v>
      </c>
      <c r="B107" s="727" t="s">
        <v>806</v>
      </c>
      <c r="C107" s="727">
        <v>4</v>
      </c>
      <c r="D107" s="758">
        <f>'9. Inputs-Analysis'!D36</f>
        <v>823.72780049574567</v>
      </c>
      <c r="E107" s="747">
        <v>0</v>
      </c>
    </row>
    <row r="108" spans="1:106" x14ac:dyDescent="0.3">
      <c r="A108" s="736"/>
      <c r="B108" s="727" t="s">
        <v>807</v>
      </c>
      <c r="C108" s="727">
        <v>3</v>
      </c>
      <c r="D108" s="731"/>
      <c r="E108" s="750"/>
    </row>
    <row r="109" spans="1:106" x14ac:dyDescent="0.3">
      <c r="A109" s="736"/>
      <c r="B109" s="727" t="s">
        <v>791</v>
      </c>
      <c r="C109" s="727">
        <v>2</v>
      </c>
      <c r="D109" s="731"/>
      <c r="E109" s="750"/>
    </row>
    <row r="110" spans="1:106" x14ac:dyDescent="0.3">
      <c r="A110" s="736"/>
      <c r="B110" s="727" t="s">
        <v>808</v>
      </c>
      <c r="C110" s="727">
        <v>1</v>
      </c>
      <c r="D110" s="731"/>
      <c r="E110" s="750"/>
    </row>
    <row r="111" spans="1:106" x14ac:dyDescent="0.3">
      <c r="A111" s="736"/>
      <c r="B111" s="727" t="s">
        <v>717</v>
      </c>
      <c r="C111" s="727">
        <v>0</v>
      </c>
      <c r="D111" s="731"/>
      <c r="E111" s="750"/>
    </row>
    <row r="112" spans="1:106" x14ac:dyDescent="0.3">
      <c r="A112" s="736"/>
      <c r="B112" s="727"/>
      <c r="C112" s="727"/>
      <c r="D112" s="731"/>
      <c r="E112" s="750"/>
    </row>
    <row r="113" spans="1:5" x14ac:dyDescent="0.3">
      <c r="A113" s="736"/>
      <c r="B113" s="727"/>
      <c r="C113" s="727"/>
      <c r="D113" s="731"/>
      <c r="E113" s="750"/>
    </row>
    <row r="114" spans="1:5" x14ac:dyDescent="0.3">
      <c r="A114" s="736"/>
      <c r="B114" s="727"/>
      <c r="C114" s="727"/>
      <c r="D114" s="731"/>
      <c r="E114" s="750"/>
    </row>
    <row r="115" spans="1:5" ht="28" x14ac:dyDescent="0.3">
      <c r="A115" s="726" t="str">
        <f>'11. Detail Managment Report'!C34</f>
        <v>2. Trade Debtor Collection Days (TDCD)</v>
      </c>
      <c r="B115" s="727" t="s">
        <v>498</v>
      </c>
      <c r="C115" s="727">
        <v>5</v>
      </c>
      <c r="D115" s="758">
        <f>'9. Inputs-Analysis'!D39</f>
        <v>89.219451744334833</v>
      </c>
      <c r="E115" s="751">
        <f>IF(D115&lt;30,5,IF(D115&lt;45,4,IF(D115&lt;60,2,0)))</f>
        <v>0</v>
      </c>
    </row>
    <row r="116" spans="1:5" x14ac:dyDescent="0.3">
      <c r="A116" s="736"/>
      <c r="B116" s="727" t="s">
        <v>503</v>
      </c>
      <c r="C116" s="727">
        <v>4</v>
      </c>
      <c r="D116" s="731"/>
      <c r="E116" s="753"/>
    </row>
    <row r="117" spans="1:5" x14ac:dyDescent="0.3">
      <c r="A117" s="736"/>
      <c r="B117" s="727" t="s">
        <v>504</v>
      </c>
      <c r="C117" s="727">
        <v>2</v>
      </c>
      <c r="D117" s="731"/>
      <c r="E117" s="753"/>
    </row>
    <row r="118" spans="1:5" x14ac:dyDescent="0.3">
      <c r="A118" s="736"/>
      <c r="B118" s="727" t="s">
        <v>505</v>
      </c>
      <c r="C118" s="727">
        <v>0</v>
      </c>
      <c r="D118" s="731"/>
      <c r="E118" s="753"/>
    </row>
    <row r="119" spans="1:5" x14ac:dyDescent="0.3">
      <c r="A119" s="736"/>
      <c r="B119" s="727"/>
      <c r="C119" s="727"/>
      <c r="D119" s="731"/>
      <c r="E119" s="753"/>
    </row>
    <row r="120" spans="1:5" x14ac:dyDescent="0.3">
      <c r="A120" s="736"/>
      <c r="B120" s="727"/>
      <c r="C120" s="727"/>
      <c r="D120" s="731"/>
      <c r="E120" s="753"/>
    </row>
    <row r="121" spans="1:5" x14ac:dyDescent="0.3">
      <c r="A121" s="736"/>
      <c r="B121" s="727"/>
      <c r="C121" s="727"/>
      <c r="D121" s="731"/>
      <c r="E121" s="753"/>
    </row>
    <row r="122" spans="1:5" x14ac:dyDescent="0.3">
      <c r="A122" s="726" t="str">
        <f>'11. Detail Managment Report'!C35</f>
        <v>3. Asset Turnover (AT)</v>
      </c>
      <c r="B122" s="727" t="s">
        <v>765</v>
      </c>
      <c r="C122" s="727">
        <v>5</v>
      </c>
      <c r="D122" s="746">
        <f>'9. Inputs-Analysis'!D42</f>
        <v>0.35386478561776608</v>
      </c>
      <c r="E122" s="751">
        <f>IF(D122&gt;50%,5,IF(D122&gt;=20%,4,IF(D122&gt;=10%,2,0)))</f>
        <v>4</v>
      </c>
    </row>
    <row r="123" spans="1:5" x14ac:dyDescent="0.3">
      <c r="A123" s="736"/>
      <c r="B123" s="727" t="s">
        <v>766</v>
      </c>
      <c r="C123" s="727">
        <v>4</v>
      </c>
      <c r="D123" s="731"/>
      <c r="E123" s="753"/>
    </row>
    <row r="124" spans="1:5" x14ac:dyDescent="0.3">
      <c r="A124" s="736"/>
      <c r="B124" s="727" t="s">
        <v>767</v>
      </c>
      <c r="C124" s="727">
        <v>2</v>
      </c>
      <c r="D124" s="731"/>
      <c r="E124" s="753"/>
    </row>
    <row r="125" spans="1:5" x14ac:dyDescent="0.3">
      <c r="A125" s="736"/>
      <c r="B125" s="727" t="s">
        <v>768</v>
      </c>
      <c r="C125" s="727">
        <v>0</v>
      </c>
      <c r="D125" s="731"/>
      <c r="E125" s="753"/>
    </row>
    <row r="126" spans="1:5" x14ac:dyDescent="0.3">
      <c r="A126" s="736"/>
      <c r="B126" s="727"/>
      <c r="C126" s="727"/>
      <c r="D126" s="731"/>
      <c r="E126" s="753"/>
    </row>
    <row r="127" spans="1:5" x14ac:dyDescent="0.3">
      <c r="A127" s="736"/>
      <c r="B127" s="727"/>
      <c r="C127" s="727"/>
      <c r="D127" s="731"/>
      <c r="E127" s="753"/>
    </row>
    <row r="128" spans="1:5" x14ac:dyDescent="0.3">
      <c r="A128" s="736"/>
      <c r="B128" s="727"/>
      <c r="C128" s="727"/>
      <c r="D128" s="731"/>
      <c r="E128" s="753"/>
    </row>
    <row r="129" spans="1:106" s="719" customFormat="1" x14ac:dyDescent="0.3">
      <c r="A129" s="723" t="s">
        <v>446</v>
      </c>
      <c r="B129" s="743"/>
      <c r="C129" s="743">
        <v>5</v>
      </c>
      <c r="D129" s="724"/>
      <c r="E129" s="725">
        <f>E130+E137</f>
        <v>2</v>
      </c>
      <c r="F129" s="555"/>
      <c r="G129" s="555"/>
      <c r="H129" s="555"/>
      <c r="I129" s="555"/>
      <c r="J129" s="555"/>
      <c r="K129" s="555"/>
      <c r="L129" s="555"/>
      <c r="M129" s="555"/>
      <c r="N129" s="555"/>
      <c r="O129" s="555"/>
      <c r="P129" s="555"/>
      <c r="Q129" s="555"/>
      <c r="R129" s="555"/>
      <c r="S129" s="555"/>
      <c r="T129" s="555"/>
      <c r="U129" s="555"/>
      <c r="V129" s="555"/>
      <c r="W129" s="555"/>
      <c r="X129" s="555"/>
      <c r="Y129" s="555"/>
      <c r="Z129" s="555"/>
      <c r="AA129" s="555"/>
      <c r="AB129" s="555"/>
      <c r="AC129" s="555"/>
      <c r="AD129" s="555"/>
      <c r="AE129" s="555"/>
      <c r="AF129" s="555"/>
      <c r="AG129" s="555"/>
      <c r="AH129" s="555"/>
      <c r="AI129" s="555"/>
      <c r="AJ129" s="555"/>
      <c r="AK129" s="555"/>
      <c r="AL129" s="555"/>
      <c r="AM129" s="555"/>
      <c r="AN129" s="555"/>
      <c r="AO129" s="555"/>
      <c r="AP129" s="555"/>
      <c r="AQ129" s="555"/>
      <c r="AR129" s="555"/>
      <c r="AS129" s="555"/>
      <c r="AT129" s="555"/>
      <c r="AU129" s="555"/>
      <c r="AV129" s="555"/>
      <c r="AW129" s="555"/>
      <c r="AX129" s="555"/>
      <c r="AY129" s="555"/>
      <c r="AZ129" s="555"/>
      <c r="BA129" s="555"/>
      <c r="BB129" s="555"/>
      <c r="BC129" s="555"/>
      <c r="BD129" s="555"/>
      <c r="BE129" s="555"/>
      <c r="BF129" s="555"/>
      <c r="BG129" s="555"/>
      <c r="BH129" s="555"/>
      <c r="BI129" s="555"/>
      <c r="BJ129" s="555"/>
      <c r="BK129" s="555"/>
      <c r="BL129" s="555"/>
      <c r="BM129" s="555"/>
      <c r="BN129" s="555"/>
      <c r="BO129" s="555"/>
      <c r="BP129" s="555"/>
      <c r="BQ129" s="555"/>
      <c r="BR129" s="555"/>
      <c r="BS129" s="555"/>
      <c r="BT129" s="555"/>
      <c r="BU129" s="555"/>
      <c r="BV129" s="555"/>
      <c r="BW129" s="555"/>
      <c r="BX129" s="555"/>
      <c r="BY129" s="555"/>
      <c r="BZ129" s="555"/>
      <c r="CA129" s="555"/>
      <c r="CB129" s="555"/>
      <c r="CC129" s="555"/>
      <c r="CD129" s="555"/>
      <c r="CE129" s="555"/>
      <c r="CF129" s="555"/>
      <c r="CG129" s="555"/>
      <c r="CH129" s="555"/>
      <c r="CI129" s="555"/>
      <c r="CJ129" s="555"/>
      <c r="CK129" s="555"/>
      <c r="CL129" s="555"/>
      <c r="CM129" s="555"/>
      <c r="CN129" s="555"/>
      <c r="CO129" s="555"/>
      <c r="CP129" s="555"/>
      <c r="CQ129" s="555"/>
      <c r="CR129" s="555"/>
      <c r="CS129" s="555"/>
      <c r="CT129" s="555"/>
      <c r="CU129" s="555"/>
      <c r="CV129" s="555"/>
      <c r="CW129" s="555"/>
      <c r="CX129" s="555"/>
      <c r="CY129" s="555"/>
      <c r="CZ129" s="555"/>
      <c r="DA129" s="555"/>
      <c r="DB129" s="555"/>
    </row>
    <row r="130" spans="1:106" x14ac:dyDescent="0.3">
      <c r="A130" s="726" t="str">
        <f>'11. Detail Managment Report'!C37</f>
        <v>1. Operating Cash Flow to Sales (CFS)</v>
      </c>
      <c r="B130" s="727" t="s">
        <v>474</v>
      </c>
      <c r="C130" s="727">
        <v>3</v>
      </c>
      <c r="D130" s="746">
        <f>'9. Inputs-Analysis'!D45</f>
        <v>7.4443631180108563E-2</v>
      </c>
      <c r="E130" s="747">
        <f>IF(D130&gt;=10%,3,IF(D130&gt;=3%,2,IF(D130&gt;=2%,1,0)))</f>
        <v>2</v>
      </c>
    </row>
    <row r="131" spans="1:106" x14ac:dyDescent="0.3">
      <c r="A131" s="736"/>
      <c r="B131" s="727" t="s">
        <v>742</v>
      </c>
      <c r="C131" s="727">
        <v>2</v>
      </c>
      <c r="D131" s="731"/>
      <c r="E131" s="750"/>
    </row>
    <row r="132" spans="1:106" x14ac:dyDescent="0.3">
      <c r="A132" s="736"/>
      <c r="B132" s="727" t="s">
        <v>719</v>
      </c>
      <c r="C132" s="727">
        <v>1</v>
      </c>
      <c r="D132" s="731"/>
      <c r="E132" s="750"/>
    </row>
    <row r="133" spans="1:106" x14ac:dyDescent="0.3">
      <c r="A133" s="736"/>
      <c r="B133" s="727" t="s">
        <v>678</v>
      </c>
      <c r="C133" s="727">
        <v>0</v>
      </c>
      <c r="D133" s="731"/>
      <c r="E133" s="750"/>
    </row>
    <row r="134" spans="1:106" x14ac:dyDescent="0.3">
      <c r="A134" s="736"/>
      <c r="B134" s="727"/>
      <c r="C134" s="727"/>
      <c r="D134" s="731"/>
      <c r="E134" s="750"/>
    </row>
    <row r="135" spans="1:106" x14ac:dyDescent="0.3">
      <c r="A135" s="736"/>
      <c r="B135" s="727"/>
      <c r="C135" s="727"/>
      <c r="D135" s="731"/>
      <c r="E135" s="750"/>
    </row>
    <row r="136" spans="1:106" x14ac:dyDescent="0.3">
      <c r="A136" s="736"/>
      <c r="B136" s="727"/>
      <c r="C136" s="727"/>
      <c r="D136" s="731"/>
      <c r="E136" s="750"/>
    </row>
    <row r="137" spans="1:106" x14ac:dyDescent="0.3">
      <c r="A137" s="726" t="str">
        <f>'11. Detail Managment Report'!C38</f>
        <v>2. Cashflow based accrual ratio (CAR)</v>
      </c>
      <c r="B137" s="727" t="s">
        <v>402</v>
      </c>
      <c r="C137" s="727">
        <v>2</v>
      </c>
      <c r="D137" s="728">
        <f>'9. Inputs-Analysis'!D48</f>
        <v>7.7292884750961464E-3</v>
      </c>
      <c r="E137" s="751">
        <f>IF(D137&lt;0,2,IF(D137&gt;0,0,IF(D137=0,1,0)))</f>
        <v>0</v>
      </c>
    </row>
    <row r="138" spans="1:106" x14ac:dyDescent="0.3">
      <c r="A138" s="736"/>
      <c r="B138" s="727" t="s">
        <v>978</v>
      </c>
      <c r="C138" s="727">
        <v>0</v>
      </c>
      <c r="D138" s="731"/>
      <c r="E138" s="753"/>
    </row>
    <row r="139" spans="1:106" x14ac:dyDescent="0.3">
      <c r="A139" s="736"/>
      <c r="B139" s="735" t="s">
        <v>579</v>
      </c>
      <c r="C139" s="735"/>
      <c r="D139" s="731"/>
      <c r="E139" s="753"/>
    </row>
    <row r="140" spans="1:106" x14ac:dyDescent="0.3">
      <c r="A140" s="736"/>
      <c r="B140" s="735"/>
      <c r="C140" s="735"/>
      <c r="D140" s="731"/>
      <c r="E140" s="753"/>
      <c r="H140" s="555" t="s">
        <v>868</v>
      </c>
    </row>
    <row r="141" spans="1:106" x14ac:dyDescent="0.3">
      <c r="A141" s="759" t="s">
        <v>281</v>
      </c>
      <c r="B141" s="760"/>
      <c r="C141" s="760">
        <f>C129+C106+C75+C52+C36+C18</f>
        <v>60</v>
      </c>
      <c r="D141" s="760"/>
      <c r="E141" s="761">
        <f>E129+E106+E75+E52+E36+E18</f>
        <v>27</v>
      </c>
    </row>
    <row r="142" spans="1:106" s="591" customFormat="1" ht="15.75" customHeight="1" thickBot="1" x14ac:dyDescent="0.35">
      <c r="A142" s="762" t="s">
        <v>409</v>
      </c>
      <c r="B142" s="763"/>
      <c r="C142" s="1108">
        <f>E141/C141</f>
        <v>0.45</v>
      </c>
      <c r="D142" s="1108"/>
      <c r="E142" s="1109"/>
      <c r="F142" s="555"/>
      <c r="G142" s="555"/>
      <c r="H142" s="555"/>
      <c r="I142" s="555"/>
      <c r="J142" s="555"/>
      <c r="K142" s="555"/>
      <c r="L142" s="555"/>
      <c r="M142" s="555"/>
      <c r="N142" s="555"/>
      <c r="O142" s="555"/>
      <c r="P142" s="555"/>
      <c r="Q142" s="555"/>
      <c r="R142" s="555"/>
      <c r="S142" s="555"/>
      <c r="T142" s="555"/>
      <c r="U142" s="555"/>
      <c r="V142" s="555"/>
      <c r="W142" s="555"/>
      <c r="X142" s="555"/>
      <c r="Y142" s="555"/>
      <c r="Z142" s="555"/>
      <c r="AA142" s="555"/>
      <c r="AB142" s="555"/>
      <c r="AC142" s="555"/>
      <c r="AD142" s="555"/>
      <c r="AE142" s="555"/>
      <c r="AF142" s="555"/>
      <c r="AG142" s="555"/>
      <c r="AH142" s="555"/>
      <c r="AI142" s="555"/>
      <c r="AJ142" s="555"/>
      <c r="AK142" s="555"/>
      <c r="AL142" s="555"/>
      <c r="AM142" s="555"/>
      <c r="AN142" s="555"/>
      <c r="AO142" s="555"/>
      <c r="AP142" s="555"/>
      <c r="AQ142" s="555"/>
      <c r="AR142" s="555"/>
      <c r="AS142" s="555"/>
      <c r="AT142" s="555"/>
      <c r="AU142" s="555"/>
      <c r="AV142" s="555"/>
      <c r="AW142" s="555"/>
      <c r="AX142" s="555"/>
      <c r="AY142" s="555"/>
      <c r="AZ142" s="555"/>
      <c r="BA142" s="555"/>
      <c r="BB142" s="555"/>
      <c r="BC142" s="555"/>
      <c r="BD142" s="555"/>
      <c r="BE142" s="555"/>
      <c r="BF142" s="555"/>
      <c r="BG142" s="555"/>
      <c r="BH142" s="555"/>
      <c r="BI142" s="555"/>
      <c r="BJ142" s="555"/>
      <c r="BK142" s="555"/>
      <c r="BL142" s="555"/>
      <c r="BM142" s="555"/>
      <c r="BN142" s="555"/>
      <c r="BO142" s="555"/>
      <c r="BP142" s="555"/>
      <c r="BQ142" s="555"/>
      <c r="BR142" s="555"/>
      <c r="BS142" s="555"/>
      <c r="BT142" s="555"/>
      <c r="BU142" s="555"/>
      <c r="BV142" s="555"/>
      <c r="BW142" s="555"/>
      <c r="BX142" s="555"/>
      <c r="BY142" s="555"/>
      <c r="BZ142" s="555"/>
      <c r="CA142" s="555"/>
      <c r="CB142" s="555"/>
      <c r="CC142" s="555"/>
      <c r="CD142" s="555"/>
      <c r="CE142" s="555"/>
      <c r="CF142" s="555"/>
      <c r="CG142" s="555"/>
      <c r="CH142" s="555"/>
      <c r="CI142" s="555"/>
      <c r="CJ142" s="555"/>
      <c r="CK142" s="555"/>
      <c r="CL142" s="555"/>
      <c r="CM142" s="555"/>
      <c r="CN142" s="555"/>
      <c r="CO142" s="555"/>
      <c r="CP142" s="555"/>
      <c r="CQ142" s="555"/>
      <c r="CR142" s="555"/>
      <c r="CS142" s="555"/>
      <c r="CT142" s="555"/>
      <c r="CU142" s="555"/>
      <c r="CV142" s="555"/>
      <c r="CW142" s="555"/>
      <c r="CX142" s="555"/>
      <c r="CY142" s="555"/>
      <c r="CZ142" s="555"/>
      <c r="DA142" s="555"/>
      <c r="DB142" s="555"/>
    </row>
  </sheetData>
  <sheetProtection selectLockedCells="1" selectUnlockedCells="1"/>
  <mergeCells count="6">
    <mergeCell ref="C142:E142"/>
    <mergeCell ref="A1:E1"/>
    <mergeCell ref="A2:E2"/>
    <mergeCell ref="D5:D6"/>
    <mergeCell ref="D7:D8"/>
    <mergeCell ref="A16:E16"/>
  </mergeCells>
  <conditionalFormatting sqref="D7:E7">
    <cfRule type="cellIs" dxfId="4"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933FF"/>
  </sheetPr>
  <dimension ref="A1:DB142"/>
  <sheetViews>
    <sheetView view="pageBreakPreview" topLeftCell="A2" zoomScaleNormal="90" zoomScaleSheetLayoutView="100" zoomScalePageLayoutView="90" workbookViewId="0">
      <selection activeCell="E101" sqref="E101"/>
    </sheetView>
  </sheetViews>
  <sheetFormatPr defaultColWidth="9.1796875" defaultRowHeight="14" x14ac:dyDescent="0.3"/>
  <cols>
    <col min="1" max="1" width="37.54296875" style="764" customWidth="1"/>
    <col min="2" max="2" width="30.54296875" style="652" customWidth="1"/>
    <col min="3" max="3" width="14.81640625" style="652" customWidth="1"/>
    <col min="4" max="4" width="15.453125" style="765" customWidth="1"/>
    <col min="5" max="5" width="15.26953125" style="765" customWidth="1"/>
    <col min="6" max="16384" width="9.1796875" style="555"/>
  </cols>
  <sheetData>
    <row r="1" spans="1:106" ht="35.25" hidden="1" customHeight="1" thickBot="1" x14ac:dyDescent="0.35">
      <c r="A1" s="1110" t="s">
        <v>125</v>
      </c>
      <c r="B1" s="1111"/>
      <c r="C1" s="1111"/>
      <c r="D1" s="1111"/>
      <c r="E1" s="1112"/>
    </row>
    <row r="2" spans="1:106" ht="28.5" customHeight="1" thickBot="1" x14ac:dyDescent="0.35">
      <c r="A2" s="1113" t="s">
        <v>551</v>
      </c>
      <c r="B2" s="1114"/>
      <c r="C2" s="1114"/>
      <c r="D2" s="1114"/>
      <c r="E2" s="1114"/>
    </row>
    <row r="3" spans="1:106" ht="40.5" customHeight="1" x14ac:dyDescent="0.3">
      <c r="A3" s="702" t="s">
        <v>412</v>
      </c>
      <c r="B3" s="703" t="str">
        <f>'11. Detail Managment Report'!D2</f>
        <v>Outpace Spinning Mills Ltd</v>
      </c>
      <c r="C3" s="704"/>
      <c r="D3" s="705"/>
      <c r="E3" s="706"/>
    </row>
    <row r="4" spans="1:106" ht="31.5" customHeight="1" x14ac:dyDescent="0.3">
      <c r="A4" s="707" t="s">
        <v>410</v>
      </c>
      <c r="B4" s="708" t="str">
        <f>'11. Detail Managment Report'!D3</f>
        <v>Outpace Spinning Mills Ltd</v>
      </c>
      <c r="C4" s="709"/>
      <c r="D4" s="710"/>
      <c r="E4" s="710"/>
    </row>
    <row r="5" spans="1:106" ht="34.5" customHeight="1" x14ac:dyDescent="0.3">
      <c r="A5" s="711" t="s">
        <v>214</v>
      </c>
      <c r="B5" s="708" t="str">
        <f>'11. Detail Managment Report'!D4</f>
        <v>Outright Group</v>
      </c>
      <c r="C5" s="712"/>
      <c r="D5" s="1115"/>
      <c r="E5" s="713"/>
    </row>
    <row r="6" spans="1:106" ht="26.25" customHeight="1" x14ac:dyDescent="0.3">
      <c r="A6" s="707" t="s">
        <v>411</v>
      </c>
      <c r="B6" s="615" t="str">
        <f>'11. Detail Managment Report'!D5</f>
        <v xml:space="preserve">2.  Textile </v>
      </c>
      <c r="C6" s="714"/>
      <c r="D6" s="1115"/>
      <c r="E6" s="713"/>
      <c r="S6" s="555" t="s">
        <v>216</v>
      </c>
      <c r="T6" s="715">
        <f>C142</f>
        <v>0.45</v>
      </c>
      <c r="U6" s="715">
        <f>1-T6</f>
        <v>0.55000000000000004</v>
      </c>
    </row>
    <row r="7" spans="1:106" x14ac:dyDescent="0.3">
      <c r="A7" s="707" t="s">
        <v>413</v>
      </c>
      <c r="B7" s="708" t="str">
        <f>'11. Detail Managment Report'!D6</f>
        <v>Standard</v>
      </c>
      <c r="C7" s="712"/>
      <c r="D7" s="1116"/>
      <c r="E7" s="713"/>
    </row>
    <row r="8" spans="1:106" x14ac:dyDescent="0.3">
      <c r="A8" s="707" t="s">
        <v>85</v>
      </c>
      <c r="B8" s="708" t="str">
        <f>'11. Detail Managment Report'!D7</f>
        <v>Unaudited</v>
      </c>
      <c r="C8" s="650"/>
      <c r="D8" s="1116"/>
      <c r="E8" s="716"/>
    </row>
    <row r="9" spans="1:106" x14ac:dyDescent="0.3">
      <c r="A9" s="707" t="s">
        <v>414</v>
      </c>
      <c r="B9" s="708" t="str">
        <f>'11. Detail Managment Report'!D8</f>
        <v>Dewan Nazrul Islam &amp; Co.</v>
      </c>
      <c r="C9" s="714"/>
      <c r="D9" s="713"/>
      <c r="E9" s="713"/>
    </row>
    <row r="10" spans="1:106" x14ac:dyDescent="0.3">
      <c r="A10" s="707" t="s">
        <v>415</v>
      </c>
      <c r="B10" s="708" t="str">
        <f>'11. Detail Managment Report'!D9</f>
        <v>Md. Matiur Rahman, SRM</v>
      </c>
      <c r="C10" s="714"/>
      <c r="D10" s="713"/>
      <c r="E10" s="713"/>
    </row>
    <row r="11" spans="1:106" x14ac:dyDescent="0.3">
      <c r="A11" s="707" t="s">
        <v>79</v>
      </c>
      <c r="B11" s="708" t="str">
        <f>'11. Detail Managment Report'!D10</f>
        <v>Farhana Afrin, SM</v>
      </c>
      <c r="C11" s="714"/>
      <c r="D11" s="717"/>
      <c r="E11" s="717"/>
    </row>
    <row r="12" spans="1:106" ht="15" hidden="1" customHeight="1" x14ac:dyDescent="0.3">
      <c r="A12" s="707"/>
      <c r="B12" s="708"/>
      <c r="C12" s="714"/>
      <c r="D12" s="717"/>
      <c r="E12" s="668"/>
    </row>
    <row r="13" spans="1:106" x14ac:dyDescent="0.3">
      <c r="A13" s="707" t="s">
        <v>418</v>
      </c>
      <c r="B13" s="708">
        <f>'11. Detail Managment Report'!D12</f>
        <v>45652</v>
      </c>
      <c r="C13" s="714"/>
      <c r="D13" s="717"/>
      <c r="E13" s="717"/>
    </row>
    <row r="14" spans="1:106" x14ac:dyDescent="0.3">
      <c r="A14" s="707" t="s">
        <v>215</v>
      </c>
      <c r="B14" s="708">
        <f>'11. Detail Managment Report'!D13</f>
        <v>45473</v>
      </c>
      <c r="C14" s="714"/>
      <c r="D14" s="717"/>
      <c r="E14" s="717"/>
    </row>
    <row r="15" spans="1:106" ht="14.5" thickBot="1" x14ac:dyDescent="0.35">
      <c r="A15" s="718"/>
      <c r="B15" s="712"/>
      <c r="C15" s="714"/>
      <c r="D15" s="717"/>
      <c r="E15" s="717"/>
    </row>
    <row r="16" spans="1:106" s="719" customFormat="1" ht="22.5" customHeight="1" thickBot="1" x14ac:dyDescent="0.35">
      <c r="A16" s="1117" t="s">
        <v>265</v>
      </c>
      <c r="B16" s="1118"/>
      <c r="C16" s="1118"/>
      <c r="D16" s="1118"/>
      <c r="E16" s="1119"/>
      <c r="F16" s="555"/>
      <c r="G16" s="555"/>
      <c r="H16" s="555"/>
      <c r="I16" s="555"/>
      <c r="J16" s="555"/>
      <c r="K16" s="555"/>
      <c r="L16" s="55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c r="CX16" s="555"/>
      <c r="CY16" s="555"/>
      <c r="CZ16" s="555"/>
      <c r="DA16" s="555"/>
      <c r="DB16" s="555"/>
    </row>
    <row r="17" spans="1:5" ht="30.75" customHeight="1" x14ac:dyDescent="0.3">
      <c r="A17" s="720" t="s">
        <v>268</v>
      </c>
      <c r="B17" s="721" t="s">
        <v>225</v>
      </c>
      <c r="C17" s="721" t="s">
        <v>216</v>
      </c>
      <c r="D17" s="721" t="s">
        <v>226</v>
      </c>
      <c r="E17" s="722" t="s">
        <v>227</v>
      </c>
    </row>
    <row r="18" spans="1:5" ht="16.5" customHeight="1" x14ac:dyDescent="0.3">
      <c r="A18" s="723" t="s">
        <v>441</v>
      </c>
      <c r="B18" s="724"/>
      <c r="C18" s="724">
        <v>10</v>
      </c>
      <c r="D18" s="724"/>
      <c r="E18" s="725">
        <f>E19+E29</f>
        <v>3</v>
      </c>
    </row>
    <row r="19" spans="1:5" ht="28" x14ac:dyDescent="0.3">
      <c r="A19" s="726" t="str">
        <f>'11. Detail Managment Report'!C18</f>
        <v>1. Financial Debt to Tangible Net Worth (DTN)</v>
      </c>
      <c r="B19" s="727" t="s">
        <v>826</v>
      </c>
      <c r="C19" s="727">
        <v>7</v>
      </c>
      <c r="D19" s="728">
        <f>'9. Inputs-Analysis'!D4</f>
        <v>3.9252586061418495</v>
      </c>
      <c r="E19" s="729">
        <f>IF(D19&lt;0,0,IF(D19&lt;0.7,7,IF(D19&lt;=1,6,IF(D19&lt;=1.25,5,IF(D19&lt;=1.5,4,IF(D19&lt;=2,3,IF(D19&lt;=4,2,0)))))))</f>
        <v>2</v>
      </c>
    </row>
    <row r="20" spans="1:5" x14ac:dyDescent="0.3">
      <c r="A20" s="730"/>
      <c r="B20" s="727" t="s">
        <v>827</v>
      </c>
      <c r="C20" s="727">
        <v>6</v>
      </c>
      <c r="D20" s="731"/>
      <c r="E20" s="732"/>
    </row>
    <row r="21" spans="1:5" x14ac:dyDescent="0.3">
      <c r="A21" s="730"/>
      <c r="B21" s="727" t="s">
        <v>828</v>
      </c>
      <c r="C21" s="727">
        <v>5</v>
      </c>
      <c r="D21" s="731"/>
      <c r="E21" s="732"/>
    </row>
    <row r="22" spans="1:5" x14ac:dyDescent="0.3">
      <c r="A22" s="730"/>
      <c r="B22" s="727" t="s">
        <v>829</v>
      </c>
      <c r="C22" s="727">
        <v>4</v>
      </c>
      <c r="D22" s="731"/>
      <c r="E22" s="732"/>
    </row>
    <row r="23" spans="1:5" x14ac:dyDescent="0.3">
      <c r="A23" s="730"/>
      <c r="B23" s="727" t="s">
        <v>830</v>
      </c>
      <c r="C23" s="727">
        <v>3</v>
      </c>
      <c r="D23" s="731"/>
      <c r="E23" s="732"/>
    </row>
    <row r="24" spans="1:5" x14ac:dyDescent="0.3">
      <c r="A24" s="730"/>
      <c r="B24" s="727" t="s">
        <v>831</v>
      </c>
      <c r="C24" s="727">
        <v>2</v>
      </c>
      <c r="D24" s="731"/>
      <c r="E24" s="732"/>
    </row>
    <row r="25" spans="1:5" x14ac:dyDescent="0.3">
      <c r="A25" s="730"/>
      <c r="B25" s="727" t="s">
        <v>832</v>
      </c>
      <c r="C25" s="727">
        <v>0</v>
      </c>
      <c r="D25" s="731"/>
      <c r="E25" s="732"/>
    </row>
    <row r="26" spans="1:5" x14ac:dyDescent="0.3">
      <c r="A26" s="730"/>
      <c r="B26" s="727"/>
      <c r="C26" s="727"/>
      <c r="D26" s="731"/>
      <c r="E26" s="732"/>
    </row>
    <row r="27" spans="1:5" x14ac:dyDescent="0.3">
      <c r="A27" s="730"/>
      <c r="B27" s="727"/>
      <c r="C27" s="727"/>
      <c r="D27" s="731"/>
      <c r="E27" s="732"/>
    </row>
    <row r="28" spans="1:5" x14ac:dyDescent="0.3">
      <c r="A28" s="730"/>
      <c r="B28" s="727"/>
      <c r="C28" s="727"/>
      <c r="D28" s="731"/>
      <c r="E28" s="732"/>
    </row>
    <row r="29" spans="1:5" x14ac:dyDescent="0.3">
      <c r="A29" s="726" t="str">
        <f>'11. Detail Managment Report'!C19</f>
        <v>2. Financial Debt to Total Assets (DTA)</v>
      </c>
      <c r="B29" s="727" t="s">
        <v>462</v>
      </c>
      <c r="C29" s="727">
        <v>3</v>
      </c>
      <c r="D29" s="728">
        <f>'9. Inputs-Analysis'!D7</f>
        <v>0.78528910732277912</v>
      </c>
      <c r="E29" s="733">
        <f>IF(D29&lt;0,0,IF(D29&lt;0.25,3,IF(D29&lt;0.75,2,IF(D29&lt;1,1,0))))</f>
        <v>1</v>
      </c>
    </row>
    <row r="30" spans="1:5" x14ac:dyDescent="0.3">
      <c r="A30" s="726"/>
      <c r="B30" s="727" t="s">
        <v>482</v>
      </c>
      <c r="C30" s="727">
        <v>2</v>
      </c>
      <c r="D30" s="731"/>
      <c r="E30" s="734"/>
    </row>
    <row r="31" spans="1:5" x14ac:dyDescent="0.3">
      <c r="A31" s="730"/>
      <c r="B31" s="727" t="s">
        <v>483</v>
      </c>
      <c r="C31" s="727">
        <v>1</v>
      </c>
      <c r="D31" s="731"/>
      <c r="E31" s="734"/>
    </row>
    <row r="32" spans="1:5" x14ac:dyDescent="0.3">
      <c r="A32" s="730"/>
      <c r="B32" s="727" t="s">
        <v>463</v>
      </c>
      <c r="C32" s="727">
        <v>0</v>
      </c>
      <c r="D32" s="731"/>
      <c r="E32" s="734"/>
    </row>
    <row r="33" spans="1:106" x14ac:dyDescent="0.3">
      <c r="A33" s="730"/>
      <c r="B33" s="735"/>
      <c r="C33" s="735"/>
      <c r="D33" s="731"/>
      <c r="E33" s="734"/>
    </row>
    <row r="34" spans="1:106" x14ac:dyDescent="0.3">
      <c r="A34" s="730"/>
      <c r="B34" s="735"/>
      <c r="C34" s="735"/>
      <c r="D34" s="731"/>
      <c r="E34" s="734"/>
    </row>
    <row r="35" spans="1:106" x14ac:dyDescent="0.3">
      <c r="A35" s="736"/>
      <c r="B35" s="735"/>
      <c r="C35" s="735"/>
      <c r="D35" s="731"/>
      <c r="E35" s="734"/>
    </row>
    <row r="36" spans="1:106" s="719" customFormat="1" x14ac:dyDescent="0.3">
      <c r="A36" s="723" t="s">
        <v>442</v>
      </c>
      <c r="B36" s="737"/>
      <c r="C36" s="738">
        <v>10</v>
      </c>
      <c r="D36" s="737"/>
      <c r="E36" s="739">
        <f>E37+E45</f>
        <v>6</v>
      </c>
      <c r="F36" s="555"/>
      <c r="G36" s="555"/>
      <c r="H36" s="555"/>
      <c r="I36" s="555"/>
      <c r="J36" s="555"/>
      <c r="K36" s="555"/>
      <c r="L36" s="555"/>
      <c r="M36" s="555"/>
      <c r="N36" s="555"/>
      <c r="O36" s="555"/>
      <c r="P36" s="555"/>
      <c r="Q36" s="555"/>
      <c r="R36" s="555"/>
      <c r="S36" s="555"/>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c r="CX36" s="555"/>
      <c r="CY36" s="555"/>
      <c r="CZ36" s="555"/>
      <c r="DA36" s="555"/>
      <c r="DB36" s="555"/>
    </row>
    <row r="37" spans="1:106" ht="25.5" customHeight="1" x14ac:dyDescent="0.3">
      <c r="A37" s="726" t="str">
        <f>'11. Detail Managment Report'!C21</f>
        <v>1. Current Ratio (CR)</v>
      </c>
      <c r="B37" s="727" t="s">
        <v>749</v>
      </c>
      <c r="C37" s="727">
        <v>7</v>
      </c>
      <c r="D37" s="728">
        <f>'9. Inputs-Analysis'!D11</f>
        <v>1.040552151554528</v>
      </c>
      <c r="E37" s="729">
        <f>IF(D37&gt;1.5,7,IF(D37&gt;=1.01,6,IF(D37&gt;=0.75,5,IF(D37&gt;=0.51,3, IF(D37&gt;=0.35,2,0)))))</f>
        <v>6</v>
      </c>
    </row>
    <row r="38" spans="1:106" x14ac:dyDescent="0.3">
      <c r="A38" s="726"/>
      <c r="B38" s="727"/>
      <c r="C38" s="727">
        <v>6</v>
      </c>
      <c r="D38" s="740"/>
      <c r="E38" s="732"/>
    </row>
    <row r="39" spans="1:106" x14ac:dyDescent="0.3">
      <c r="A39" s="736"/>
      <c r="B39" s="727" t="s">
        <v>484</v>
      </c>
      <c r="C39" s="727"/>
      <c r="D39" s="731"/>
      <c r="E39" s="732"/>
    </row>
    <row r="40" spans="1:106" x14ac:dyDescent="0.3">
      <c r="A40" s="736"/>
      <c r="B40" s="727" t="s">
        <v>750</v>
      </c>
      <c r="C40" s="727">
        <v>5</v>
      </c>
      <c r="D40" s="731"/>
      <c r="E40" s="732"/>
    </row>
    <row r="41" spans="1:106" x14ac:dyDescent="0.3">
      <c r="A41" s="736"/>
      <c r="B41" s="727" t="s">
        <v>751</v>
      </c>
      <c r="C41" s="727">
        <v>3</v>
      </c>
      <c r="D41" s="731"/>
      <c r="E41" s="732"/>
    </row>
    <row r="42" spans="1:106" x14ac:dyDescent="0.3">
      <c r="A42" s="736"/>
      <c r="B42" s="727" t="s">
        <v>752</v>
      </c>
      <c r="C42" s="727">
        <v>2</v>
      </c>
      <c r="D42" s="731"/>
      <c r="E42" s="732"/>
    </row>
    <row r="43" spans="1:106" x14ac:dyDescent="0.3">
      <c r="A43" s="736"/>
      <c r="B43" s="727" t="s">
        <v>753</v>
      </c>
      <c r="C43" s="727">
        <v>0</v>
      </c>
      <c r="D43" s="731"/>
      <c r="E43" s="732"/>
    </row>
    <row r="44" spans="1:106" x14ac:dyDescent="0.3">
      <c r="A44" s="736"/>
      <c r="B44" s="735"/>
      <c r="C44" s="735"/>
      <c r="D44" s="731"/>
      <c r="E44" s="732"/>
    </row>
    <row r="45" spans="1:106" x14ac:dyDescent="0.3">
      <c r="A45" s="726" t="str">
        <f>'11. Detail Managment Report'!C22</f>
        <v>2. Cash Ratio (Cash)</v>
      </c>
      <c r="B45" s="727" t="s">
        <v>812</v>
      </c>
      <c r="C45" s="727">
        <v>3</v>
      </c>
      <c r="D45" s="728">
        <f>'9. Inputs-Analysis'!D10</f>
        <v>6.1472340974284764E-3</v>
      </c>
      <c r="E45" s="733">
        <f>IF(D45&gt;0.1,3,IF(D45&gt;=0.05,2,IF(D45&gt;=0.03,1,0)))</f>
        <v>0</v>
      </c>
    </row>
    <row r="46" spans="1:106" x14ac:dyDescent="0.3">
      <c r="A46" s="726"/>
      <c r="B46" s="727" t="s">
        <v>813</v>
      </c>
      <c r="C46" s="727">
        <v>2</v>
      </c>
      <c r="D46" s="731"/>
      <c r="E46" s="734"/>
    </row>
    <row r="47" spans="1:106" x14ac:dyDescent="0.3">
      <c r="A47" s="726"/>
      <c r="B47" s="727" t="s">
        <v>814</v>
      </c>
      <c r="C47" s="727">
        <v>1</v>
      </c>
      <c r="D47" s="731"/>
      <c r="E47" s="734"/>
    </row>
    <row r="48" spans="1:106" x14ac:dyDescent="0.3">
      <c r="A48" s="726"/>
      <c r="B48" s="727" t="s">
        <v>815</v>
      </c>
      <c r="C48" s="727">
        <v>0</v>
      </c>
      <c r="D48" s="731"/>
      <c r="E48" s="734"/>
    </row>
    <row r="49" spans="1:106" x14ac:dyDescent="0.3">
      <c r="A49" s="726"/>
      <c r="B49" s="727"/>
      <c r="C49" s="727"/>
      <c r="D49" s="731"/>
      <c r="E49" s="734"/>
    </row>
    <row r="50" spans="1:106" x14ac:dyDescent="0.3">
      <c r="A50" s="726"/>
      <c r="B50" s="727"/>
      <c r="C50" s="727"/>
      <c r="D50" s="731"/>
      <c r="E50" s="734"/>
    </row>
    <row r="51" spans="1:106" x14ac:dyDescent="0.3">
      <c r="A51" s="726"/>
      <c r="B51" s="741"/>
      <c r="C51" s="727"/>
      <c r="D51" s="731"/>
      <c r="E51" s="734"/>
    </row>
    <row r="52" spans="1:106" s="719" customFormat="1" ht="15" customHeight="1" x14ac:dyDescent="0.3">
      <c r="A52" s="742" t="s">
        <v>443</v>
      </c>
      <c r="B52" s="743"/>
      <c r="C52" s="743">
        <v>10</v>
      </c>
      <c r="D52" s="744"/>
      <c r="E52" s="745">
        <f>E53+E62+E69</f>
        <v>2</v>
      </c>
      <c r="F52" s="555"/>
      <c r="G52" s="555"/>
      <c r="H52" s="555"/>
      <c r="I52" s="555"/>
      <c r="J52" s="555"/>
      <c r="K52" s="555"/>
      <c r="L52" s="555"/>
      <c r="M52" s="555"/>
      <c r="N52" s="555"/>
      <c r="O52" s="555"/>
      <c r="P52" s="555"/>
      <c r="Q52" s="555"/>
      <c r="R52" s="555"/>
      <c r="S52" s="555"/>
      <c r="T52" s="555"/>
      <c r="U52" s="555"/>
      <c r="V52" s="555"/>
      <c r="W52" s="555"/>
      <c r="X52" s="555"/>
      <c r="Y52" s="555"/>
      <c r="Z52" s="555"/>
      <c r="AA52" s="555"/>
      <c r="AB52" s="555"/>
      <c r="AC52" s="555"/>
      <c r="AD52" s="555"/>
      <c r="AE52" s="555"/>
      <c r="AF52" s="555"/>
      <c r="AG52" s="555"/>
      <c r="AH52" s="555"/>
      <c r="AI52" s="555"/>
      <c r="AJ52" s="555"/>
      <c r="AK52" s="555"/>
      <c r="AL52" s="555"/>
      <c r="AM52" s="555"/>
      <c r="AN52" s="555"/>
      <c r="AO52" s="555"/>
      <c r="AP52" s="555"/>
      <c r="AQ52" s="555"/>
      <c r="AR52" s="555"/>
      <c r="AS52" s="555"/>
      <c r="AT52" s="555"/>
      <c r="AU52" s="555"/>
      <c r="AV52" s="555"/>
      <c r="AW52" s="555"/>
      <c r="AX52" s="555"/>
      <c r="AY52" s="555"/>
      <c r="AZ52" s="555"/>
      <c r="BA52" s="555"/>
      <c r="BB52" s="555"/>
      <c r="BC52" s="555"/>
      <c r="BD52" s="555"/>
      <c r="BE52" s="555"/>
      <c r="BF52" s="555"/>
      <c r="BG52" s="555"/>
      <c r="BH52" s="555"/>
      <c r="BI52" s="555"/>
      <c r="BJ52" s="555"/>
      <c r="BK52" s="555"/>
      <c r="BL52" s="555"/>
      <c r="BM52" s="555"/>
      <c r="BN52" s="555"/>
      <c r="BO52" s="555"/>
      <c r="BP52" s="555"/>
      <c r="BQ52" s="555"/>
      <c r="BR52" s="555"/>
      <c r="BS52" s="555"/>
      <c r="BT52" s="555"/>
      <c r="BU52" s="555"/>
      <c r="BV52" s="555"/>
      <c r="BW52" s="555"/>
      <c r="BX52" s="555"/>
      <c r="BY52" s="555"/>
      <c r="BZ52" s="555"/>
      <c r="CA52" s="555"/>
      <c r="CB52" s="555"/>
      <c r="CC52" s="555"/>
      <c r="CD52" s="555"/>
      <c r="CE52" s="555"/>
      <c r="CF52" s="555"/>
      <c r="CG52" s="555"/>
      <c r="CH52" s="555"/>
      <c r="CI52" s="555"/>
      <c r="CJ52" s="555"/>
      <c r="CK52" s="555"/>
      <c r="CL52" s="555"/>
      <c r="CM52" s="555"/>
      <c r="CN52" s="555"/>
      <c r="CO52" s="555"/>
      <c r="CP52" s="555"/>
      <c r="CQ52" s="555"/>
      <c r="CR52" s="555"/>
      <c r="CS52" s="555"/>
      <c r="CT52" s="555"/>
      <c r="CU52" s="555"/>
      <c r="CV52" s="555"/>
      <c r="CW52" s="555"/>
      <c r="CX52" s="555"/>
      <c r="CY52" s="555"/>
      <c r="CZ52" s="555"/>
      <c r="DA52" s="555"/>
      <c r="DB52" s="555"/>
    </row>
    <row r="53" spans="1:106" x14ac:dyDescent="0.3">
      <c r="A53" s="726" t="str">
        <f>'11. Detail Managment Report'!C24</f>
        <v>1. Net Profit Margin (NPM)</v>
      </c>
      <c r="B53" s="727" t="s">
        <v>685</v>
      </c>
      <c r="C53" s="727">
        <v>5</v>
      </c>
      <c r="D53" s="746">
        <f>'9. Inputs-Analysis'!D15</f>
        <v>5.4896988386267581E-2</v>
      </c>
      <c r="E53" s="747">
        <f>IF(D53&gt;10%,5,IF(D53&gt;=8%,4,IF(D53&gt;=6%,3,IF(D53&gt;=4%,2,IF(D53&gt;=2%,1,0)))))</f>
        <v>2</v>
      </c>
    </row>
    <row r="54" spans="1:106" x14ac:dyDescent="0.3">
      <c r="A54" s="748"/>
      <c r="B54" s="727" t="s">
        <v>686</v>
      </c>
      <c r="C54" s="727">
        <v>4</v>
      </c>
      <c r="D54" s="749"/>
      <c r="E54" s="750"/>
    </row>
    <row r="55" spans="1:106" x14ac:dyDescent="0.3">
      <c r="A55" s="748"/>
      <c r="B55" s="727" t="s">
        <v>490</v>
      </c>
      <c r="C55" s="727">
        <v>3</v>
      </c>
      <c r="D55" s="731"/>
      <c r="E55" s="750"/>
    </row>
    <row r="56" spans="1:106" x14ac:dyDescent="0.3">
      <c r="A56" s="748"/>
      <c r="B56" s="727" t="s">
        <v>491</v>
      </c>
      <c r="C56" s="727">
        <v>2</v>
      </c>
      <c r="D56" s="731"/>
      <c r="E56" s="750"/>
    </row>
    <row r="57" spans="1:106" x14ac:dyDescent="0.3">
      <c r="A57" s="736"/>
      <c r="B57" s="727" t="s">
        <v>492</v>
      </c>
      <c r="C57" s="727">
        <v>1</v>
      </c>
      <c r="D57" s="731"/>
      <c r="E57" s="750"/>
    </row>
    <row r="58" spans="1:106" x14ac:dyDescent="0.3">
      <c r="A58" s="736"/>
      <c r="B58" s="727" t="s">
        <v>493</v>
      </c>
      <c r="C58" s="727">
        <v>0</v>
      </c>
      <c r="D58" s="731"/>
      <c r="E58" s="750"/>
    </row>
    <row r="59" spans="1:106" x14ac:dyDescent="0.3">
      <c r="A59" s="736"/>
      <c r="B59" s="727"/>
      <c r="C59" s="727"/>
      <c r="D59" s="731"/>
      <c r="E59" s="750"/>
    </row>
    <row r="60" spans="1:106" x14ac:dyDescent="0.3">
      <c r="A60" s="736"/>
      <c r="B60" s="727"/>
      <c r="C60" s="727"/>
      <c r="D60" s="731"/>
      <c r="E60" s="750"/>
    </row>
    <row r="61" spans="1:106" x14ac:dyDescent="0.3">
      <c r="A61" s="748"/>
      <c r="B61" s="727"/>
      <c r="C61" s="727"/>
      <c r="D61" s="731"/>
      <c r="E61" s="750"/>
    </row>
    <row r="62" spans="1:106" x14ac:dyDescent="0.3">
      <c r="A62" s="726" t="str">
        <f>'11. Detail Managment Report'!C25</f>
        <v>2. Return on Assets (ROA)</v>
      </c>
      <c r="B62" s="727" t="s">
        <v>821</v>
      </c>
      <c r="C62" s="727">
        <v>3</v>
      </c>
      <c r="D62" s="746">
        <f>'9. Inputs-Analysis'!D18</f>
        <v>1.9426111026367571E-2</v>
      </c>
      <c r="E62" s="751">
        <f>IF(D62&gt;6%,3,IF(D62&gt;=3%,2,IF(D62&gt;=2%,1,0)))</f>
        <v>0</v>
      </c>
    </row>
    <row r="63" spans="1:106" x14ac:dyDescent="0.3">
      <c r="A63" s="748"/>
      <c r="B63" s="727" t="s">
        <v>822</v>
      </c>
      <c r="C63" s="727">
        <v>2</v>
      </c>
      <c r="D63" s="752"/>
      <c r="E63" s="753"/>
    </row>
    <row r="64" spans="1:106" x14ac:dyDescent="0.3">
      <c r="A64" s="748"/>
      <c r="B64" s="727" t="s">
        <v>494</v>
      </c>
      <c r="C64" s="727">
        <v>1</v>
      </c>
      <c r="D64" s="752"/>
      <c r="E64" s="753"/>
    </row>
    <row r="65" spans="1:106" x14ac:dyDescent="0.3">
      <c r="A65" s="748"/>
      <c r="B65" s="727" t="s">
        <v>495</v>
      </c>
      <c r="C65" s="727">
        <v>0</v>
      </c>
      <c r="D65" s="731"/>
      <c r="E65" s="753"/>
    </row>
    <row r="66" spans="1:106" x14ac:dyDescent="0.3">
      <c r="A66" s="748"/>
      <c r="B66" s="727"/>
      <c r="C66" s="727"/>
      <c r="D66" s="731"/>
      <c r="E66" s="753"/>
    </row>
    <row r="67" spans="1:106" x14ac:dyDescent="0.3">
      <c r="A67" s="748"/>
      <c r="B67" s="727"/>
      <c r="C67" s="727"/>
      <c r="D67" s="731"/>
      <c r="E67" s="753"/>
    </row>
    <row r="68" spans="1:106" x14ac:dyDescent="0.3">
      <c r="A68" s="748"/>
      <c r="B68" s="727"/>
      <c r="C68" s="727"/>
      <c r="D68" s="731"/>
      <c r="E68" s="753"/>
    </row>
    <row r="69" spans="1:106" ht="28" x14ac:dyDescent="0.3">
      <c r="A69" s="754" t="str">
        <f>'11. Detail Managment Report'!C26</f>
        <v>3. Operating Profit to Operating Assets (OPOA)</v>
      </c>
      <c r="B69" s="727" t="s">
        <v>776</v>
      </c>
      <c r="C69" s="727">
        <v>2</v>
      </c>
      <c r="D69" s="746">
        <f>'9. Inputs-Analysis'!D21</f>
        <v>4.652054000911502E-2</v>
      </c>
      <c r="E69" s="751">
        <f>IF(D69&gt;10%,2,IF(D69&gt;=5%,1,0))</f>
        <v>0</v>
      </c>
    </row>
    <row r="70" spans="1:106" x14ac:dyDescent="0.3">
      <c r="A70" s="754"/>
      <c r="B70" s="727" t="s">
        <v>851</v>
      </c>
      <c r="C70" s="727">
        <v>1</v>
      </c>
      <c r="D70" s="731"/>
      <c r="E70" s="753"/>
    </row>
    <row r="71" spans="1:106" x14ac:dyDescent="0.3">
      <c r="A71" s="736"/>
      <c r="B71" s="727" t="s">
        <v>724</v>
      </c>
      <c r="C71" s="727">
        <v>0</v>
      </c>
      <c r="D71" s="731"/>
      <c r="E71" s="753"/>
    </row>
    <row r="72" spans="1:106" x14ac:dyDescent="0.3">
      <c r="A72" s="736"/>
      <c r="B72" s="727"/>
      <c r="C72" s="727"/>
      <c r="D72" s="731"/>
      <c r="E72" s="753"/>
    </row>
    <row r="73" spans="1:106" x14ac:dyDescent="0.3">
      <c r="A73" s="736"/>
      <c r="B73" s="727"/>
      <c r="C73" s="727"/>
      <c r="D73" s="731"/>
      <c r="E73" s="753"/>
    </row>
    <row r="74" spans="1:106" x14ac:dyDescent="0.3">
      <c r="A74" s="736"/>
      <c r="B74" s="727"/>
      <c r="C74" s="727"/>
      <c r="D74" s="731"/>
      <c r="E74" s="753"/>
    </row>
    <row r="75" spans="1:106" s="719" customFormat="1" x14ac:dyDescent="0.3">
      <c r="A75" s="723" t="s">
        <v>444</v>
      </c>
      <c r="B75" s="743"/>
      <c r="C75" s="743">
        <v>15</v>
      </c>
      <c r="D75" s="724"/>
      <c r="E75" s="725">
        <f>E76+E83+E93+E100</f>
        <v>7</v>
      </c>
      <c r="F75" s="555"/>
      <c r="G75" s="555"/>
      <c r="H75" s="555"/>
      <c r="I75" s="555"/>
      <c r="J75" s="555"/>
      <c r="K75" s="555"/>
      <c r="L75" s="555"/>
      <c r="M75" s="555"/>
      <c r="N75" s="555"/>
      <c r="O75" s="555"/>
      <c r="P75" s="555"/>
      <c r="Q75" s="555"/>
      <c r="R75" s="555"/>
      <c r="S75" s="555"/>
      <c r="T75" s="555"/>
      <c r="U75" s="555"/>
      <c r="V75" s="555"/>
      <c r="W75" s="555"/>
      <c r="X75" s="555"/>
      <c r="Y75" s="555"/>
      <c r="Z75" s="555"/>
      <c r="AA75" s="555"/>
      <c r="AB75" s="555"/>
      <c r="AC75" s="555"/>
      <c r="AD75" s="555"/>
      <c r="AE75" s="555"/>
      <c r="AF75" s="555"/>
      <c r="AG75" s="555"/>
      <c r="AH75" s="555"/>
      <c r="AI75" s="555"/>
      <c r="AJ75" s="555"/>
      <c r="AK75" s="555"/>
      <c r="AL75" s="555"/>
      <c r="AM75" s="555"/>
      <c r="AN75" s="555"/>
      <c r="AO75" s="555"/>
      <c r="AP75" s="555"/>
      <c r="AQ75" s="555"/>
      <c r="AR75" s="555"/>
      <c r="AS75" s="555"/>
      <c r="AT75" s="555"/>
      <c r="AU75" s="555"/>
      <c r="AV75" s="555"/>
      <c r="AW75" s="555"/>
      <c r="AX75" s="555"/>
      <c r="AY75" s="555"/>
      <c r="AZ75" s="555"/>
      <c r="BA75" s="555"/>
      <c r="BB75" s="555"/>
      <c r="BC75" s="555"/>
      <c r="BD75" s="555"/>
      <c r="BE75" s="555"/>
      <c r="BF75" s="555"/>
      <c r="BG75" s="555"/>
      <c r="BH75" s="555"/>
      <c r="BI75" s="555"/>
      <c r="BJ75" s="555"/>
      <c r="BK75" s="555"/>
      <c r="BL75" s="555"/>
      <c r="BM75" s="555"/>
      <c r="BN75" s="555"/>
      <c r="BO75" s="555"/>
      <c r="BP75" s="555"/>
      <c r="BQ75" s="555"/>
      <c r="BR75" s="555"/>
      <c r="BS75" s="555"/>
      <c r="BT75" s="555"/>
      <c r="BU75" s="555"/>
      <c r="BV75" s="555"/>
      <c r="BW75" s="555"/>
      <c r="BX75" s="555"/>
      <c r="BY75" s="555"/>
      <c r="BZ75" s="555"/>
      <c r="CA75" s="555"/>
      <c r="CB75" s="555"/>
      <c r="CC75" s="555"/>
      <c r="CD75" s="555"/>
      <c r="CE75" s="555"/>
      <c r="CF75" s="555"/>
      <c r="CG75" s="555"/>
      <c r="CH75" s="555"/>
      <c r="CI75" s="555"/>
      <c r="CJ75" s="555"/>
      <c r="CK75" s="555"/>
      <c r="CL75" s="555"/>
      <c r="CM75" s="555"/>
      <c r="CN75" s="555"/>
      <c r="CO75" s="555"/>
      <c r="CP75" s="555"/>
      <c r="CQ75" s="555"/>
      <c r="CR75" s="555"/>
      <c r="CS75" s="555"/>
      <c r="CT75" s="555"/>
      <c r="CU75" s="555"/>
      <c r="CV75" s="555"/>
      <c r="CW75" s="555"/>
      <c r="CX75" s="555"/>
      <c r="CY75" s="555"/>
      <c r="CZ75" s="555"/>
      <c r="DA75" s="555"/>
      <c r="DB75" s="555"/>
    </row>
    <row r="76" spans="1:106" x14ac:dyDescent="0.3">
      <c r="A76" s="726" t="str">
        <f>'11. Detail Managment Report'!C28</f>
        <v>1. Interest Coverage (IC)</v>
      </c>
      <c r="B76" s="727" t="s">
        <v>778</v>
      </c>
      <c r="C76" s="727">
        <v>3</v>
      </c>
      <c r="D76" s="728">
        <f>'9. Inputs-Analysis'!D24</f>
        <v>2.1640484041893577</v>
      </c>
      <c r="E76" s="729">
        <f>IF(D76&gt;3,3,IF(D76&gt;=2,2,IF(D76&gt;=1,1,0)))</f>
        <v>2</v>
      </c>
    </row>
    <row r="77" spans="1:106" x14ac:dyDescent="0.3">
      <c r="A77" s="736"/>
      <c r="B77" s="727" t="s">
        <v>840</v>
      </c>
      <c r="C77" s="727">
        <v>2</v>
      </c>
      <c r="D77" s="755"/>
      <c r="E77" s="732"/>
    </row>
    <row r="78" spans="1:106" x14ac:dyDescent="0.3">
      <c r="A78" s="736"/>
      <c r="B78" s="727" t="s">
        <v>841</v>
      </c>
      <c r="C78" s="727">
        <v>1</v>
      </c>
      <c r="D78" s="731"/>
      <c r="E78" s="732"/>
    </row>
    <row r="79" spans="1:106" x14ac:dyDescent="0.3">
      <c r="A79" s="736"/>
      <c r="B79" s="727" t="s">
        <v>629</v>
      </c>
      <c r="C79" s="727">
        <v>0</v>
      </c>
      <c r="D79" s="731"/>
      <c r="E79" s="732"/>
    </row>
    <row r="80" spans="1:106" x14ac:dyDescent="0.3">
      <c r="A80" s="736"/>
      <c r="B80" s="727"/>
      <c r="C80" s="727"/>
      <c r="D80" s="731"/>
      <c r="E80" s="732"/>
    </row>
    <row r="81" spans="1:5" x14ac:dyDescent="0.3">
      <c r="A81" s="736"/>
      <c r="B81" s="727"/>
      <c r="C81" s="727"/>
      <c r="D81" s="731"/>
      <c r="E81" s="732"/>
    </row>
    <row r="82" spans="1:5" x14ac:dyDescent="0.3">
      <c r="A82" s="736"/>
      <c r="B82" s="727"/>
      <c r="C82" s="727"/>
      <c r="D82" s="731"/>
      <c r="E82" s="732"/>
    </row>
    <row r="83" spans="1:5" x14ac:dyDescent="0.3">
      <c r="A83" s="726" t="str">
        <f>'11. Detail Managment Report'!C29</f>
        <v>2. Debt Service Coverage Ratio (DSCR)</v>
      </c>
      <c r="B83" s="727"/>
      <c r="C83" s="727"/>
      <c r="D83" s="728">
        <f>'9. Inputs-Analysis'!D27</f>
        <v>1.4160266339747576</v>
      </c>
      <c r="E83" s="733">
        <f>IF(D83&gt;2.5,5,IF(D83&gt;=2,4,IF(D83&gt;=1.5,3,IF(D83&gt;=1.25,2,IF(D83&gt;=0.5,1,0)))))</f>
        <v>2</v>
      </c>
    </row>
    <row r="84" spans="1:5" x14ac:dyDescent="0.3">
      <c r="A84" s="726"/>
      <c r="B84" s="727" t="s">
        <v>781</v>
      </c>
      <c r="C84" s="727">
        <v>5</v>
      </c>
      <c r="D84" s="731"/>
      <c r="E84" s="734"/>
    </row>
    <row r="85" spans="1:5" x14ac:dyDescent="0.3">
      <c r="A85" s="726"/>
      <c r="B85" s="727" t="s">
        <v>782</v>
      </c>
      <c r="C85" s="727">
        <v>4</v>
      </c>
      <c r="D85" s="731"/>
      <c r="E85" s="734"/>
    </row>
    <row r="86" spans="1:5" x14ac:dyDescent="0.3">
      <c r="A86" s="726"/>
      <c r="B86" s="727" t="s">
        <v>783</v>
      </c>
      <c r="C86" s="727">
        <v>3</v>
      </c>
      <c r="D86" s="731"/>
      <c r="E86" s="734"/>
    </row>
    <row r="87" spans="1:5" x14ac:dyDescent="0.3">
      <c r="A87" s="726"/>
      <c r="B87" s="727" t="s">
        <v>784</v>
      </c>
      <c r="C87" s="727">
        <v>2</v>
      </c>
      <c r="D87" s="731"/>
      <c r="E87" s="734"/>
    </row>
    <row r="88" spans="1:5" x14ac:dyDescent="0.3">
      <c r="A88" s="726"/>
      <c r="B88" s="727" t="s">
        <v>785</v>
      </c>
      <c r="C88" s="727">
        <v>1</v>
      </c>
      <c r="D88" s="731"/>
      <c r="E88" s="734"/>
    </row>
    <row r="89" spans="1:5" x14ac:dyDescent="0.3">
      <c r="A89" s="736"/>
      <c r="B89" s="727" t="s">
        <v>629</v>
      </c>
      <c r="C89" s="727">
        <v>0</v>
      </c>
      <c r="D89" s="731"/>
      <c r="E89" s="734"/>
    </row>
    <row r="90" spans="1:5" x14ac:dyDescent="0.3">
      <c r="A90" s="736"/>
      <c r="B90" s="727"/>
      <c r="C90" s="727"/>
      <c r="D90" s="731"/>
      <c r="E90" s="734"/>
    </row>
    <row r="91" spans="1:5" x14ac:dyDescent="0.3">
      <c r="A91" s="736"/>
      <c r="B91" s="727"/>
      <c r="C91" s="727"/>
      <c r="D91" s="731"/>
      <c r="E91" s="734"/>
    </row>
    <row r="92" spans="1:5" x14ac:dyDescent="0.3">
      <c r="A92" s="736"/>
      <c r="B92" s="727"/>
      <c r="C92" s="727"/>
      <c r="D92" s="731"/>
      <c r="E92" s="734"/>
    </row>
    <row r="93" spans="1:5" ht="28" x14ac:dyDescent="0.3">
      <c r="A93" s="726" t="str">
        <f>'11. Detail Managment Report'!C30</f>
        <v>3. Operating Cashflow to Debt Ratio (CDR)</v>
      </c>
      <c r="B93" s="727" t="s">
        <v>729</v>
      </c>
      <c r="C93" s="727">
        <v>4</v>
      </c>
      <c r="D93" s="756">
        <f>'9. Inputs-Analysis'!D30</f>
        <v>3.3545581292940753E-2</v>
      </c>
      <c r="E93" s="733">
        <f>IF(D93&gt;0.5,4,IF(D93&gt;=0.35,3,IF(D93&gt;=0.25,2,IF(D93&gt;=-0.15,1,0))))</f>
        <v>1</v>
      </c>
    </row>
    <row r="94" spans="1:5" x14ac:dyDescent="0.3">
      <c r="A94" s="736"/>
      <c r="B94" s="727" t="s">
        <v>730</v>
      </c>
      <c r="C94" s="727">
        <v>3</v>
      </c>
      <c r="D94" s="731"/>
      <c r="E94" s="734"/>
    </row>
    <row r="95" spans="1:5" x14ac:dyDescent="0.3">
      <c r="A95" s="736"/>
      <c r="B95" s="727" t="s">
        <v>731</v>
      </c>
      <c r="C95" s="727">
        <v>2</v>
      </c>
      <c r="D95" s="731"/>
      <c r="E95" s="734"/>
    </row>
    <row r="96" spans="1:5" x14ac:dyDescent="0.3">
      <c r="A96" s="736"/>
      <c r="B96" s="727" t="s">
        <v>732</v>
      </c>
      <c r="C96" s="727">
        <v>1</v>
      </c>
      <c r="D96" s="731"/>
      <c r="E96" s="734"/>
    </row>
    <row r="97" spans="1:106" x14ac:dyDescent="0.3">
      <c r="A97" s="736"/>
      <c r="B97" s="727" t="s">
        <v>733</v>
      </c>
      <c r="C97" s="727">
        <v>0</v>
      </c>
      <c r="D97" s="731"/>
      <c r="E97" s="734"/>
    </row>
    <row r="98" spans="1:106" x14ac:dyDescent="0.3">
      <c r="A98" s="736"/>
      <c r="B98" s="727"/>
      <c r="C98" s="727"/>
      <c r="D98" s="731"/>
      <c r="E98" s="734"/>
    </row>
    <row r="99" spans="1:106" x14ac:dyDescent="0.3">
      <c r="A99" s="736"/>
      <c r="B99" s="727"/>
      <c r="C99" s="727"/>
      <c r="D99" s="731"/>
      <c r="E99" s="734"/>
    </row>
    <row r="100" spans="1:106" ht="19.5" customHeight="1" x14ac:dyDescent="0.3">
      <c r="A100" s="726" t="str">
        <f>'11. Detail Managment Report'!C31</f>
        <v>4. Cashflow Coverage Ratio (CCR)</v>
      </c>
      <c r="B100" s="727" t="s">
        <v>734</v>
      </c>
      <c r="C100" s="727">
        <v>3</v>
      </c>
      <c r="D100" s="757">
        <f>'9. Inputs-Analysis'!D33</f>
        <v>0.76522361031669384</v>
      </c>
      <c r="E100" s="733">
        <f>IF(D100&gt;=1.5,3,IF(D100&gt;=0.5,2,IF(D100&gt;-0.1,1,0)))</f>
        <v>2</v>
      </c>
    </row>
    <row r="101" spans="1:106" x14ac:dyDescent="0.3">
      <c r="A101" s="726"/>
      <c r="B101" s="727" t="s">
        <v>735</v>
      </c>
      <c r="C101" s="727">
        <v>2</v>
      </c>
      <c r="D101" s="731"/>
      <c r="E101" s="734"/>
    </row>
    <row r="102" spans="1:106" x14ac:dyDescent="0.3">
      <c r="A102" s="726"/>
      <c r="B102" s="727" t="s">
        <v>736</v>
      </c>
      <c r="C102" s="727">
        <v>0</v>
      </c>
      <c r="D102" s="731"/>
      <c r="E102" s="734"/>
    </row>
    <row r="103" spans="1:106" x14ac:dyDescent="0.3">
      <c r="A103" s="726"/>
      <c r="B103" s="727"/>
      <c r="C103" s="727"/>
      <c r="D103" s="731"/>
      <c r="E103" s="734"/>
    </row>
    <row r="104" spans="1:106" x14ac:dyDescent="0.3">
      <c r="A104" s="726"/>
      <c r="B104" s="727"/>
      <c r="C104" s="727"/>
      <c r="D104" s="731"/>
      <c r="E104" s="734"/>
    </row>
    <row r="105" spans="1:106" x14ac:dyDescent="0.3">
      <c r="A105" s="726"/>
      <c r="B105" s="727"/>
      <c r="C105" s="727"/>
      <c r="D105" s="731"/>
      <c r="E105" s="734"/>
    </row>
    <row r="106" spans="1:106" s="719" customFormat="1" x14ac:dyDescent="0.3">
      <c r="A106" s="723" t="s">
        <v>445</v>
      </c>
      <c r="B106" s="743"/>
      <c r="C106" s="743">
        <v>10</v>
      </c>
      <c r="D106" s="724"/>
      <c r="E106" s="725">
        <f>E107+E115+E122</f>
        <v>6</v>
      </c>
      <c r="F106" s="555"/>
      <c r="G106" s="555"/>
      <c r="H106" s="555"/>
      <c r="I106" s="555"/>
      <c r="J106" s="555"/>
      <c r="K106" s="555"/>
      <c r="L106" s="555"/>
      <c r="M106" s="555"/>
      <c r="N106" s="555"/>
      <c r="O106" s="555"/>
      <c r="P106" s="555"/>
      <c r="Q106" s="555"/>
      <c r="R106" s="555"/>
      <c r="S106" s="555"/>
      <c r="T106" s="555"/>
      <c r="U106" s="555"/>
      <c r="V106" s="555"/>
      <c r="W106" s="555"/>
      <c r="X106" s="555"/>
      <c r="Y106" s="555"/>
      <c r="Z106" s="555"/>
      <c r="AA106" s="555"/>
      <c r="AB106" s="555"/>
      <c r="AC106" s="555"/>
      <c r="AD106" s="555"/>
      <c r="AE106" s="555"/>
      <c r="AF106" s="555"/>
      <c r="AG106" s="555"/>
      <c r="AH106" s="555"/>
      <c r="AI106" s="555"/>
      <c r="AJ106" s="555"/>
      <c r="AK106" s="555"/>
      <c r="AL106" s="555"/>
      <c r="AM106" s="555"/>
      <c r="AN106" s="555"/>
      <c r="AO106" s="555"/>
      <c r="AP106" s="555"/>
      <c r="AQ106" s="555"/>
      <c r="AR106" s="555"/>
      <c r="AS106" s="555"/>
      <c r="AT106" s="555"/>
      <c r="AU106" s="555"/>
      <c r="AV106" s="555"/>
      <c r="AW106" s="555"/>
      <c r="AX106" s="555"/>
      <c r="AY106" s="555"/>
      <c r="AZ106" s="555"/>
      <c r="BA106" s="555"/>
      <c r="BB106" s="555"/>
      <c r="BC106" s="555"/>
      <c r="BD106" s="555"/>
      <c r="BE106" s="555"/>
      <c r="BF106" s="555"/>
      <c r="BG106" s="555"/>
      <c r="BH106" s="555"/>
      <c r="BI106" s="555"/>
      <c r="BJ106" s="555"/>
      <c r="BK106" s="555"/>
      <c r="BL106" s="555"/>
      <c r="BM106" s="555"/>
      <c r="BN106" s="555"/>
      <c r="BO106" s="555"/>
      <c r="BP106" s="555"/>
      <c r="BQ106" s="555"/>
      <c r="BR106" s="555"/>
      <c r="BS106" s="555"/>
      <c r="BT106" s="555"/>
      <c r="BU106" s="555"/>
      <c r="BV106" s="555"/>
      <c r="BW106" s="555"/>
      <c r="BX106" s="555"/>
      <c r="BY106" s="555"/>
      <c r="BZ106" s="555"/>
      <c r="CA106" s="555"/>
      <c r="CB106" s="555"/>
      <c r="CC106" s="555"/>
      <c r="CD106" s="555"/>
      <c r="CE106" s="555"/>
      <c r="CF106" s="555"/>
      <c r="CG106" s="555"/>
      <c r="CH106" s="555"/>
      <c r="CI106" s="555"/>
      <c r="CJ106" s="555"/>
      <c r="CK106" s="555"/>
      <c r="CL106" s="555"/>
      <c r="CM106" s="555"/>
      <c r="CN106" s="555"/>
      <c r="CO106" s="555"/>
      <c r="CP106" s="555"/>
      <c r="CQ106" s="555"/>
      <c r="CR106" s="555"/>
      <c r="CS106" s="555"/>
      <c r="CT106" s="555"/>
      <c r="CU106" s="555"/>
      <c r="CV106" s="555"/>
      <c r="CW106" s="555"/>
      <c r="CX106" s="555"/>
      <c r="CY106" s="555"/>
      <c r="CZ106" s="555"/>
      <c r="DA106" s="555"/>
      <c r="DB106" s="555"/>
    </row>
    <row r="107" spans="1:106" x14ac:dyDescent="0.3">
      <c r="A107" s="726" t="str">
        <f>'11. Detail Managment Report'!C33</f>
        <v>1. Stock Turnover Days (STD)</v>
      </c>
      <c r="B107" s="727" t="s">
        <v>498</v>
      </c>
      <c r="C107" s="727">
        <v>4</v>
      </c>
      <c r="D107" s="758">
        <f>'9. Inputs-Analysis'!D36</f>
        <v>823.72780049574567</v>
      </c>
      <c r="E107" s="747">
        <v>0</v>
      </c>
    </row>
    <row r="108" spans="1:106" x14ac:dyDescent="0.3">
      <c r="A108" s="736"/>
      <c r="B108" s="727" t="s">
        <v>499</v>
      </c>
      <c r="C108" s="727">
        <v>3</v>
      </c>
      <c r="D108" s="731"/>
      <c r="E108" s="750"/>
    </row>
    <row r="109" spans="1:106" x14ac:dyDescent="0.3">
      <c r="A109" s="736"/>
      <c r="B109" s="727" t="s">
        <v>500</v>
      </c>
      <c r="C109" s="727">
        <v>2</v>
      </c>
      <c r="D109" s="731"/>
      <c r="E109" s="750"/>
    </row>
    <row r="110" spans="1:106" x14ac:dyDescent="0.3">
      <c r="A110" s="736"/>
      <c r="B110" s="727" t="s">
        <v>501</v>
      </c>
      <c r="C110" s="727">
        <v>1</v>
      </c>
      <c r="D110" s="731"/>
      <c r="E110" s="750"/>
    </row>
    <row r="111" spans="1:106" x14ac:dyDescent="0.3">
      <c r="A111" s="736"/>
      <c r="B111" s="727" t="s">
        <v>502</v>
      </c>
      <c r="C111" s="727">
        <v>0</v>
      </c>
      <c r="D111" s="731"/>
      <c r="E111" s="750"/>
    </row>
    <row r="112" spans="1:106" x14ac:dyDescent="0.3">
      <c r="A112" s="736"/>
      <c r="B112" s="727"/>
      <c r="C112" s="727"/>
      <c r="D112" s="731"/>
      <c r="E112" s="750"/>
    </row>
    <row r="113" spans="1:5" x14ac:dyDescent="0.3">
      <c r="A113" s="736"/>
      <c r="B113" s="727"/>
      <c r="C113" s="727"/>
      <c r="D113" s="731"/>
      <c r="E113" s="750"/>
    </row>
    <row r="114" spans="1:5" x14ac:dyDescent="0.3">
      <c r="A114" s="736"/>
      <c r="B114" s="727"/>
      <c r="C114" s="727"/>
      <c r="D114" s="731"/>
      <c r="E114" s="750"/>
    </row>
    <row r="115" spans="1:5" ht="28" x14ac:dyDescent="0.3">
      <c r="A115" s="726" t="str">
        <f>'11. Detail Managment Report'!C34</f>
        <v>2. Trade Debtor Collection Days (TDCD)</v>
      </c>
      <c r="B115" s="727" t="s">
        <v>714</v>
      </c>
      <c r="C115" s="727">
        <v>5</v>
      </c>
      <c r="D115" s="758">
        <f>'9. Inputs-Analysis'!D39</f>
        <v>89.219451744334833</v>
      </c>
      <c r="E115" s="751">
        <f>IF(D115&lt;80,5,IF(D115&lt;120,4,IF(D115&lt;150,2,0)))</f>
        <v>4</v>
      </c>
    </row>
    <row r="116" spans="1:5" x14ac:dyDescent="0.3">
      <c r="A116" s="736"/>
      <c r="B116" s="727" t="s">
        <v>715</v>
      </c>
      <c r="C116" s="727">
        <v>4</v>
      </c>
      <c r="D116" s="731"/>
      <c r="E116" s="753"/>
    </row>
    <row r="117" spans="1:5" x14ac:dyDescent="0.3">
      <c r="A117" s="736"/>
      <c r="B117" s="727" t="s">
        <v>716</v>
      </c>
      <c r="C117" s="727">
        <v>2</v>
      </c>
      <c r="D117" s="731"/>
      <c r="E117" s="753"/>
    </row>
    <row r="118" spans="1:5" x14ac:dyDescent="0.3">
      <c r="A118" s="736"/>
      <c r="B118" s="727" t="s">
        <v>717</v>
      </c>
      <c r="C118" s="727">
        <v>0</v>
      </c>
      <c r="D118" s="731"/>
      <c r="E118" s="753"/>
    </row>
    <row r="119" spans="1:5" x14ac:dyDescent="0.3">
      <c r="A119" s="736"/>
      <c r="B119" s="727"/>
      <c r="C119" s="727"/>
      <c r="D119" s="731"/>
      <c r="E119" s="753"/>
    </row>
    <row r="120" spans="1:5" x14ac:dyDescent="0.3">
      <c r="A120" s="736"/>
      <c r="B120" s="727"/>
      <c r="C120" s="727"/>
      <c r="D120" s="731"/>
      <c r="E120" s="753"/>
    </row>
    <row r="121" spans="1:5" x14ac:dyDescent="0.3">
      <c r="A121" s="736"/>
      <c r="B121" s="727"/>
      <c r="C121" s="727"/>
      <c r="D121" s="731"/>
      <c r="E121" s="753"/>
    </row>
    <row r="122" spans="1:5" x14ac:dyDescent="0.3">
      <c r="A122" s="726" t="str">
        <f>'11. Detail Managment Report'!C35</f>
        <v>3. Asset Turnover (AT)</v>
      </c>
      <c r="B122" s="727" t="s">
        <v>506</v>
      </c>
      <c r="C122" s="727">
        <v>5</v>
      </c>
      <c r="D122" s="746">
        <f>'9. Inputs-Analysis'!D42</f>
        <v>0.35386478561776608</v>
      </c>
      <c r="E122" s="751">
        <f>IF(D122&gt;=100%,5,IF(D122&gt;=50%,4,IF(D122&gt;=30%,2,0)))</f>
        <v>2</v>
      </c>
    </row>
    <row r="123" spans="1:5" x14ac:dyDescent="0.3">
      <c r="A123" s="736"/>
      <c r="B123" s="727" t="s">
        <v>507</v>
      </c>
      <c r="C123" s="727">
        <v>4</v>
      </c>
      <c r="D123" s="731"/>
      <c r="E123" s="753"/>
    </row>
    <row r="124" spans="1:5" x14ac:dyDescent="0.3">
      <c r="A124" s="736"/>
      <c r="B124" s="727" t="s">
        <v>508</v>
      </c>
      <c r="C124" s="727">
        <v>2</v>
      </c>
      <c r="D124" s="731"/>
      <c r="E124" s="753"/>
    </row>
    <row r="125" spans="1:5" x14ac:dyDescent="0.3">
      <c r="A125" s="736"/>
      <c r="B125" s="727" t="s">
        <v>509</v>
      </c>
      <c r="C125" s="727">
        <v>0</v>
      </c>
      <c r="D125" s="731"/>
      <c r="E125" s="753"/>
    </row>
    <row r="126" spans="1:5" x14ac:dyDescent="0.3">
      <c r="A126" s="736"/>
      <c r="B126" s="727"/>
      <c r="C126" s="727"/>
      <c r="D126" s="731"/>
      <c r="E126" s="753"/>
    </row>
    <row r="127" spans="1:5" x14ac:dyDescent="0.3">
      <c r="A127" s="736"/>
      <c r="B127" s="727"/>
      <c r="C127" s="727"/>
      <c r="D127" s="731"/>
      <c r="E127" s="753"/>
    </row>
    <row r="128" spans="1:5" x14ac:dyDescent="0.3">
      <c r="A128" s="736"/>
      <c r="B128" s="727"/>
      <c r="C128" s="727"/>
      <c r="D128" s="731"/>
      <c r="E128" s="753"/>
    </row>
    <row r="129" spans="1:106" s="719" customFormat="1" x14ac:dyDescent="0.3">
      <c r="A129" s="723" t="s">
        <v>446</v>
      </c>
      <c r="B129" s="743"/>
      <c r="C129" s="743">
        <v>5</v>
      </c>
      <c r="D129" s="724"/>
      <c r="E129" s="725">
        <f>E130+E137</f>
        <v>3</v>
      </c>
      <c r="F129" s="555"/>
      <c r="G129" s="555"/>
      <c r="H129" s="555"/>
      <c r="I129" s="555"/>
      <c r="J129" s="555"/>
      <c r="K129" s="555"/>
      <c r="L129" s="555"/>
      <c r="M129" s="555"/>
      <c r="N129" s="555"/>
      <c r="O129" s="555"/>
      <c r="P129" s="555"/>
      <c r="Q129" s="555"/>
      <c r="R129" s="555"/>
      <c r="S129" s="555"/>
      <c r="T129" s="555"/>
      <c r="U129" s="555"/>
      <c r="V129" s="555"/>
      <c r="W129" s="555"/>
      <c r="X129" s="555"/>
      <c r="Y129" s="555"/>
      <c r="Z129" s="555"/>
      <c r="AA129" s="555"/>
      <c r="AB129" s="555"/>
      <c r="AC129" s="555"/>
      <c r="AD129" s="555"/>
      <c r="AE129" s="555"/>
      <c r="AF129" s="555"/>
      <c r="AG129" s="555"/>
      <c r="AH129" s="555"/>
      <c r="AI129" s="555"/>
      <c r="AJ129" s="555"/>
      <c r="AK129" s="555"/>
      <c r="AL129" s="555"/>
      <c r="AM129" s="555"/>
      <c r="AN129" s="555"/>
      <c r="AO129" s="555"/>
      <c r="AP129" s="555"/>
      <c r="AQ129" s="555"/>
      <c r="AR129" s="555"/>
      <c r="AS129" s="555"/>
      <c r="AT129" s="555"/>
      <c r="AU129" s="555"/>
      <c r="AV129" s="555"/>
      <c r="AW129" s="555"/>
      <c r="AX129" s="555"/>
      <c r="AY129" s="555"/>
      <c r="AZ129" s="555"/>
      <c r="BA129" s="555"/>
      <c r="BB129" s="555"/>
      <c r="BC129" s="555"/>
      <c r="BD129" s="555"/>
      <c r="BE129" s="555"/>
      <c r="BF129" s="555"/>
      <c r="BG129" s="555"/>
      <c r="BH129" s="555"/>
      <c r="BI129" s="555"/>
      <c r="BJ129" s="555"/>
      <c r="BK129" s="555"/>
      <c r="BL129" s="555"/>
      <c r="BM129" s="555"/>
      <c r="BN129" s="555"/>
      <c r="BO129" s="555"/>
      <c r="BP129" s="555"/>
      <c r="BQ129" s="555"/>
      <c r="BR129" s="555"/>
      <c r="BS129" s="555"/>
      <c r="BT129" s="555"/>
      <c r="BU129" s="555"/>
      <c r="BV129" s="555"/>
      <c r="BW129" s="555"/>
      <c r="BX129" s="555"/>
      <c r="BY129" s="555"/>
      <c r="BZ129" s="555"/>
      <c r="CA129" s="555"/>
      <c r="CB129" s="555"/>
      <c r="CC129" s="555"/>
      <c r="CD129" s="555"/>
      <c r="CE129" s="555"/>
      <c r="CF129" s="555"/>
      <c r="CG129" s="555"/>
      <c r="CH129" s="555"/>
      <c r="CI129" s="555"/>
      <c r="CJ129" s="555"/>
      <c r="CK129" s="555"/>
      <c r="CL129" s="555"/>
      <c r="CM129" s="555"/>
      <c r="CN129" s="555"/>
      <c r="CO129" s="555"/>
      <c r="CP129" s="555"/>
      <c r="CQ129" s="555"/>
      <c r="CR129" s="555"/>
      <c r="CS129" s="555"/>
      <c r="CT129" s="555"/>
      <c r="CU129" s="555"/>
      <c r="CV129" s="555"/>
      <c r="CW129" s="555"/>
      <c r="CX129" s="555"/>
      <c r="CY129" s="555"/>
      <c r="CZ129" s="555"/>
      <c r="DA129" s="555"/>
      <c r="DB129" s="555"/>
    </row>
    <row r="130" spans="1:106" x14ac:dyDescent="0.3">
      <c r="A130" s="726" t="str">
        <f>'11. Detail Managment Report'!C37</f>
        <v>1. Operating Cash Flow to Sales (CFS)</v>
      </c>
      <c r="B130" s="727" t="s">
        <v>852</v>
      </c>
      <c r="C130" s="727">
        <v>3</v>
      </c>
      <c r="D130" s="746">
        <f>'9. Inputs-Analysis'!D45</f>
        <v>7.4443631180108563E-2</v>
      </c>
      <c r="E130" s="747">
        <f>IF(D130&gt;5%,3,IF(D130&gt;=3%,2,IF(D130&gt;=1%,1,0)))</f>
        <v>3</v>
      </c>
    </row>
    <row r="131" spans="1:106" x14ac:dyDescent="0.3">
      <c r="A131" s="736"/>
      <c r="B131" s="727" t="s">
        <v>773</v>
      </c>
      <c r="C131" s="727">
        <v>2</v>
      </c>
      <c r="D131" s="731"/>
      <c r="E131" s="750"/>
    </row>
    <row r="132" spans="1:106" x14ac:dyDescent="0.3">
      <c r="A132" s="736"/>
      <c r="B132" s="727" t="s">
        <v>719</v>
      </c>
      <c r="C132" s="727">
        <v>1</v>
      </c>
      <c r="D132" s="731"/>
      <c r="E132" s="750"/>
    </row>
    <row r="133" spans="1:106" x14ac:dyDescent="0.3">
      <c r="A133" s="736"/>
      <c r="B133" s="727" t="s">
        <v>678</v>
      </c>
      <c r="C133" s="727">
        <v>0</v>
      </c>
      <c r="D133" s="731"/>
      <c r="E133" s="750"/>
    </row>
    <row r="134" spans="1:106" x14ac:dyDescent="0.3">
      <c r="A134" s="736"/>
      <c r="B134" s="727"/>
      <c r="C134" s="727"/>
      <c r="D134" s="731"/>
      <c r="E134" s="750"/>
    </row>
    <row r="135" spans="1:106" x14ac:dyDescent="0.3">
      <c r="A135" s="736"/>
      <c r="B135" s="727"/>
      <c r="C135" s="727"/>
      <c r="D135" s="731"/>
      <c r="E135" s="750"/>
    </row>
    <row r="136" spans="1:106" x14ac:dyDescent="0.3">
      <c r="A136" s="736"/>
      <c r="B136" s="727"/>
      <c r="C136" s="727"/>
      <c r="D136" s="731"/>
      <c r="E136" s="750"/>
    </row>
    <row r="137" spans="1:106" x14ac:dyDescent="0.3">
      <c r="A137" s="726" t="str">
        <f>'11. Detail Managment Report'!C38</f>
        <v>2. Cashflow based accrual ratio (CAR)</v>
      </c>
      <c r="B137" s="727" t="s">
        <v>402</v>
      </c>
      <c r="C137" s="727">
        <v>2</v>
      </c>
      <c r="D137" s="728">
        <f>'9. Inputs-Analysis'!D48</f>
        <v>7.7292884750961464E-3</v>
      </c>
      <c r="E137" s="751">
        <f>IF(D137&lt;0,2,IF(D137&gt;0,0,IF(D137=0,1,0)))</f>
        <v>0</v>
      </c>
    </row>
    <row r="138" spans="1:106" x14ac:dyDescent="0.3">
      <c r="A138" s="736"/>
      <c r="B138" s="727" t="s">
        <v>978</v>
      </c>
      <c r="C138" s="727">
        <v>0</v>
      </c>
      <c r="D138" s="731"/>
      <c r="E138" s="753"/>
    </row>
    <row r="139" spans="1:106" x14ac:dyDescent="0.3">
      <c r="A139" s="736"/>
      <c r="B139" s="735" t="s">
        <v>579</v>
      </c>
      <c r="C139" s="735"/>
      <c r="D139" s="731"/>
      <c r="E139" s="753"/>
    </row>
    <row r="140" spans="1:106" x14ac:dyDescent="0.3">
      <c r="A140" s="736"/>
      <c r="B140" s="735"/>
      <c r="C140" s="735"/>
      <c r="D140" s="731"/>
      <c r="E140" s="753"/>
    </row>
    <row r="141" spans="1:106" x14ac:dyDescent="0.3">
      <c r="A141" s="759" t="s">
        <v>281</v>
      </c>
      <c r="B141" s="760"/>
      <c r="C141" s="760">
        <f>C129+C106+C75+C52+C36+C18</f>
        <v>60</v>
      </c>
      <c r="D141" s="760"/>
      <c r="E141" s="761">
        <f>E129+E106+E75+E52+E36+E18</f>
        <v>27</v>
      </c>
    </row>
    <row r="142" spans="1:106" s="591" customFormat="1" ht="15.75" customHeight="1" thickBot="1" x14ac:dyDescent="0.35">
      <c r="A142" s="762" t="s">
        <v>409</v>
      </c>
      <c r="B142" s="763"/>
      <c r="C142" s="1108">
        <f>E141/C141</f>
        <v>0.45</v>
      </c>
      <c r="D142" s="1108"/>
      <c r="E142" s="1109"/>
      <c r="F142" s="555"/>
      <c r="G142" s="555"/>
      <c r="H142" s="555"/>
      <c r="I142" s="555"/>
      <c r="J142" s="555"/>
      <c r="K142" s="555"/>
      <c r="L142" s="555"/>
      <c r="M142" s="555"/>
      <c r="N142" s="555"/>
      <c r="O142" s="555"/>
      <c r="P142" s="555"/>
      <c r="Q142" s="555"/>
      <c r="R142" s="555"/>
      <c r="S142" s="555"/>
      <c r="T142" s="555"/>
      <c r="U142" s="555"/>
      <c r="V142" s="555"/>
      <c r="W142" s="555"/>
      <c r="X142" s="555"/>
      <c r="Y142" s="555"/>
      <c r="Z142" s="555"/>
      <c r="AA142" s="555"/>
      <c r="AB142" s="555"/>
      <c r="AC142" s="555"/>
      <c r="AD142" s="555"/>
      <c r="AE142" s="555"/>
      <c r="AF142" s="555"/>
      <c r="AG142" s="555"/>
      <c r="AH142" s="555"/>
      <c r="AI142" s="555"/>
      <c r="AJ142" s="555"/>
      <c r="AK142" s="555"/>
      <c r="AL142" s="555"/>
      <c r="AM142" s="555"/>
      <c r="AN142" s="555"/>
      <c r="AO142" s="555"/>
      <c r="AP142" s="555"/>
      <c r="AQ142" s="555"/>
      <c r="AR142" s="555"/>
      <c r="AS142" s="555"/>
      <c r="AT142" s="555"/>
      <c r="AU142" s="555"/>
      <c r="AV142" s="555"/>
      <c r="AW142" s="555"/>
      <c r="AX142" s="555"/>
      <c r="AY142" s="555"/>
      <c r="AZ142" s="555"/>
      <c r="BA142" s="555"/>
      <c r="BB142" s="555"/>
      <c r="BC142" s="555"/>
      <c r="BD142" s="555"/>
      <c r="BE142" s="555"/>
      <c r="BF142" s="555"/>
      <c r="BG142" s="555"/>
      <c r="BH142" s="555"/>
      <c r="BI142" s="555"/>
      <c r="BJ142" s="555"/>
      <c r="BK142" s="555"/>
      <c r="BL142" s="555"/>
      <c r="BM142" s="555"/>
      <c r="BN142" s="555"/>
      <c r="BO142" s="555"/>
      <c r="BP142" s="555"/>
      <c r="BQ142" s="555"/>
      <c r="BR142" s="555"/>
      <c r="BS142" s="555"/>
      <c r="BT142" s="555"/>
      <c r="BU142" s="555"/>
      <c r="BV142" s="555"/>
      <c r="BW142" s="555"/>
      <c r="BX142" s="555"/>
      <c r="BY142" s="555"/>
      <c r="BZ142" s="555"/>
      <c r="CA142" s="555"/>
      <c r="CB142" s="555"/>
      <c r="CC142" s="555"/>
      <c r="CD142" s="555"/>
      <c r="CE142" s="555"/>
      <c r="CF142" s="555"/>
      <c r="CG142" s="555"/>
      <c r="CH142" s="555"/>
      <c r="CI142" s="555"/>
      <c r="CJ142" s="555"/>
      <c r="CK142" s="555"/>
      <c r="CL142" s="555"/>
      <c r="CM142" s="555"/>
      <c r="CN142" s="555"/>
      <c r="CO142" s="555"/>
      <c r="CP142" s="555"/>
      <c r="CQ142" s="555"/>
      <c r="CR142" s="555"/>
      <c r="CS142" s="555"/>
      <c r="CT142" s="555"/>
      <c r="CU142" s="555"/>
      <c r="CV142" s="555"/>
      <c r="CW142" s="555"/>
      <c r="CX142" s="555"/>
      <c r="CY142" s="555"/>
      <c r="CZ142" s="555"/>
      <c r="DA142" s="555"/>
      <c r="DB142" s="555"/>
    </row>
  </sheetData>
  <sheetProtection selectLockedCells="1" selectUnlockedCells="1"/>
  <mergeCells count="6">
    <mergeCell ref="C142:E142"/>
    <mergeCell ref="A1:E1"/>
    <mergeCell ref="A2:E2"/>
    <mergeCell ref="D5:D6"/>
    <mergeCell ref="D7:D8"/>
    <mergeCell ref="A16:E16"/>
  </mergeCells>
  <conditionalFormatting sqref="D7:E7">
    <cfRule type="cellIs" dxfId="3" priority="1" stopIfTrue="1" operator="equal">
      <formula>#REF!</formula>
    </cfRule>
  </conditionalFormatting>
  <pageMargins left="0.25" right="0.25" top="0.83622685185185186" bottom="0.75" header="0.3" footer="0.3"/>
  <pageSetup paperSize="9" scale="85" orientation="portrait" r:id="rId1"/>
  <headerFooter>
    <oddHeader>&amp;C&amp;"+,Bold"&amp;14Internal Credit Risk Scoring System&amp;12&amp;"+,Regular"(Detail Quantitative Analysis)</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dimension ref="A1:F105"/>
  <sheetViews>
    <sheetView view="pageLayout" topLeftCell="A87" zoomScale="89" zoomScaleNormal="70" zoomScalePageLayoutView="89" workbookViewId="0">
      <selection activeCell="E8" sqref="E8"/>
    </sheetView>
  </sheetViews>
  <sheetFormatPr defaultColWidth="9.1796875" defaultRowHeight="14" x14ac:dyDescent="0.3"/>
  <cols>
    <col min="1" max="1" width="37.54296875" style="20" customWidth="1"/>
    <col min="2" max="2" width="30.54296875" style="27" customWidth="1"/>
    <col min="3" max="3" width="14.81640625" style="27" customWidth="1"/>
    <col min="4" max="4" width="15.453125" style="25" customWidth="1"/>
    <col min="5" max="5" width="15.26953125" style="26" customWidth="1"/>
    <col min="6" max="6" width="56.453125" style="20" customWidth="1"/>
    <col min="7" max="16384" width="9.1796875" style="20"/>
  </cols>
  <sheetData>
    <row r="1" spans="1:5" ht="35.25" hidden="1" customHeight="1" thickBot="1" x14ac:dyDescent="0.35">
      <c r="A1" s="1123" t="s">
        <v>125</v>
      </c>
      <c r="B1" s="1124"/>
      <c r="C1" s="1124"/>
      <c r="D1" s="1124"/>
      <c r="E1" s="1125"/>
    </row>
    <row r="2" spans="1:5" x14ac:dyDescent="0.3">
      <c r="A2" s="70"/>
      <c r="B2" s="70"/>
      <c r="C2" s="108"/>
      <c r="D2" s="71"/>
      <c r="E2" s="71"/>
    </row>
    <row r="3" spans="1:5" x14ac:dyDescent="0.3">
      <c r="A3" s="61" t="s">
        <v>412</v>
      </c>
      <c r="B3" s="72" t="str">
        <f>'11. Detail Managment Report'!D2</f>
        <v>Outpace Spinning Mills Ltd</v>
      </c>
      <c r="C3" s="108"/>
      <c r="D3" s="73"/>
      <c r="E3" s="74"/>
    </row>
    <row r="4" spans="1:5" x14ac:dyDescent="0.3">
      <c r="A4" s="61" t="s">
        <v>410</v>
      </c>
      <c r="B4" s="72" t="str">
        <f>'11. Detail Managment Report'!D3</f>
        <v>Outpace Spinning Mills Ltd</v>
      </c>
      <c r="C4" s="152"/>
      <c r="D4" s="75"/>
      <c r="E4" s="142"/>
    </row>
    <row r="5" spans="1:5" ht="15" customHeight="1" x14ac:dyDescent="0.3">
      <c r="A5" s="62" t="s">
        <v>214</v>
      </c>
      <c r="B5" s="72" t="str">
        <f>'11. Detail Managment Report'!D4</f>
        <v>Outright Group</v>
      </c>
      <c r="C5" s="153"/>
      <c r="D5" s="1020">
        <f>E103</f>
        <v>29</v>
      </c>
      <c r="E5" s="76"/>
    </row>
    <row r="6" spans="1:5" x14ac:dyDescent="0.3">
      <c r="A6" s="61" t="s">
        <v>411</v>
      </c>
      <c r="B6" s="72" t="str">
        <f>'11. Detail Managment Report'!D5</f>
        <v xml:space="preserve">2.  Textile </v>
      </c>
      <c r="C6" s="78"/>
      <c r="D6" s="1020"/>
      <c r="E6" s="76"/>
    </row>
    <row r="7" spans="1:5" x14ac:dyDescent="0.3">
      <c r="A7" s="61" t="s">
        <v>413</v>
      </c>
      <c r="B7" s="72" t="str">
        <f>'11. Detail Managment Report'!D6</f>
        <v>Standard</v>
      </c>
      <c r="C7" s="154"/>
      <c r="D7" s="1126">
        <f>D5/60</f>
        <v>0.48333333333333334</v>
      </c>
      <c r="E7" s="158"/>
    </row>
    <row r="8" spans="1:5" x14ac:dyDescent="0.3">
      <c r="A8" s="61" t="s">
        <v>85</v>
      </c>
      <c r="B8" s="72" t="str">
        <f>'11. Detail Managment Report'!D7</f>
        <v>Unaudited</v>
      </c>
      <c r="C8" s="143"/>
      <c r="D8" s="1126"/>
      <c r="E8" s="156"/>
    </row>
    <row r="9" spans="1:5" x14ac:dyDescent="0.3">
      <c r="A9" s="61" t="s">
        <v>414</v>
      </c>
      <c r="B9" s="72" t="str">
        <f>'11. Detail Managment Report'!D8</f>
        <v>Dewan Nazrul Islam &amp; Co.</v>
      </c>
      <c r="C9" s="78"/>
      <c r="D9" s="111"/>
      <c r="E9" s="76"/>
    </row>
    <row r="10" spans="1:5" x14ac:dyDescent="0.3">
      <c r="A10" s="61" t="s">
        <v>415</v>
      </c>
      <c r="B10" s="72" t="str">
        <f>'11. Detail Managment Report'!D9</f>
        <v>Md. Matiur Rahman, SRM</v>
      </c>
      <c r="C10" s="78"/>
      <c r="D10" s="111"/>
      <c r="E10" s="76"/>
    </row>
    <row r="11" spans="1:5" x14ac:dyDescent="0.3">
      <c r="A11" s="61" t="s">
        <v>79</v>
      </c>
      <c r="B11" s="72" t="str">
        <f>'11. Detail Managment Report'!D10</f>
        <v>Farhana Afrin, SM</v>
      </c>
      <c r="C11" s="78"/>
      <c r="D11" s="77"/>
      <c r="E11" s="144"/>
    </row>
    <row r="12" spans="1:5" ht="15" hidden="1" customHeight="1" x14ac:dyDescent="0.3">
      <c r="A12" s="61"/>
      <c r="B12" s="72"/>
      <c r="C12" s="78"/>
      <c r="D12" s="77"/>
      <c r="E12" s="159"/>
    </row>
    <row r="13" spans="1:5" x14ac:dyDescent="0.3">
      <c r="A13" s="61" t="s">
        <v>418</v>
      </c>
      <c r="B13" s="72">
        <f>'11. Detail Managment Report'!D12</f>
        <v>45652</v>
      </c>
      <c r="C13" s="78"/>
      <c r="D13" s="77"/>
      <c r="E13" s="144"/>
    </row>
    <row r="14" spans="1:5" ht="14.5" thickBot="1" x14ac:dyDescent="0.35">
      <c r="A14" s="61" t="s">
        <v>215</v>
      </c>
      <c r="B14" s="72">
        <f>'11. Detail Managment Report'!D13</f>
        <v>45473</v>
      </c>
      <c r="C14" s="78"/>
      <c r="D14" s="77"/>
      <c r="E14" s="144"/>
    </row>
    <row r="15" spans="1:5" ht="14.5" hidden="1" thickBot="1" x14ac:dyDescent="0.35">
      <c r="A15" s="79">
        <v>6</v>
      </c>
      <c r="B15" s="164" t="s">
        <v>156</v>
      </c>
      <c r="C15" s="80" t="s">
        <v>218</v>
      </c>
      <c r="D15" s="1127" t="s">
        <v>219</v>
      </c>
      <c r="E15" s="1128"/>
    </row>
    <row r="16" spans="1:5" ht="14.5" hidden="1" thickBot="1" x14ac:dyDescent="0.35">
      <c r="A16" s="81">
        <v>7</v>
      </c>
      <c r="B16" s="165" t="s">
        <v>155</v>
      </c>
      <c r="C16" s="82" t="s">
        <v>220</v>
      </c>
      <c r="D16" s="1129" t="s">
        <v>221</v>
      </c>
      <c r="E16" s="1130"/>
    </row>
    <row r="17" spans="1:6" ht="14.5" hidden="1" thickBot="1" x14ac:dyDescent="0.35">
      <c r="A17" s="83">
        <v>8</v>
      </c>
      <c r="B17" s="166" t="s">
        <v>222</v>
      </c>
      <c r="C17" s="84" t="s">
        <v>223</v>
      </c>
      <c r="D17" s="1131" t="s">
        <v>224</v>
      </c>
      <c r="E17" s="1132"/>
    </row>
    <row r="18" spans="1:6" ht="13.5" customHeight="1" thickBot="1" x14ac:dyDescent="0.4">
      <c r="A18" s="1120" t="s">
        <v>265</v>
      </c>
      <c r="B18" s="1121"/>
      <c r="C18" s="1121"/>
      <c r="D18" s="1121"/>
      <c r="E18" s="1122"/>
    </row>
    <row r="19" spans="1:6" ht="30.75" customHeight="1" x14ac:dyDescent="0.3">
      <c r="A19" s="102" t="s">
        <v>268</v>
      </c>
      <c r="B19" s="102" t="s">
        <v>225</v>
      </c>
      <c r="C19" s="109" t="s">
        <v>216</v>
      </c>
      <c r="D19" s="102" t="s">
        <v>226</v>
      </c>
      <c r="E19" s="102" t="s">
        <v>227</v>
      </c>
    </row>
    <row r="20" spans="1:6" ht="16.5" customHeight="1" thickBot="1" x14ac:dyDescent="0.35">
      <c r="A20" s="138" t="s">
        <v>441</v>
      </c>
      <c r="B20" s="139"/>
      <c r="C20" s="140">
        <v>10</v>
      </c>
      <c r="D20" s="139"/>
      <c r="E20" s="141">
        <f>E21+E28</f>
        <v>4</v>
      </c>
      <c r="F20" s="25" t="s">
        <v>228</v>
      </c>
    </row>
    <row r="21" spans="1:6" ht="28.5" thickBot="1" x14ac:dyDescent="0.35">
      <c r="A21" s="96" t="s">
        <v>447</v>
      </c>
      <c r="B21" s="89" t="s">
        <v>229</v>
      </c>
      <c r="C21" s="89">
        <v>7</v>
      </c>
      <c r="D21" s="115">
        <v>2.99</v>
      </c>
      <c r="E21" s="116">
        <f>IF(D21&lt;1,7,IF(D21&lt;1.5,6,IF(D21&lt;2,5,IF(D21&lt;2.5,4,IF(D21&lt;3,3,IF(D21&lt;3.5,2,0))))))</f>
        <v>3</v>
      </c>
      <c r="F21" s="85" t="s">
        <v>230</v>
      </c>
    </row>
    <row r="22" spans="1:6" x14ac:dyDescent="0.3">
      <c r="A22" s="117"/>
      <c r="B22" s="91" t="s">
        <v>476</v>
      </c>
      <c r="C22" s="91">
        <v>6</v>
      </c>
      <c r="D22" s="86"/>
      <c r="E22" s="118"/>
    </row>
    <row r="23" spans="1:6" x14ac:dyDescent="0.3">
      <c r="A23" s="117"/>
      <c r="B23" s="91" t="s">
        <v>477</v>
      </c>
      <c r="C23" s="91">
        <v>5</v>
      </c>
      <c r="D23" s="86"/>
      <c r="E23" s="173"/>
    </row>
    <row r="24" spans="1:6" x14ac:dyDescent="0.3">
      <c r="A24" s="117"/>
      <c r="B24" s="91" t="s">
        <v>478</v>
      </c>
      <c r="C24" s="91">
        <v>4</v>
      </c>
      <c r="D24" s="86"/>
      <c r="E24" s="90"/>
    </row>
    <row r="25" spans="1:6" x14ac:dyDescent="0.3">
      <c r="A25" s="117"/>
      <c r="B25" s="91" t="s">
        <v>479</v>
      </c>
      <c r="C25" s="91">
        <v>3</v>
      </c>
      <c r="D25" s="86"/>
      <c r="E25" s="90"/>
    </row>
    <row r="26" spans="1:6" x14ac:dyDescent="0.3">
      <c r="A26" s="117"/>
      <c r="B26" s="91" t="s">
        <v>480</v>
      </c>
      <c r="C26" s="91">
        <v>2</v>
      </c>
      <c r="D26" s="86"/>
      <c r="E26" s="90"/>
    </row>
    <row r="27" spans="1:6" x14ac:dyDescent="0.3">
      <c r="A27" s="119"/>
      <c r="B27" s="164" t="s">
        <v>481</v>
      </c>
      <c r="C27" s="164">
        <v>0</v>
      </c>
      <c r="D27" s="87"/>
      <c r="E27" s="90"/>
      <c r="F27" s="63"/>
    </row>
    <row r="28" spans="1:6" ht="28.5" thickBot="1" x14ac:dyDescent="0.35">
      <c r="A28" s="99" t="s">
        <v>448</v>
      </c>
      <c r="B28" s="91" t="s">
        <v>462</v>
      </c>
      <c r="C28" s="91">
        <v>3</v>
      </c>
      <c r="D28" s="115">
        <v>0.99</v>
      </c>
      <c r="E28" s="64">
        <f>IF(D28&lt;0.25,3,IF(D28&lt;0.75,2,IF(D28&lt;1,1,0)))</f>
        <v>1</v>
      </c>
      <c r="F28" s="28" t="s">
        <v>231</v>
      </c>
    </row>
    <row r="29" spans="1:6" x14ac:dyDescent="0.3">
      <c r="A29" s="99"/>
      <c r="B29" s="91" t="s">
        <v>482</v>
      </c>
      <c r="C29" s="91">
        <v>2</v>
      </c>
      <c r="D29" s="86"/>
      <c r="E29" s="64"/>
    </row>
    <row r="30" spans="1:6" x14ac:dyDescent="0.3">
      <c r="A30" s="120"/>
      <c r="B30" s="91" t="s">
        <v>483</v>
      </c>
      <c r="C30" s="91">
        <v>1</v>
      </c>
      <c r="D30" s="86"/>
      <c r="E30" s="64"/>
    </row>
    <row r="31" spans="1:6" ht="14.5" thickBot="1" x14ac:dyDescent="0.35">
      <c r="A31" s="121"/>
      <c r="B31" s="164" t="s">
        <v>463</v>
      </c>
      <c r="C31" s="88">
        <v>0</v>
      </c>
      <c r="D31" s="113"/>
      <c r="E31" s="65"/>
    </row>
    <row r="32" spans="1:6" x14ac:dyDescent="0.3">
      <c r="A32" s="145" t="s">
        <v>442</v>
      </c>
      <c r="B32" s="101"/>
      <c r="C32" s="157">
        <v>10</v>
      </c>
      <c r="D32" s="101"/>
      <c r="E32" s="160">
        <f>E33+E41</f>
        <v>2</v>
      </c>
    </row>
    <row r="33" spans="1:6" ht="25.5" customHeight="1" thickBot="1" x14ac:dyDescent="0.35">
      <c r="A33" s="96" t="s">
        <v>449</v>
      </c>
      <c r="B33" s="89" t="s">
        <v>465</v>
      </c>
      <c r="C33" s="89">
        <v>7</v>
      </c>
      <c r="D33" s="115">
        <v>0.51</v>
      </c>
      <c r="E33" s="90">
        <f>IF(D33&gt;2,7,IF(D33&gt;1.5,6,IF(D33&gt;1,5,IF(D33&gt;0.5,2,0))))</f>
        <v>2</v>
      </c>
      <c r="F33" s="20" t="s">
        <v>232</v>
      </c>
    </row>
    <row r="34" spans="1:6" x14ac:dyDescent="0.3">
      <c r="A34" s="122"/>
      <c r="B34" s="91" t="s">
        <v>466</v>
      </c>
      <c r="C34" s="91">
        <v>6</v>
      </c>
      <c r="D34" s="123"/>
      <c r="E34" s="90"/>
    </row>
    <row r="35" spans="1:6" x14ac:dyDescent="0.3">
      <c r="A35" s="98"/>
      <c r="B35" s="91" t="s">
        <v>484</v>
      </c>
      <c r="C35" s="91">
        <v>5</v>
      </c>
      <c r="D35" s="86"/>
      <c r="E35" s="90"/>
    </row>
    <row r="36" spans="1:6" x14ac:dyDescent="0.3">
      <c r="A36" s="98"/>
      <c r="B36" s="91" t="s">
        <v>485</v>
      </c>
      <c r="C36" s="91">
        <v>2</v>
      </c>
      <c r="D36" s="86"/>
      <c r="E36" s="90"/>
    </row>
    <row r="37" spans="1:6" ht="12.75" customHeight="1" x14ac:dyDescent="0.3">
      <c r="A37" s="98"/>
      <c r="B37" s="91" t="s">
        <v>486</v>
      </c>
      <c r="C37" s="91">
        <v>0</v>
      </c>
      <c r="D37" s="86"/>
      <c r="E37" s="90"/>
    </row>
    <row r="38" spans="1:6" x14ac:dyDescent="0.3">
      <c r="A38" s="98"/>
      <c r="B38" s="91"/>
      <c r="C38" s="91"/>
      <c r="D38" s="86"/>
      <c r="E38" s="90"/>
    </row>
    <row r="39" spans="1:6" ht="23.25" customHeight="1" x14ac:dyDescent="0.3">
      <c r="A39" s="98"/>
      <c r="B39" s="91"/>
      <c r="C39" s="91"/>
      <c r="D39" s="86"/>
      <c r="E39" s="90"/>
    </row>
    <row r="40" spans="1:6" x14ac:dyDescent="0.3">
      <c r="A40" s="95"/>
      <c r="B40" s="164"/>
      <c r="C40" s="164"/>
      <c r="D40" s="87"/>
      <c r="E40" s="90"/>
    </row>
    <row r="41" spans="1:6" ht="14.5" thickBot="1" x14ac:dyDescent="0.35">
      <c r="A41" s="99" t="s">
        <v>464</v>
      </c>
      <c r="B41" s="91" t="s">
        <v>487</v>
      </c>
      <c r="C41" s="91">
        <v>3</v>
      </c>
      <c r="D41" s="115">
        <v>0.05</v>
      </c>
      <c r="E41" s="64">
        <f>IF(D41&gt;0.2,3,IF(D41&gt;0.1,2,IF(D41&gt;0.05,1,0)))</f>
        <v>0</v>
      </c>
      <c r="F41" s="20" t="s">
        <v>233</v>
      </c>
    </row>
    <row r="42" spans="1:6" x14ac:dyDescent="0.3">
      <c r="A42" s="99"/>
      <c r="B42" s="91" t="s">
        <v>234</v>
      </c>
      <c r="C42" s="91">
        <v>2</v>
      </c>
      <c r="D42" s="86"/>
      <c r="E42" s="64"/>
    </row>
    <row r="43" spans="1:6" x14ac:dyDescent="0.3">
      <c r="A43" s="99"/>
      <c r="B43" s="91" t="s">
        <v>235</v>
      </c>
      <c r="C43" s="91">
        <v>1</v>
      </c>
      <c r="D43" s="86"/>
      <c r="E43" s="64"/>
    </row>
    <row r="44" spans="1:6" x14ac:dyDescent="0.3">
      <c r="A44" s="99"/>
      <c r="B44" s="91" t="s">
        <v>488</v>
      </c>
      <c r="C44" s="91">
        <v>0</v>
      </c>
      <c r="D44" s="86"/>
      <c r="E44" s="64"/>
    </row>
    <row r="45" spans="1:6" x14ac:dyDescent="0.3">
      <c r="A45" s="99"/>
      <c r="C45" s="91"/>
      <c r="D45" s="86"/>
      <c r="E45" s="64"/>
    </row>
    <row r="46" spans="1:6" ht="15" customHeight="1" x14ac:dyDescent="0.3">
      <c r="A46" s="146" t="s">
        <v>443</v>
      </c>
      <c r="B46" s="147"/>
      <c r="C46" s="150">
        <v>10</v>
      </c>
      <c r="D46" s="147"/>
      <c r="E46" s="161">
        <f>E47+E54+E58</f>
        <v>8</v>
      </c>
    </row>
    <row r="47" spans="1:6" x14ac:dyDescent="0.3">
      <c r="A47" s="122" t="s">
        <v>450</v>
      </c>
      <c r="B47" s="91" t="s">
        <v>253</v>
      </c>
      <c r="C47" s="91">
        <v>5</v>
      </c>
      <c r="D47" s="124">
        <v>8.0100000000000005E-2</v>
      </c>
      <c r="E47" s="92">
        <f>IF(D47&gt;11%,5,IF(D47&gt;8%,4,IF(D47&gt;6%,3,IF(D47&gt;4%,2,IF(D47&gt;2%,1,0)))))</f>
        <v>4</v>
      </c>
      <c r="F47" s="20" t="s">
        <v>236</v>
      </c>
    </row>
    <row r="48" spans="1:6" x14ac:dyDescent="0.3">
      <c r="A48" s="91"/>
      <c r="B48" s="91" t="s">
        <v>489</v>
      </c>
      <c r="C48" s="91">
        <v>4</v>
      </c>
      <c r="D48" s="125"/>
      <c r="E48" s="92"/>
    </row>
    <row r="49" spans="1:6" x14ac:dyDescent="0.3">
      <c r="A49" s="91"/>
      <c r="B49" s="91" t="s">
        <v>490</v>
      </c>
      <c r="C49" s="91">
        <v>3</v>
      </c>
      <c r="D49" s="86"/>
      <c r="E49" s="92"/>
    </row>
    <row r="50" spans="1:6" x14ac:dyDescent="0.3">
      <c r="A50" s="91"/>
      <c r="B50" s="91" t="s">
        <v>491</v>
      </c>
      <c r="C50" s="91">
        <v>2</v>
      </c>
      <c r="D50" s="86"/>
      <c r="E50" s="92"/>
    </row>
    <row r="51" spans="1:6" x14ac:dyDescent="0.3">
      <c r="A51" s="98"/>
      <c r="B51" s="91" t="s">
        <v>492</v>
      </c>
      <c r="C51" s="91">
        <v>1</v>
      </c>
      <c r="D51" s="86"/>
      <c r="E51" s="92"/>
    </row>
    <row r="52" spans="1:6" x14ac:dyDescent="0.3">
      <c r="A52" s="98"/>
      <c r="B52" s="164" t="s">
        <v>493</v>
      </c>
      <c r="C52" s="91">
        <v>0</v>
      </c>
      <c r="D52" s="86"/>
      <c r="E52" s="92"/>
    </row>
    <row r="53" spans="1:6" ht="14.5" thickBot="1" x14ac:dyDescent="0.35">
      <c r="A53" s="164"/>
      <c r="B53" s="164"/>
      <c r="C53" s="164">
        <v>0</v>
      </c>
      <c r="D53" s="87"/>
      <c r="E53" s="92"/>
    </row>
    <row r="54" spans="1:6" x14ac:dyDescent="0.3">
      <c r="A54" s="96" t="s">
        <v>451</v>
      </c>
      <c r="B54" s="89" t="s">
        <v>467</v>
      </c>
      <c r="C54" s="89">
        <v>3</v>
      </c>
      <c r="D54" s="126">
        <f>'9. Inputs-Analysis'!D18</f>
        <v>1.9426111026367571E-2</v>
      </c>
      <c r="E54" s="66">
        <v>2</v>
      </c>
      <c r="F54" s="20" t="s">
        <v>237</v>
      </c>
    </row>
    <row r="55" spans="1:6" x14ac:dyDescent="0.3">
      <c r="A55" s="91"/>
      <c r="B55" s="91" t="s">
        <v>468</v>
      </c>
      <c r="C55" s="91">
        <v>2</v>
      </c>
      <c r="D55" s="127"/>
      <c r="E55" s="66"/>
    </row>
    <row r="56" spans="1:6" x14ac:dyDescent="0.3">
      <c r="A56" s="91"/>
      <c r="B56" s="91" t="s">
        <v>494</v>
      </c>
      <c r="C56" s="91">
        <v>1</v>
      </c>
      <c r="D56" s="127"/>
      <c r="E56" s="66"/>
    </row>
    <row r="57" spans="1:6" x14ac:dyDescent="0.3">
      <c r="A57" s="164"/>
      <c r="B57" s="164" t="s">
        <v>495</v>
      </c>
      <c r="C57" s="164">
        <v>0</v>
      </c>
      <c r="D57" s="87"/>
      <c r="E57" s="66"/>
    </row>
    <row r="58" spans="1:6" x14ac:dyDescent="0.3">
      <c r="A58" s="93" t="s">
        <v>452</v>
      </c>
      <c r="B58" s="89" t="s">
        <v>423</v>
      </c>
      <c r="C58" s="91">
        <v>2</v>
      </c>
      <c r="D58" s="114">
        <f>'9. Inputs-Analysis'!D21</f>
        <v>4.652054000911502E-2</v>
      </c>
      <c r="E58" s="66">
        <v>2</v>
      </c>
    </row>
    <row r="59" spans="1:6" x14ac:dyDescent="0.3">
      <c r="A59" s="94"/>
      <c r="B59" s="91" t="s">
        <v>424</v>
      </c>
      <c r="C59" s="91">
        <v>1</v>
      </c>
      <c r="D59" s="86"/>
      <c r="E59" s="66"/>
    </row>
    <row r="60" spans="1:6" ht="14.5" thickBot="1" x14ac:dyDescent="0.35">
      <c r="A60" s="95"/>
      <c r="B60" s="91" t="s">
        <v>254</v>
      </c>
      <c r="C60" s="91">
        <v>0</v>
      </c>
      <c r="D60" s="113"/>
      <c r="E60" s="67"/>
    </row>
    <row r="61" spans="1:6" ht="14.5" thickBot="1" x14ac:dyDescent="0.35">
      <c r="A61" s="145" t="s">
        <v>444</v>
      </c>
      <c r="B61" s="148"/>
      <c r="C61" s="151">
        <v>15</v>
      </c>
      <c r="D61" s="148"/>
      <c r="E61" s="162">
        <f>E62+E66+E75+E79</f>
        <v>9</v>
      </c>
    </row>
    <row r="62" spans="1:6" ht="14.5" thickBot="1" x14ac:dyDescent="0.35">
      <c r="A62" s="96" t="s">
        <v>453</v>
      </c>
      <c r="B62" s="89" t="s">
        <v>425</v>
      </c>
      <c r="C62" s="89">
        <v>3</v>
      </c>
      <c r="D62" s="128">
        <f>'9. Inputs-Analysis'!D24</f>
        <v>2.1640484041893577</v>
      </c>
      <c r="E62" s="97">
        <v>2</v>
      </c>
      <c r="F62" s="20" t="s">
        <v>239</v>
      </c>
    </row>
    <row r="63" spans="1:6" x14ac:dyDescent="0.3">
      <c r="A63" s="98"/>
      <c r="B63" s="91" t="s">
        <v>255</v>
      </c>
      <c r="C63" s="91">
        <v>2</v>
      </c>
      <c r="D63" s="129"/>
      <c r="E63" s="86"/>
    </row>
    <row r="64" spans="1:6" x14ac:dyDescent="0.3">
      <c r="A64" s="98"/>
      <c r="B64" s="91" t="s">
        <v>469</v>
      </c>
      <c r="C64" s="91">
        <v>1</v>
      </c>
      <c r="D64" s="86"/>
      <c r="E64" s="86"/>
    </row>
    <row r="65" spans="1:6" ht="14.5" thickBot="1" x14ac:dyDescent="0.35">
      <c r="A65" s="95"/>
      <c r="B65" s="164" t="s">
        <v>256</v>
      </c>
      <c r="C65" s="164">
        <v>0</v>
      </c>
      <c r="D65" s="87"/>
      <c r="E65" s="86"/>
    </row>
    <row r="66" spans="1:6" ht="14.5" thickBot="1" x14ac:dyDescent="0.35">
      <c r="A66" s="99" t="s">
        <v>454</v>
      </c>
      <c r="B66" s="91"/>
      <c r="C66" s="91"/>
      <c r="D66" s="128">
        <f>'9. Inputs-Analysis'!D27</f>
        <v>1.4160266339747576</v>
      </c>
      <c r="E66" s="68">
        <v>5</v>
      </c>
      <c r="F66" s="20" t="s">
        <v>240</v>
      </c>
    </row>
    <row r="67" spans="1:6" x14ac:dyDescent="0.3">
      <c r="A67" s="99"/>
      <c r="B67" s="91" t="s">
        <v>471</v>
      </c>
      <c r="C67" s="91">
        <v>5</v>
      </c>
      <c r="D67" s="86"/>
      <c r="E67" s="68"/>
    </row>
    <row r="68" spans="1:6" x14ac:dyDescent="0.3">
      <c r="A68" s="99"/>
      <c r="B68" s="91" t="s">
        <v>470</v>
      </c>
      <c r="C68" s="91">
        <v>4</v>
      </c>
      <c r="D68" s="86"/>
      <c r="E68" s="68"/>
    </row>
    <row r="69" spans="1:6" x14ac:dyDescent="0.3">
      <c r="A69" s="99"/>
      <c r="B69" s="91" t="s">
        <v>473</v>
      </c>
      <c r="C69" s="91">
        <v>3</v>
      </c>
      <c r="D69" s="86"/>
      <c r="E69" s="68"/>
    </row>
    <row r="70" spans="1:6" x14ac:dyDescent="0.3">
      <c r="A70" s="99"/>
      <c r="B70" s="91" t="s">
        <v>241</v>
      </c>
      <c r="C70" s="91">
        <v>2</v>
      </c>
      <c r="D70" s="86"/>
      <c r="E70" s="68"/>
    </row>
    <row r="71" spans="1:6" x14ac:dyDescent="0.3">
      <c r="A71" s="99"/>
      <c r="B71" s="91" t="s">
        <v>472</v>
      </c>
      <c r="C71" s="91">
        <v>1</v>
      </c>
      <c r="D71" s="86"/>
      <c r="E71" s="68"/>
    </row>
    <row r="72" spans="1:6" x14ac:dyDescent="0.3">
      <c r="A72" s="100"/>
      <c r="B72" s="91" t="s">
        <v>256</v>
      </c>
      <c r="C72" s="91">
        <v>0</v>
      </c>
      <c r="D72" s="86"/>
      <c r="E72" s="68"/>
    </row>
    <row r="73" spans="1:6" x14ac:dyDescent="0.3">
      <c r="A73" s="100"/>
      <c r="B73" s="91"/>
      <c r="C73" s="91"/>
      <c r="D73" s="86"/>
      <c r="E73" s="68"/>
    </row>
    <row r="74" spans="1:6" x14ac:dyDescent="0.3">
      <c r="A74" s="100"/>
      <c r="B74" s="91"/>
      <c r="C74" s="91"/>
      <c r="D74" s="86"/>
      <c r="E74" s="68"/>
    </row>
    <row r="75" spans="1:6" ht="28.5" thickBot="1" x14ac:dyDescent="0.35">
      <c r="A75" s="96" t="s">
        <v>455</v>
      </c>
      <c r="B75" s="89" t="s">
        <v>242</v>
      </c>
      <c r="C75" s="89">
        <v>4</v>
      </c>
      <c r="D75" s="115">
        <v>9</v>
      </c>
      <c r="E75" s="68">
        <f>IF(D75&lt;3,4,IF(D75&lt;6,3,IF(D75&lt;9,2,0)))</f>
        <v>0</v>
      </c>
      <c r="F75" s="20" t="s">
        <v>243</v>
      </c>
    </row>
    <row r="76" spans="1:6" x14ac:dyDescent="0.3">
      <c r="A76" s="98"/>
      <c r="B76" s="91" t="s">
        <v>496</v>
      </c>
      <c r="C76" s="91">
        <v>3</v>
      </c>
      <c r="D76" s="86">
        <v>9</v>
      </c>
      <c r="E76" s="68"/>
    </row>
    <row r="77" spans="1:6" x14ac:dyDescent="0.3">
      <c r="A77" s="98"/>
      <c r="B77" s="91" t="s">
        <v>497</v>
      </c>
      <c r="C77" s="91">
        <v>2</v>
      </c>
      <c r="D77" s="86"/>
      <c r="E77" s="68"/>
    </row>
    <row r="78" spans="1:6" x14ac:dyDescent="0.3">
      <c r="A78" s="95"/>
      <c r="B78" s="164" t="s">
        <v>244</v>
      </c>
      <c r="C78" s="164">
        <v>0</v>
      </c>
      <c r="D78" s="87"/>
      <c r="E78" s="68"/>
    </row>
    <row r="79" spans="1:6" ht="19.5" customHeight="1" x14ac:dyDescent="0.3">
      <c r="A79" s="130" t="s">
        <v>456</v>
      </c>
      <c r="B79" s="89" t="s">
        <v>426</v>
      </c>
      <c r="C79" s="91">
        <v>3</v>
      </c>
      <c r="D79" s="131">
        <f>'9. Inputs-Analysis'!D33</f>
        <v>0.76522361031669384</v>
      </c>
      <c r="E79" s="68">
        <v>2</v>
      </c>
      <c r="F79" s="28" t="s">
        <v>257</v>
      </c>
    </row>
    <row r="80" spans="1:6" x14ac:dyDescent="0.3">
      <c r="A80" s="130"/>
      <c r="B80" s="91" t="s">
        <v>428</v>
      </c>
      <c r="C80" s="91">
        <v>2</v>
      </c>
      <c r="D80" s="86"/>
      <c r="E80" s="68"/>
    </row>
    <row r="81" spans="1:6" ht="14.5" thickBot="1" x14ac:dyDescent="0.35">
      <c r="A81" s="132"/>
      <c r="B81" s="164" t="s">
        <v>427</v>
      </c>
      <c r="C81" s="88">
        <v>0</v>
      </c>
      <c r="D81" s="113"/>
      <c r="E81" s="69"/>
    </row>
    <row r="82" spans="1:6" s="101" customFormat="1" ht="14.5" thickBot="1" x14ac:dyDescent="0.35">
      <c r="A82" s="145" t="s">
        <v>445</v>
      </c>
      <c r="B82" s="148"/>
      <c r="C82" s="151">
        <v>10</v>
      </c>
      <c r="D82" s="148"/>
      <c r="E82" s="162">
        <f>E83+E88+E92</f>
        <v>2</v>
      </c>
    </row>
    <row r="83" spans="1:6" ht="14.5" thickBot="1" x14ac:dyDescent="0.35">
      <c r="A83" s="96" t="s">
        <v>457</v>
      </c>
      <c r="B83" s="89" t="s">
        <v>498</v>
      </c>
      <c r="C83" s="89">
        <v>4</v>
      </c>
      <c r="D83" s="128">
        <v>89</v>
      </c>
      <c r="E83" s="133">
        <f>IF(D83&lt;30,4,IF(D83&lt;60,3,IF(D83&lt;75,2,IF(D83&lt;90,1,0))))</f>
        <v>1</v>
      </c>
      <c r="F83" s="20" t="s">
        <v>246</v>
      </c>
    </row>
    <row r="84" spans="1:6" x14ac:dyDescent="0.3">
      <c r="A84" s="98"/>
      <c r="B84" s="91" t="s">
        <v>499</v>
      </c>
      <c r="C84" s="91">
        <v>3</v>
      </c>
      <c r="D84" s="86"/>
      <c r="E84" s="134"/>
    </row>
    <row r="85" spans="1:6" x14ac:dyDescent="0.3">
      <c r="A85" s="98"/>
      <c r="B85" s="91" t="s">
        <v>500</v>
      </c>
      <c r="C85" s="91">
        <v>2</v>
      </c>
      <c r="D85" s="86"/>
      <c r="E85" s="134"/>
    </row>
    <row r="86" spans="1:6" x14ac:dyDescent="0.3">
      <c r="A86" s="98"/>
      <c r="B86" s="91" t="s">
        <v>501</v>
      </c>
      <c r="C86" s="91">
        <v>1</v>
      </c>
      <c r="D86" s="86"/>
      <c r="E86" s="134"/>
    </row>
    <row r="87" spans="1:6" ht="14.5" thickBot="1" x14ac:dyDescent="0.35">
      <c r="A87" s="95"/>
      <c r="B87" s="164" t="s">
        <v>502</v>
      </c>
      <c r="C87" s="164">
        <v>0</v>
      </c>
      <c r="D87" s="87"/>
      <c r="E87" s="134"/>
    </row>
    <row r="88" spans="1:6" ht="28.5" thickBot="1" x14ac:dyDescent="0.35">
      <c r="A88" s="96" t="s">
        <v>458</v>
      </c>
      <c r="B88" s="89" t="s">
        <v>245</v>
      </c>
      <c r="C88" s="89">
        <v>3</v>
      </c>
      <c r="D88" s="128">
        <v>59</v>
      </c>
      <c r="E88" s="135">
        <f>IF(D88&lt;30,3,IF(D88&lt;45,2,IF(D88&lt;60,1,0)))</f>
        <v>1</v>
      </c>
      <c r="F88" s="20" t="s">
        <v>247</v>
      </c>
    </row>
    <row r="89" spans="1:6" x14ac:dyDescent="0.3">
      <c r="A89" s="98"/>
      <c r="B89" s="91" t="s">
        <v>248</v>
      </c>
      <c r="C89" s="91">
        <v>2</v>
      </c>
      <c r="D89" s="86">
        <v>29</v>
      </c>
      <c r="E89" s="135"/>
    </row>
    <row r="90" spans="1:6" x14ac:dyDescent="0.3">
      <c r="A90" s="98"/>
      <c r="B90" s="91" t="s">
        <v>249</v>
      </c>
      <c r="C90" s="91">
        <v>1</v>
      </c>
      <c r="D90" s="86"/>
      <c r="E90" s="135"/>
    </row>
    <row r="91" spans="1:6" ht="14.5" thickBot="1" x14ac:dyDescent="0.35">
      <c r="A91" s="95"/>
      <c r="B91" s="164" t="s">
        <v>250</v>
      </c>
      <c r="C91" s="164">
        <v>0</v>
      </c>
      <c r="D91" s="87"/>
      <c r="E91" s="135"/>
    </row>
    <row r="92" spans="1:6" ht="14.5" thickBot="1" x14ac:dyDescent="0.35">
      <c r="A92" s="96" t="s">
        <v>459</v>
      </c>
      <c r="B92" s="89" t="s">
        <v>506</v>
      </c>
      <c r="C92" s="89">
        <v>3</v>
      </c>
      <c r="D92" s="136">
        <v>0.3</v>
      </c>
      <c r="E92" s="135">
        <f>IF(D92&gt;100%,3,IF(D92&gt;50%,2,IF(D92&gt;30%,1,0)))</f>
        <v>0</v>
      </c>
      <c r="F92" s="20" t="s">
        <v>251</v>
      </c>
    </row>
    <row r="93" spans="1:6" x14ac:dyDescent="0.3">
      <c r="A93" s="98"/>
      <c r="B93" s="91" t="s">
        <v>507</v>
      </c>
      <c r="C93" s="91">
        <v>2</v>
      </c>
      <c r="D93" s="86">
        <v>50</v>
      </c>
      <c r="E93" s="135"/>
    </row>
    <row r="94" spans="1:6" x14ac:dyDescent="0.3">
      <c r="A94" s="98"/>
      <c r="B94" s="91" t="s">
        <v>508</v>
      </c>
      <c r="C94" s="91">
        <v>1</v>
      </c>
      <c r="D94" s="86"/>
      <c r="E94" s="135"/>
    </row>
    <row r="95" spans="1:6" x14ac:dyDescent="0.3">
      <c r="A95" s="95"/>
      <c r="B95" s="164" t="s">
        <v>509</v>
      </c>
      <c r="C95" s="164">
        <v>0</v>
      </c>
      <c r="D95" s="87"/>
      <c r="E95" s="137"/>
    </row>
    <row r="96" spans="1:6" ht="14.5" thickBot="1" x14ac:dyDescent="0.35">
      <c r="A96" s="149" t="s">
        <v>446</v>
      </c>
      <c r="B96" s="139"/>
      <c r="C96" s="140">
        <v>5</v>
      </c>
      <c r="D96" s="139"/>
      <c r="E96" s="163">
        <f>E97+E101</f>
        <v>4</v>
      </c>
    </row>
    <row r="97" spans="1:6" ht="14.5" thickBot="1" x14ac:dyDescent="0.35">
      <c r="A97" s="96" t="s">
        <v>460</v>
      </c>
      <c r="B97" s="91" t="s">
        <v>474</v>
      </c>
      <c r="C97" s="91">
        <v>3</v>
      </c>
      <c r="D97" s="136">
        <f>'9. Inputs-Analysis'!D45</f>
        <v>7.4443631180108563E-2</v>
      </c>
      <c r="E97" s="133">
        <v>2</v>
      </c>
      <c r="F97" s="20" t="s">
        <v>252</v>
      </c>
    </row>
    <row r="98" spans="1:6" x14ac:dyDescent="0.3">
      <c r="A98" s="98"/>
      <c r="B98" s="91" t="s">
        <v>475</v>
      </c>
      <c r="C98" s="91">
        <v>2</v>
      </c>
      <c r="D98" s="86"/>
      <c r="E98" s="134"/>
    </row>
    <row r="99" spans="1:6" x14ac:dyDescent="0.3">
      <c r="A99" s="98"/>
      <c r="B99" s="91" t="s">
        <v>238</v>
      </c>
      <c r="C99" s="91">
        <v>1</v>
      </c>
      <c r="D99" s="86"/>
      <c r="E99" s="134"/>
    </row>
    <row r="100" spans="1:6" ht="14.5" thickBot="1" x14ac:dyDescent="0.35">
      <c r="A100" s="98"/>
      <c r="B100" s="164"/>
      <c r="C100" s="164">
        <v>0</v>
      </c>
      <c r="D100" s="86"/>
      <c r="E100" s="134"/>
    </row>
    <row r="101" spans="1:6" ht="28.5" thickBot="1" x14ac:dyDescent="0.35">
      <c r="A101" s="96" t="s">
        <v>461</v>
      </c>
      <c r="B101" s="89" t="s">
        <v>402</v>
      </c>
      <c r="C101" s="89">
        <v>2</v>
      </c>
      <c r="D101" s="128">
        <f>'9. Inputs-Analysis'!D48</f>
        <v>7.7292884750961464E-3</v>
      </c>
      <c r="E101" s="135">
        <v>2</v>
      </c>
    </row>
    <row r="102" spans="1:6" x14ac:dyDescent="0.3">
      <c r="A102" s="98"/>
      <c r="B102" s="91" t="s">
        <v>401</v>
      </c>
      <c r="C102" s="91">
        <v>0</v>
      </c>
      <c r="D102" s="86"/>
      <c r="E102" s="135"/>
    </row>
    <row r="103" spans="1:6" x14ac:dyDescent="0.3">
      <c r="A103" s="112" t="s">
        <v>281</v>
      </c>
      <c r="B103" s="112"/>
      <c r="C103" s="112">
        <f>C96+C82+C61+C46+C32+C20</f>
        <v>60</v>
      </c>
      <c r="D103" s="112"/>
      <c r="E103" s="112">
        <f>E96+E82+E61+E46+E32+E20</f>
        <v>29</v>
      </c>
    </row>
    <row r="104" spans="1:6" ht="4.5" customHeight="1" x14ac:dyDescent="0.3">
      <c r="A104" s="106"/>
      <c r="B104" s="107"/>
      <c r="C104" s="110"/>
      <c r="D104" s="107"/>
      <c r="E104" s="107"/>
    </row>
    <row r="105" spans="1:6" s="37" customFormat="1" ht="14.5" thickBot="1" x14ac:dyDescent="0.35">
      <c r="A105" s="103"/>
      <c r="B105" s="104"/>
      <c r="C105" s="155"/>
      <c r="D105" s="104"/>
      <c r="E105" s="105"/>
    </row>
  </sheetData>
  <mergeCells count="7">
    <mergeCell ref="A18:E18"/>
    <mergeCell ref="A1:E1"/>
    <mergeCell ref="D5:D6"/>
    <mergeCell ref="D7:D8"/>
    <mergeCell ref="D15:E15"/>
    <mergeCell ref="D16:E16"/>
    <mergeCell ref="D17:E17"/>
  </mergeCells>
  <conditionalFormatting sqref="D7:E7">
    <cfRule type="cellIs" dxfId="2" priority="1" stopIfTrue="1" operator="equal">
      <formula>$B$15</formula>
    </cfRule>
    <cfRule type="cellIs" dxfId="1" priority="2" stopIfTrue="1" operator="equal">
      <formula>$B$16</formula>
    </cfRule>
    <cfRule type="cellIs" dxfId="0" priority="3" stopIfTrue="1" operator="equal">
      <formula>$B$17</formula>
    </cfRule>
  </conditionalFormatting>
  <pageMargins left="0.25" right="0.25" top="0.75" bottom="0.75" header="0.3" footer="0.3"/>
  <pageSetup paperSize="9" scale="85" orientation="portrait" r:id="rId1"/>
  <headerFooter>
    <oddHeader>&amp;C&amp;"+,Bold"&amp;12Internal Credit Risk Scoring System&amp;"+,Regular"(Detail Quantitative Analysis)</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69</vt:i4>
      </vt:variant>
    </vt:vector>
  </HeadingPairs>
  <TitlesOfParts>
    <vt:vector size="112" baseType="lpstr">
      <vt:lpstr>Title</vt:lpstr>
      <vt:lpstr>Author</vt:lpstr>
      <vt:lpstr>1. Index</vt:lpstr>
      <vt:lpstr>2. Instructions</vt:lpstr>
      <vt:lpstr>Basic Bullets</vt:lpstr>
      <vt:lpstr>2. Top Page</vt:lpstr>
      <vt:lpstr>3. Input-BS </vt:lpstr>
      <vt:lpstr>4. Input P&amp;L</vt:lpstr>
      <vt:lpstr>5. Input-CF</vt:lpstr>
      <vt:lpstr>6. Output-BS</vt:lpstr>
      <vt:lpstr>7. Output IS</vt:lpstr>
      <vt:lpstr>8. Output CF</vt:lpstr>
      <vt:lpstr>Final Graph</vt:lpstr>
      <vt:lpstr>Graph</vt:lpstr>
      <vt:lpstr>9. Inputs-Analysis</vt:lpstr>
      <vt:lpstr>9. Quantitative Analysis</vt:lpstr>
      <vt:lpstr>10. Qualitative Analysis</vt:lpstr>
      <vt:lpstr>11. Detail Managment Report</vt:lpstr>
      <vt:lpstr>12. Executive Summary</vt:lpstr>
      <vt:lpstr>Annex Eligible Collateral</vt:lpstr>
      <vt:lpstr>Annex rating maping</vt:lpstr>
      <vt:lpstr>Drop DOwn</vt:lpstr>
      <vt:lpstr>1. RMG</vt:lpstr>
      <vt:lpstr>2.  Textile </vt:lpstr>
      <vt:lpstr>3. Food and Allied</vt:lpstr>
      <vt:lpstr>4. Pharmaceutical</vt:lpstr>
      <vt:lpstr>5. Chemical</vt:lpstr>
      <vt:lpstr>6. Fertilizer</vt:lpstr>
      <vt:lpstr>7.Cement</vt:lpstr>
      <vt:lpstr>8. Ceramic</vt:lpstr>
      <vt:lpstr>9. Ship Building</vt:lpstr>
      <vt:lpstr>10. Ship Breaking</vt:lpstr>
      <vt:lpstr>11. Jute Mills</vt:lpstr>
      <vt:lpstr>12. Steel Engineering </vt:lpstr>
      <vt:lpstr>13.Power and gas</vt:lpstr>
      <vt:lpstr>14. Industry_Others</vt:lpstr>
      <vt:lpstr>B. Trade and commerce</vt:lpstr>
      <vt:lpstr>C. Agro</vt:lpstr>
      <vt:lpstr>1. Service_Housing&amp;Cnst</vt:lpstr>
      <vt:lpstr>2. Service_Telecom</vt:lpstr>
      <vt:lpstr>3. Servic_Hospitals&amp;Clinics</vt:lpstr>
      <vt:lpstr>3. Service_ Others </vt:lpstr>
      <vt:lpstr>rough</vt:lpstr>
      <vt:lpstr>'Drop DOwn'!ABC</vt:lpstr>
      <vt:lpstr>ABC</vt:lpstr>
      <vt:lpstr>'Drop DOwn'!auditstatus</vt:lpstr>
      <vt:lpstr>auditstatus</vt:lpstr>
      <vt:lpstr>cement</vt:lpstr>
      <vt:lpstr>ceramic</vt:lpstr>
      <vt:lpstr>chemical</vt:lpstr>
      <vt:lpstr>'Drop DOwn'!cibstatus</vt:lpstr>
      <vt:lpstr>cibstatus</vt:lpstr>
      <vt:lpstr>fertilizer</vt:lpstr>
      <vt:lpstr>food</vt:lpstr>
      <vt:lpstr>INCF</vt:lpstr>
      <vt:lpstr>index</vt:lpstr>
      <vt:lpstr>INIS</vt:lpstr>
      <vt:lpstr>INPUTBS</vt:lpstr>
      <vt:lpstr>INPUTCF</vt:lpstr>
      <vt:lpstr>INPUTIS</vt:lpstr>
      <vt:lpstr>instructions</vt:lpstr>
      <vt:lpstr>Author!OLE_LINK1</vt:lpstr>
      <vt:lpstr>'Drop DOwn'!ownership</vt:lpstr>
      <vt:lpstr>ownership</vt:lpstr>
      <vt:lpstr>'9. Quantitative Analysis'!pharma</vt:lpstr>
      <vt:lpstr>pharma</vt:lpstr>
      <vt:lpstr>'1. Index'!Print_Area</vt:lpstr>
      <vt:lpstr>'1. RMG'!Print_Area</vt:lpstr>
      <vt:lpstr>'1. Service_Housing&amp;Cnst'!Print_Area</vt:lpstr>
      <vt:lpstr>'10. Qualitative Analysis'!Print_Area</vt:lpstr>
      <vt:lpstr>'10. Ship Breaking'!Print_Area</vt:lpstr>
      <vt:lpstr>'11. Detail Managment Report'!Print_Area</vt:lpstr>
      <vt:lpstr>'11. Jute Mills'!Print_Area</vt:lpstr>
      <vt:lpstr>'12. Executive Summary'!Print_Area</vt:lpstr>
      <vt:lpstr>'12. Steel Engineering '!Print_Area</vt:lpstr>
      <vt:lpstr>'13.Power and gas'!Print_Area</vt:lpstr>
      <vt:lpstr>'14. Industry_Others'!Print_Area</vt:lpstr>
      <vt:lpstr>'2. Service_Telecom'!Print_Area</vt:lpstr>
      <vt:lpstr>'2. Top Page'!Print_Area</vt:lpstr>
      <vt:lpstr>'2.  Textile '!Print_Area</vt:lpstr>
      <vt:lpstr>'3. Food and Allied'!Print_Area</vt:lpstr>
      <vt:lpstr>'3. Input-BS '!Print_Area</vt:lpstr>
      <vt:lpstr>'3. Servic_Hospitals&amp;Clinics'!Print_Area</vt:lpstr>
      <vt:lpstr>'3. Service_ Others '!Print_Area</vt:lpstr>
      <vt:lpstr>'4. Input P&amp;L'!Print_Area</vt:lpstr>
      <vt:lpstr>'4. Pharmaceutical'!Print_Area</vt:lpstr>
      <vt:lpstr>'5. Chemical'!Print_Area</vt:lpstr>
      <vt:lpstr>'5. Input-CF'!Print_Area</vt:lpstr>
      <vt:lpstr>'6. Fertilizer'!Print_Area</vt:lpstr>
      <vt:lpstr>'6. Output-BS'!Print_Area</vt:lpstr>
      <vt:lpstr>'7. Output IS'!Print_Area</vt:lpstr>
      <vt:lpstr>'7.Cement'!Print_Area</vt:lpstr>
      <vt:lpstr>'8. Ceramic'!Print_Area</vt:lpstr>
      <vt:lpstr>'8. Output CF'!Print_Area</vt:lpstr>
      <vt:lpstr>'9. Inputs-Analysis'!Print_Area</vt:lpstr>
      <vt:lpstr>'9. Quantitative Analysis'!Print_Area</vt:lpstr>
      <vt:lpstr>'9. Ship Building'!Print_Area</vt:lpstr>
      <vt:lpstr>'Annex Eligible Collateral'!Print_Area</vt:lpstr>
      <vt:lpstr>'Annex rating maping'!Print_Area</vt:lpstr>
      <vt:lpstr>Author!Print_Area</vt:lpstr>
      <vt:lpstr>'B. Trade and commerce'!Print_Area</vt:lpstr>
      <vt:lpstr>'Basic Bullets'!Print_Area</vt:lpstr>
      <vt:lpstr>'C. Agro'!Print_Area</vt:lpstr>
      <vt:lpstr>'Drop DOwn'!Print_Area</vt:lpstr>
      <vt:lpstr>'Final Graph'!Print_Area</vt:lpstr>
      <vt:lpstr>Graph!Print_Area</vt:lpstr>
      <vt:lpstr>rough!Print_Area</vt:lpstr>
      <vt:lpstr>Title!Print_Area</vt:lpstr>
      <vt:lpstr>rmg</vt:lpstr>
      <vt:lpstr>text</vt:lpstr>
      <vt:lpstr>top</vt:lpstr>
      <vt:lpstr>toppage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Internal Credit Risk Rating System for Banks</dc:title>
  <dc:subject>ICRRS</dc:subject>
  <dc:creator/>
  <cp:lastModifiedBy/>
  <dcterms:created xsi:type="dcterms:W3CDTF">2006-09-16T00:00:00Z</dcterms:created>
  <dcterms:modified xsi:type="dcterms:W3CDTF">2026-01-14T11:38:46Z</dcterms:modified>
  <cp:category>Credit Risk Management</cp:category>
</cp:coreProperties>
</file>